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bcf56a11f402f5/Desktop/02_Courses/01_Life Insurance B/02_Lab/"/>
    </mc:Choice>
  </mc:AlternateContent>
  <xr:revisionPtr revIDLastSave="194" documentId="13_ncr:1_{D5B0D076-6305-40C8-B31B-771C05BD68B9}" xr6:coauthVersionLast="47" xr6:coauthVersionMax="47" xr10:uidLastSave="{7D1302D3-92D2-4775-8D7D-DDFDADFB4932}"/>
  <bookViews>
    <workbookView xWindow="-98" yWindow="-98" windowWidth="21795" windowHeight="12975" xr2:uid="{42B9678E-C4A2-40A0-9BDD-D0FCF7C1041B}"/>
  </bookViews>
  <sheets>
    <sheet name="t5q2 - single answer" sheetId="1" r:id="rId1"/>
    <sheet name="colour key" sheetId="2" r:id="rId2"/>
  </sheets>
  <definedNames>
    <definedName name="Constant_b1">'t5q2 - single answer'!$N$3</definedName>
    <definedName name="Constant_b12">'t5q2 - single answer'!$N$6</definedName>
    <definedName name="Constant_b13">'t5q2 - single answer'!$O$6</definedName>
    <definedName name="Constant_b2">'t5q2 - single answer'!$O$3</definedName>
    <definedName name="Constant_b24">'t5q2 - single answer'!$P$6</definedName>
    <definedName name="Constant_b3">'t5q2 - single answer'!$P$3</definedName>
    <definedName name="Constant_b34">'t5q2 - single answer'!$Q$6</definedName>
    <definedName name="contract_name">'t5q2 - single answer'!$N$20</definedName>
    <definedName name="contracts">'t5q2 - single answer'!$K$12:$R$18</definedName>
    <definedName name="Delta">'t5q2 - single answer'!$L$6</definedName>
    <definedName name="InitialAge_x">'t5q2 - single answer'!$L$4</definedName>
    <definedName name="InitialAge_y">'t5q2 - single answer'!$L$5</definedName>
    <definedName name="muParameter_B">'t5q2 - single answer'!$L$2</definedName>
    <definedName name="muParameter_c">'t5q2 - single answer'!$L$3</definedName>
    <definedName name="StepSize">'t5q2 - single answer'!$L$7</definedName>
    <definedName name="VState4">'t5q2 - single answer'!$L$8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8" i="1" l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Y27" i="1"/>
  <c r="X26" i="1"/>
  <c r="W26" i="1"/>
  <c r="V26" i="1"/>
  <c r="U26" i="1"/>
  <c r="Y26" i="1"/>
  <c r="O6" i="1"/>
  <c r="P6" i="1"/>
  <c r="Q6" i="1"/>
  <c r="N6" i="1"/>
  <c r="O3" i="1"/>
  <c r="P3" i="1"/>
  <c r="N3" i="1"/>
  <c r="N17" i="1"/>
  <c r="N18" i="1"/>
  <c r="M18" i="1"/>
  <c r="L18" i="1"/>
  <c r="O18" i="1"/>
  <c r="P18" i="1"/>
  <c r="Q18" i="1"/>
  <c r="R18" i="1"/>
  <c r="R17" i="1"/>
  <c r="Q17" i="1"/>
  <c r="P17" i="1"/>
  <c r="O17" i="1"/>
  <c r="M17" i="1"/>
  <c r="L17" i="1"/>
  <c r="R16" i="1"/>
  <c r="Q16" i="1"/>
  <c r="P16" i="1"/>
  <c r="O16" i="1"/>
  <c r="N16" i="1"/>
  <c r="M16" i="1"/>
  <c r="L16" i="1"/>
  <c r="R15" i="1"/>
  <c r="Q15" i="1"/>
  <c r="P15" i="1"/>
  <c r="O15" i="1"/>
  <c r="R14" i="1"/>
  <c r="Q14" i="1"/>
  <c r="P14" i="1"/>
  <c r="O14" i="1"/>
  <c r="R13" i="1"/>
  <c r="Q13" i="1"/>
  <c r="P13" i="1"/>
  <c r="O13" i="1"/>
  <c r="L14" i="1"/>
  <c r="M14" i="1"/>
  <c r="N14" i="1"/>
  <c r="L15" i="1"/>
  <c r="M15" i="1"/>
  <c r="N15" i="1"/>
  <c r="N13" i="1"/>
  <c r="M13" i="1"/>
  <c r="L13" i="1"/>
  <c r="T26" i="1" l="1"/>
  <c r="X27" i="1" s="1"/>
  <c r="T27" i="1" s="1"/>
  <c r="X28" i="1" s="1"/>
  <c r="T28" i="1" s="1"/>
  <c r="X29" i="1" s="1"/>
  <c r="S26" i="1"/>
  <c r="W27" i="1" s="1"/>
  <c r="R26" i="1"/>
  <c r="V27" i="1" s="1"/>
  <c r="K27" i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M26" i="1"/>
  <c r="O26" i="1" s="1"/>
  <c r="Q26" i="1" s="1"/>
  <c r="L26" i="1"/>
  <c r="N26" i="1" s="1"/>
  <c r="P26" i="1" s="1"/>
  <c r="S27" i="1" l="1"/>
  <c r="W28" i="1" s="1"/>
  <c r="R27" i="1"/>
  <c r="V28" i="1" s="1"/>
  <c r="T29" i="1"/>
  <c r="X30" i="1" s="1"/>
  <c r="M27" i="1"/>
  <c r="O27" i="1" s="1"/>
  <c r="Q27" i="1" s="1"/>
  <c r="L27" i="1"/>
  <c r="N27" i="1" s="1"/>
  <c r="P27" i="1" s="1"/>
  <c r="R28" i="1" l="1"/>
  <c r="V29" i="1" s="1"/>
  <c r="S28" i="1"/>
  <c r="W29" i="1" s="1"/>
  <c r="S29" i="1" s="1"/>
  <c r="W30" i="1" s="1"/>
  <c r="S30" i="1" s="1"/>
  <c r="W31" i="1" s="1"/>
  <c r="T30" i="1"/>
  <c r="X31" i="1" s="1"/>
  <c r="M28" i="1"/>
  <c r="O28" i="1" s="1"/>
  <c r="Q28" i="1" s="1"/>
  <c r="L28" i="1"/>
  <c r="N28" i="1" s="1"/>
  <c r="P28" i="1" s="1"/>
  <c r="R29" i="1" l="1"/>
  <c r="V30" i="1" s="1"/>
  <c r="R30" i="1" s="1"/>
  <c r="V31" i="1" s="1"/>
  <c r="R31" i="1" s="1"/>
  <c r="S31" i="1"/>
  <c r="W32" i="1" s="1"/>
  <c r="T31" i="1"/>
  <c r="X32" i="1" s="1"/>
  <c r="M29" i="1"/>
  <c r="O29" i="1" s="1"/>
  <c r="Q29" i="1" s="1"/>
  <c r="L29" i="1"/>
  <c r="N29" i="1" s="1"/>
  <c r="P29" i="1" s="1"/>
  <c r="V32" i="1" l="1"/>
  <c r="R32" i="1" s="1"/>
  <c r="V33" i="1" s="1"/>
  <c r="T32" i="1"/>
  <c r="X33" i="1" s="1"/>
  <c r="S32" i="1"/>
  <c r="W33" i="1" s="1"/>
  <c r="M30" i="1"/>
  <c r="O30" i="1" s="1"/>
  <c r="Q30" i="1" s="1"/>
  <c r="L30" i="1"/>
  <c r="N30" i="1" s="1"/>
  <c r="P30" i="1" s="1"/>
  <c r="R33" i="1" l="1"/>
  <c r="V34" i="1" s="1"/>
  <c r="S33" i="1"/>
  <c r="W34" i="1" s="1"/>
  <c r="T33" i="1"/>
  <c r="X34" i="1" s="1"/>
  <c r="M31" i="1"/>
  <c r="O31" i="1" s="1"/>
  <c r="Q31" i="1" s="1"/>
  <c r="L31" i="1"/>
  <c r="N31" i="1" s="1"/>
  <c r="P31" i="1" s="1"/>
  <c r="T34" i="1" l="1"/>
  <c r="X35" i="1" s="1"/>
  <c r="S34" i="1"/>
  <c r="W35" i="1" s="1"/>
  <c r="R34" i="1"/>
  <c r="V35" i="1" s="1"/>
  <c r="M32" i="1"/>
  <c r="O32" i="1" s="1"/>
  <c r="Q32" i="1" s="1"/>
  <c r="L32" i="1"/>
  <c r="N32" i="1" s="1"/>
  <c r="P32" i="1" s="1"/>
  <c r="R35" i="1" l="1"/>
  <c r="V36" i="1" s="1"/>
  <c r="S35" i="1"/>
  <c r="W36" i="1" s="1"/>
  <c r="T35" i="1"/>
  <c r="X36" i="1" s="1"/>
  <c r="M33" i="1"/>
  <c r="O33" i="1" s="1"/>
  <c r="Q33" i="1" s="1"/>
  <c r="L33" i="1"/>
  <c r="N33" i="1" s="1"/>
  <c r="P33" i="1" s="1"/>
  <c r="S36" i="1" l="1"/>
  <c r="W37" i="1" s="1"/>
  <c r="R36" i="1"/>
  <c r="V37" i="1" s="1"/>
  <c r="T36" i="1"/>
  <c r="X37" i="1"/>
  <c r="M34" i="1"/>
  <c r="O34" i="1" s="1"/>
  <c r="Q34" i="1" s="1"/>
  <c r="L34" i="1"/>
  <c r="N34" i="1" s="1"/>
  <c r="P34" i="1" s="1"/>
  <c r="R37" i="1" l="1"/>
  <c r="V38" i="1" s="1"/>
  <c r="S37" i="1"/>
  <c r="W38" i="1" s="1"/>
  <c r="T37" i="1"/>
  <c r="X38" i="1" s="1"/>
  <c r="M35" i="1"/>
  <c r="O35" i="1" s="1"/>
  <c r="Q35" i="1" s="1"/>
  <c r="L35" i="1"/>
  <c r="N35" i="1" s="1"/>
  <c r="P35" i="1" s="1"/>
  <c r="T38" i="1" l="1"/>
  <c r="X39" i="1" s="1"/>
  <c r="S38" i="1"/>
  <c r="W39" i="1" s="1"/>
  <c r="R38" i="1"/>
  <c r="V39" i="1" s="1"/>
  <c r="M36" i="1"/>
  <c r="O36" i="1" s="1"/>
  <c r="Q36" i="1" s="1"/>
  <c r="L36" i="1"/>
  <c r="N36" i="1" s="1"/>
  <c r="P36" i="1" s="1"/>
  <c r="S39" i="1" l="1"/>
  <c r="W40" i="1" s="1"/>
  <c r="T39" i="1"/>
  <c r="X40" i="1" s="1"/>
  <c r="R39" i="1"/>
  <c r="V40" i="1" s="1"/>
  <c r="M37" i="1"/>
  <c r="O37" i="1" s="1"/>
  <c r="Q37" i="1" s="1"/>
  <c r="L37" i="1"/>
  <c r="N37" i="1" s="1"/>
  <c r="P37" i="1" s="1"/>
  <c r="R40" i="1" l="1"/>
  <c r="V41" i="1" s="1"/>
  <c r="T40" i="1"/>
  <c r="X41" i="1" s="1"/>
  <c r="S40" i="1"/>
  <c r="W41" i="1" s="1"/>
  <c r="M38" i="1"/>
  <c r="O38" i="1" s="1"/>
  <c r="Q38" i="1" s="1"/>
  <c r="L38" i="1"/>
  <c r="N38" i="1" s="1"/>
  <c r="P38" i="1" s="1"/>
  <c r="S41" i="1" l="1"/>
  <c r="W42" i="1" s="1"/>
  <c r="T41" i="1"/>
  <c r="X42" i="1" s="1"/>
  <c r="R41" i="1"/>
  <c r="V42" i="1" s="1"/>
  <c r="M39" i="1"/>
  <c r="O39" i="1" s="1"/>
  <c r="Q39" i="1" s="1"/>
  <c r="L39" i="1"/>
  <c r="N39" i="1" s="1"/>
  <c r="P39" i="1" s="1"/>
  <c r="S42" i="1" l="1"/>
  <c r="W43" i="1" s="1"/>
  <c r="R42" i="1"/>
  <c r="V43" i="1" s="1"/>
  <c r="T42" i="1"/>
  <c r="X43" i="1" s="1"/>
  <c r="M40" i="1"/>
  <c r="O40" i="1" s="1"/>
  <c r="Q40" i="1" s="1"/>
  <c r="L40" i="1"/>
  <c r="N40" i="1" s="1"/>
  <c r="P40" i="1" s="1"/>
  <c r="T43" i="1" l="1"/>
  <c r="X44" i="1" s="1"/>
  <c r="R43" i="1"/>
  <c r="V44" i="1" s="1"/>
  <c r="S43" i="1"/>
  <c r="W44" i="1" s="1"/>
  <c r="M41" i="1"/>
  <c r="O41" i="1" s="1"/>
  <c r="Q41" i="1" s="1"/>
  <c r="L41" i="1"/>
  <c r="N41" i="1" s="1"/>
  <c r="P41" i="1" s="1"/>
  <c r="S44" i="1" l="1"/>
  <c r="W45" i="1" s="1"/>
  <c r="R44" i="1"/>
  <c r="V45" i="1" s="1"/>
  <c r="T44" i="1"/>
  <c r="X45" i="1" s="1"/>
  <c r="M42" i="1"/>
  <c r="O42" i="1" s="1"/>
  <c r="Q42" i="1" s="1"/>
  <c r="L42" i="1"/>
  <c r="N42" i="1" s="1"/>
  <c r="P42" i="1" s="1"/>
  <c r="T45" i="1" l="1"/>
  <c r="X46" i="1" s="1"/>
  <c r="R45" i="1"/>
  <c r="V46" i="1" s="1"/>
  <c r="S45" i="1"/>
  <c r="W46" i="1" s="1"/>
  <c r="M43" i="1"/>
  <c r="O43" i="1" s="1"/>
  <c r="Q43" i="1" s="1"/>
  <c r="L43" i="1"/>
  <c r="N43" i="1" s="1"/>
  <c r="P43" i="1" s="1"/>
  <c r="S46" i="1" l="1"/>
  <c r="W47" i="1" s="1"/>
  <c r="R46" i="1"/>
  <c r="V47" i="1" s="1"/>
  <c r="T46" i="1"/>
  <c r="X47" i="1" s="1"/>
  <c r="M44" i="1"/>
  <c r="O44" i="1" s="1"/>
  <c r="Q44" i="1" s="1"/>
  <c r="L44" i="1"/>
  <c r="N44" i="1" s="1"/>
  <c r="P44" i="1" s="1"/>
  <c r="T47" i="1" l="1"/>
  <c r="X48" i="1" s="1"/>
  <c r="R47" i="1"/>
  <c r="V48" i="1"/>
  <c r="S47" i="1"/>
  <c r="W48" i="1" s="1"/>
  <c r="M45" i="1"/>
  <c r="O45" i="1" s="1"/>
  <c r="Q45" i="1" s="1"/>
  <c r="L45" i="1"/>
  <c r="N45" i="1" s="1"/>
  <c r="P45" i="1" s="1"/>
  <c r="S48" i="1" l="1"/>
  <c r="W49" i="1" s="1"/>
  <c r="T48" i="1"/>
  <c r="X49" i="1" s="1"/>
  <c r="R48" i="1"/>
  <c r="V49" i="1" s="1"/>
  <c r="M46" i="1"/>
  <c r="O46" i="1" s="1"/>
  <c r="Q46" i="1" s="1"/>
  <c r="L46" i="1"/>
  <c r="N46" i="1" s="1"/>
  <c r="P46" i="1" s="1"/>
  <c r="R49" i="1" l="1"/>
  <c r="V50" i="1" s="1"/>
  <c r="T49" i="1"/>
  <c r="X50" i="1" s="1"/>
  <c r="S49" i="1"/>
  <c r="W50" i="1" s="1"/>
  <c r="M47" i="1"/>
  <c r="O47" i="1" s="1"/>
  <c r="Q47" i="1" s="1"/>
  <c r="L47" i="1"/>
  <c r="N47" i="1" s="1"/>
  <c r="P47" i="1" s="1"/>
  <c r="S50" i="1" l="1"/>
  <c r="W51" i="1" s="1"/>
  <c r="T50" i="1"/>
  <c r="X51" i="1" s="1"/>
  <c r="R50" i="1"/>
  <c r="V51" i="1" s="1"/>
  <c r="M48" i="1"/>
  <c r="O48" i="1" s="1"/>
  <c r="Q48" i="1" s="1"/>
  <c r="L48" i="1"/>
  <c r="N48" i="1" s="1"/>
  <c r="P48" i="1" s="1"/>
  <c r="R51" i="1" l="1"/>
  <c r="V52" i="1" s="1"/>
  <c r="T51" i="1"/>
  <c r="X52" i="1" s="1"/>
  <c r="S51" i="1"/>
  <c r="W52" i="1" s="1"/>
  <c r="M49" i="1"/>
  <c r="O49" i="1" s="1"/>
  <c r="Q49" i="1" s="1"/>
  <c r="L49" i="1"/>
  <c r="N49" i="1" s="1"/>
  <c r="P49" i="1" s="1"/>
  <c r="S52" i="1" l="1"/>
  <c r="W53" i="1" s="1"/>
  <c r="T52" i="1"/>
  <c r="X53" i="1" s="1"/>
  <c r="R52" i="1"/>
  <c r="V53" i="1" s="1"/>
  <c r="M50" i="1"/>
  <c r="O50" i="1" s="1"/>
  <c r="Q50" i="1" s="1"/>
  <c r="L50" i="1"/>
  <c r="N50" i="1" s="1"/>
  <c r="P50" i="1" s="1"/>
  <c r="R53" i="1" l="1"/>
  <c r="V54" i="1" s="1"/>
  <c r="T53" i="1"/>
  <c r="X54" i="1" s="1"/>
  <c r="S53" i="1"/>
  <c r="W54" i="1" s="1"/>
  <c r="M51" i="1"/>
  <c r="O51" i="1" s="1"/>
  <c r="Q51" i="1" s="1"/>
  <c r="L51" i="1"/>
  <c r="N51" i="1" s="1"/>
  <c r="P51" i="1" s="1"/>
  <c r="S54" i="1" l="1"/>
  <c r="W55" i="1" s="1"/>
  <c r="R54" i="1"/>
  <c r="V55" i="1"/>
  <c r="T54" i="1"/>
  <c r="X55" i="1" s="1"/>
  <c r="M52" i="1"/>
  <c r="O52" i="1" s="1"/>
  <c r="Q52" i="1" s="1"/>
  <c r="L52" i="1"/>
  <c r="N52" i="1" s="1"/>
  <c r="P52" i="1" s="1"/>
  <c r="T55" i="1" l="1"/>
  <c r="X56" i="1" s="1"/>
  <c r="S55" i="1"/>
  <c r="W56" i="1" s="1"/>
  <c r="R55" i="1"/>
  <c r="V56" i="1" s="1"/>
  <c r="M53" i="1"/>
  <c r="O53" i="1" s="1"/>
  <c r="Q53" i="1" s="1"/>
  <c r="L53" i="1"/>
  <c r="N53" i="1" s="1"/>
  <c r="P53" i="1" s="1"/>
  <c r="R56" i="1" l="1"/>
  <c r="V57" i="1" s="1"/>
  <c r="S56" i="1"/>
  <c r="W57" i="1" s="1"/>
  <c r="T56" i="1"/>
  <c r="X57" i="1" s="1"/>
  <c r="M54" i="1"/>
  <c r="O54" i="1" s="1"/>
  <c r="Q54" i="1" s="1"/>
  <c r="L54" i="1"/>
  <c r="N54" i="1" s="1"/>
  <c r="P54" i="1" s="1"/>
  <c r="T57" i="1" l="1"/>
  <c r="X58" i="1" s="1"/>
  <c r="R57" i="1"/>
  <c r="V58" i="1" s="1"/>
  <c r="S57" i="1"/>
  <c r="W58" i="1" s="1"/>
  <c r="M55" i="1"/>
  <c r="O55" i="1" s="1"/>
  <c r="Q55" i="1" s="1"/>
  <c r="L55" i="1"/>
  <c r="N55" i="1" s="1"/>
  <c r="P55" i="1" s="1"/>
  <c r="S58" i="1" l="1"/>
  <c r="W59" i="1" s="1"/>
  <c r="R58" i="1"/>
  <c r="V59" i="1" s="1"/>
  <c r="T58" i="1"/>
  <c r="X59" i="1" s="1"/>
  <c r="L56" i="1"/>
  <c r="N56" i="1" s="1"/>
  <c r="P56" i="1" s="1"/>
  <c r="M56" i="1"/>
  <c r="O56" i="1" s="1"/>
  <c r="Q56" i="1" s="1"/>
  <c r="R59" i="1" l="1"/>
  <c r="V60" i="1" s="1"/>
  <c r="S59" i="1"/>
  <c r="W60" i="1" s="1"/>
  <c r="T59" i="1"/>
  <c r="X60" i="1" s="1"/>
  <c r="M57" i="1"/>
  <c r="O57" i="1" s="1"/>
  <c r="Q57" i="1" s="1"/>
  <c r="L57" i="1"/>
  <c r="N57" i="1" s="1"/>
  <c r="P57" i="1" s="1"/>
  <c r="T60" i="1" l="1"/>
  <c r="X61" i="1" s="1"/>
  <c r="S60" i="1"/>
  <c r="W61" i="1" s="1"/>
  <c r="R60" i="1"/>
  <c r="V61" i="1" s="1"/>
  <c r="M58" i="1"/>
  <c r="O58" i="1" s="1"/>
  <c r="Q58" i="1" s="1"/>
  <c r="L58" i="1"/>
  <c r="N58" i="1" s="1"/>
  <c r="P58" i="1" s="1"/>
  <c r="R61" i="1" l="1"/>
  <c r="V62" i="1" s="1"/>
  <c r="T61" i="1"/>
  <c r="X62" i="1" s="1"/>
  <c r="S61" i="1"/>
  <c r="W62" i="1" s="1"/>
  <c r="M59" i="1"/>
  <c r="O59" i="1" s="1"/>
  <c r="Q59" i="1" s="1"/>
  <c r="L59" i="1"/>
  <c r="N59" i="1" s="1"/>
  <c r="P59" i="1" s="1"/>
  <c r="S62" i="1" l="1"/>
  <c r="W63" i="1" s="1"/>
  <c r="R62" i="1"/>
  <c r="V63" i="1" s="1"/>
  <c r="T62" i="1"/>
  <c r="X63" i="1" s="1"/>
  <c r="M60" i="1"/>
  <c r="O60" i="1" s="1"/>
  <c r="Q60" i="1" s="1"/>
  <c r="L60" i="1"/>
  <c r="N60" i="1" s="1"/>
  <c r="P60" i="1" s="1"/>
  <c r="T63" i="1" l="1"/>
  <c r="X64" i="1" s="1"/>
  <c r="R63" i="1"/>
  <c r="V64" i="1" s="1"/>
  <c r="S63" i="1"/>
  <c r="W64" i="1" s="1"/>
  <c r="M61" i="1"/>
  <c r="O61" i="1" s="1"/>
  <c r="Q61" i="1" s="1"/>
  <c r="L61" i="1"/>
  <c r="N61" i="1" s="1"/>
  <c r="P61" i="1" s="1"/>
  <c r="S64" i="1" l="1"/>
  <c r="W65" i="1" s="1"/>
  <c r="T64" i="1"/>
  <c r="X65" i="1" s="1"/>
  <c r="R64" i="1"/>
  <c r="V65" i="1" s="1"/>
  <c r="M62" i="1"/>
  <c r="O62" i="1" s="1"/>
  <c r="Q62" i="1" s="1"/>
  <c r="L62" i="1"/>
  <c r="N62" i="1" s="1"/>
  <c r="P62" i="1" s="1"/>
  <c r="R65" i="1" l="1"/>
  <c r="V66" i="1" s="1"/>
  <c r="T65" i="1"/>
  <c r="X66" i="1" s="1"/>
  <c r="S65" i="1"/>
  <c r="W66" i="1" s="1"/>
  <c r="M63" i="1"/>
  <c r="O63" i="1" s="1"/>
  <c r="Q63" i="1" s="1"/>
  <c r="L63" i="1"/>
  <c r="N63" i="1" s="1"/>
  <c r="P63" i="1" s="1"/>
  <c r="S66" i="1" l="1"/>
  <c r="W67" i="1" s="1"/>
  <c r="T66" i="1"/>
  <c r="X67" i="1" s="1"/>
  <c r="R66" i="1"/>
  <c r="V67" i="1" s="1"/>
  <c r="M64" i="1"/>
  <c r="O64" i="1" s="1"/>
  <c r="Q64" i="1" s="1"/>
  <c r="L64" i="1"/>
  <c r="N64" i="1" s="1"/>
  <c r="P64" i="1" s="1"/>
  <c r="R67" i="1" l="1"/>
  <c r="V68" i="1" s="1"/>
  <c r="T67" i="1"/>
  <c r="X68" i="1" s="1"/>
  <c r="S67" i="1"/>
  <c r="W68" i="1" s="1"/>
  <c r="M65" i="1"/>
  <c r="O65" i="1" s="1"/>
  <c r="Q65" i="1" s="1"/>
  <c r="L65" i="1"/>
  <c r="N65" i="1" s="1"/>
  <c r="P65" i="1" s="1"/>
  <c r="S68" i="1" l="1"/>
  <c r="W69" i="1" s="1"/>
  <c r="R68" i="1"/>
  <c r="V69" i="1" s="1"/>
  <c r="T68" i="1"/>
  <c r="X69" i="1" s="1"/>
  <c r="M66" i="1"/>
  <c r="O66" i="1" s="1"/>
  <c r="Q66" i="1" s="1"/>
  <c r="L66" i="1"/>
  <c r="N66" i="1" s="1"/>
  <c r="P66" i="1" s="1"/>
  <c r="T69" i="1" l="1"/>
  <c r="X70" i="1" s="1"/>
  <c r="R69" i="1"/>
  <c r="V70" i="1" s="1"/>
  <c r="S69" i="1"/>
  <c r="W70" i="1" s="1"/>
  <c r="M67" i="1"/>
  <c r="O67" i="1" s="1"/>
  <c r="Q67" i="1" s="1"/>
  <c r="L67" i="1"/>
  <c r="N67" i="1" s="1"/>
  <c r="P67" i="1" s="1"/>
  <c r="S70" i="1" l="1"/>
  <c r="W71" i="1" s="1"/>
  <c r="R70" i="1"/>
  <c r="V71" i="1" s="1"/>
  <c r="T70" i="1"/>
  <c r="X71" i="1" s="1"/>
  <c r="M68" i="1"/>
  <c r="O68" i="1" s="1"/>
  <c r="Q68" i="1" s="1"/>
  <c r="L68" i="1"/>
  <c r="N68" i="1" s="1"/>
  <c r="P68" i="1" s="1"/>
  <c r="R71" i="1" l="1"/>
  <c r="V72" i="1" s="1"/>
  <c r="S71" i="1"/>
  <c r="W72" i="1" s="1"/>
  <c r="T71" i="1"/>
  <c r="X72" i="1" s="1"/>
  <c r="M69" i="1"/>
  <c r="O69" i="1" s="1"/>
  <c r="Q69" i="1" s="1"/>
  <c r="L69" i="1"/>
  <c r="N69" i="1" s="1"/>
  <c r="P69" i="1" s="1"/>
  <c r="S72" i="1" l="1"/>
  <c r="W73" i="1" s="1"/>
  <c r="R72" i="1"/>
  <c r="V73" i="1" s="1"/>
  <c r="T72" i="1"/>
  <c r="X73" i="1" s="1"/>
  <c r="M70" i="1"/>
  <c r="O70" i="1" s="1"/>
  <c r="Q70" i="1" s="1"/>
  <c r="L70" i="1"/>
  <c r="N70" i="1" s="1"/>
  <c r="P70" i="1" s="1"/>
  <c r="T73" i="1" l="1"/>
  <c r="X74" i="1" s="1"/>
  <c r="R73" i="1"/>
  <c r="V74" i="1" s="1"/>
  <c r="S73" i="1"/>
  <c r="W74" i="1" s="1"/>
  <c r="M71" i="1"/>
  <c r="O71" i="1" s="1"/>
  <c r="Q71" i="1" s="1"/>
  <c r="L71" i="1"/>
  <c r="N71" i="1" s="1"/>
  <c r="P71" i="1" s="1"/>
  <c r="S74" i="1" l="1"/>
  <c r="W75" i="1"/>
  <c r="R74" i="1"/>
  <c r="V75" i="1" s="1"/>
  <c r="T74" i="1"/>
  <c r="X75" i="1" s="1"/>
  <c r="M72" i="1"/>
  <c r="O72" i="1" s="1"/>
  <c r="Q72" i="1" s="1"/>
  <c r="L72" i="1"/>
  <c r="N72" i="1" s="1"/>
  <c r="P72" i="1" s="1"/>
  <c r="T75" i="1" l="1"/>
  <c r="X76" i="1" s="1"/>
  <c r="R75" i="1"/>
  <c r="V76" i="1" s="1"/>
  <c r="S75" i="1"/>
  <c r="W76" i="1" s="1"/>
  <c r="M73" i="1"/>
  <c r="O73" i="1" s="1"/>
  <c r="Q73" i="1" s="1"/>
  <c r="L73" i="1"/>
  <c r="N73" i="1" s="1"/>
  <c r="P73" i="1" s="1"/>
  <c r="S76" i="1" l="1"/>
  <c r="W77" i="1" s="1"/>
  <c r="R76" i="1"/>
  <c r="V77" i="1" s="1"/>
  <c r="T76" i="1"/>
  <c r="X77" i="1" s="1"/>
  <c r="L74" i="1"/>
  <c r="N74" i="1" s="1"/>
  <c r="P74" i="1" s="1"/>
  <c r="M74" i="1"/>
  <c r="O74" i="1" s="1"/>
  <c r="Q74" i="1" s="1"/>
  <c r="R77" i="1" l="1"/>
  <c r="V78" i="1" s="1"/>
  <c r="T77" i="1"/>
  <c r="X78" i="1" s="1"/>
  <c r="S77" i="1"/>
  <c r="W78" i="1" s="1"/>
  <c r="M75" i="1"/>
  <c r="O75" i="1" s="1"/>
  <c r="Q75" i="1" s="1"/>
  <c r="L75" i="1"/>
  <c r="N75" i="1" s="1"/>
  <c r="P75" i="1" s="1"/>
  <c r="S78" i="1" l="1"/>
  <c r="W79" i="1" s="1"/>
  <c r="R78" i="1"/>
  <c r="V79" i="1" s="1"/>
  <c r="T78" i="1"/>
  <c r="X79" i="1" s="1"/>
  <c r="M76" i="1"/>
  <c r="O76" i="1" s="1"/>
  <c r="Q76" i="1" s="1"/>
  <c r="L76" i="1"/>
  <c r="N76" i="1" s="1"/>
  <c r="P76" i="1" s="1"/>
  <c r="T79" i="1" l="1"/>
  <c r="X80" i="1" s="1"/>
  <c r="S79" i="1"/>
  <c r="W80" i="1" s="1"/>
  <c r="R79" i="1"/>
  <c r="V80" i="1" s="1"/>
  <c r="M77" i="1"/>
  <c r="O77" i="1" s="1"/>
  <c r="Q77" i="1" s="1"/>
  <c r="L77" i="1"/>
  <c r="N77" i="1" s="1"/>
  <c r="P77" i="1" s="1"/>
  <c r="S80" i="1" l="1"/>
  <c r="W81" i="1" s="1"/>
  <c r="T80" i="1"/>
  <c r="X81" i="1" s="1"/>
  <c r="R80" i="1"/>
  <c r="V81" i="1" s="1"/>
  <c r="M78" i="1"/>
  <c r="O78" i="1" s="1"/>
  <c r="Q78" i="1" s="1"/>
  <c r="L78" i="1"/>
  <c r="N78" i="1" s="1"/>
  <c r="P78" i="1" s="1"/>
  <c r="R81" i="1" l="1"/>
  <c r="V82" i="1" s="1"/>
  <c r="S81" i="1"/>
  <c r="W82" i="1" s="1"/>
  <c r="T81" i="1"/>
  <c r="X82" i="1" s="1"/>
  <c r="M79" i="1"/>
  <c r="O79" i="1" s="1"/>
  <c r="Q79" i="1" s="1"/>
  <c r="L79" i="1"/>
  <c r="N79" i="1" s="1"/>
  <c r="P79" i="1" s="1"/>
  <c r="S82" i="1" l="1"/>
  <c r="W83" i="1" s="1"/>
  <c r="R82" i="1"/>
  <c r="V83" i="1" s="1"/>
  <c r="T82" i="1"/>
  <c r="X83" i="1" s="1"/>
  <c r="M80" i="1"/>
  <c r="O80" i="1" s="1"/>
  <c r="Q80" i="1" s="1"/>
  <c r="L80" i="1"/>
  <c r="N80" i="1" s="1"/>
  <c r="P80" i="1" s="1"/>
  <c r="T83" i="1" l="1"/>
  <c r="X84" i="1" s="1"/>
  <c r="R83" i="1"/>
  <c r="V84" i="1" s="1"/>
  <c r="S83" i="1"/>
  <c r="W84" i="1" s="1"/>
  <c r="M81" i="1"/>
  <c r="O81" i="1" s="1"/>
  <c r="Q81" i="1" s="1"/>
  <c r="L81" i="1"/>
  <c r="N81" i="1" s="1"/>
  <c r="P81" i="1" s="1"/>
  <c r="S84" i="1" l="1"/>
  <c r="W85" i="1" s="1"/>
  <c r="R84" i="1"/>
  <c r="V85" i="1" s="1"/>
  <c r="T84" i="1"/>
  <c r="X85" i="1" s="1"/>
  <c r="M82" i="1"/>
  <c r="O82" i="1" s="1"/>
  <c r="Q82" i="1" s="1"/>
  <c r="L82" i="1"/>
  <c r="N82" i="1" s="1"/>
  <c r="P82" i="1" s="1"/>
  <c r="T85" i="1" l="1"/>
  <c r="X86" i="1" s="1"/>
  <c r="R85" i="1"/>
  <c r="V86" i="1" s="1"/>
  <c r="S85" i="1"/>
  <c r="W86" i="1" s="1"/>
  <c r="L83" i="1"/>
  <c r="N83" i="1" s="1"/>
  <c r="P83" i="1" s="1"/>
  <c r="M83" i="1"/>
  <c r="O83" i="1" s="1"/>
  <c r="Q83" i="1" s="1"/>
  <c r="S86" i="1" l="1"/>
  <c r="W87" i="1" s="1"/>
  <c r="R86" i="1"/>
  <c r="V87" i="1" s="1"/>
  <c r="T86" i="1"/>
  <c r="X87" i="1" s="1"/>
  <c r="M84" i="1"/>
  <c r="O84" i="1" s="1"/>
  <c r="Q84" i="1" s="1"/>
  <c r="L84" i="1"/>
  <c r="N84" i="1" s="1"/>
  <c r="P84" i="1" s="1"/>
  <c r="T87" i="1" l="1"/>
  <c r="X88" i="1" s="1"/>
  <c r="S87" i="1"/>
  <c r="W88" i="1" s="1"/>
  <c r="R87" i="1"/>
  <c r="V88" i="1" s="1"/>
  <c r="M85" i="1"/>
  <c r="O85" i="1" s="1"/>
  <c r="Q85" i="1" s="1"/>
  <c r="L85" i="1"/>
  <c r="N85" i="1" s="1"/>
  <c r="P85" i="1" s="1"/>
  <c r="R88" i="1" l="1"/>
  <c r="V89" i="1" s="1"/>
  <c r="S88" i="1"/>
  <c r="W89" i="1"/>
  <c r="T88" i="1"/>
  <c r="X89" i="1" s="1"/>
  <c r="M86" i="1"/>
  <c r="O86" i="1" s="1"/>
  <c r="Q86" i="1" s="1"/>
  <c r="L86" i="1"/>
  <c r="N86" i="1" s="1"/>
  <c r="P86" i="1" s="1"/>
  <c r="T89" i="1" l="1"/>
  <c r="X90" i="1" s="1"/>
  <c r="R89" i="1"/>
  <c r="V90" i="1" s="1"/>
  <c r="S89" i="1"/>
  <c r="W90" i="1" s="1"/>
  <c r="M87" i="1"/>
  <c r="O87" i="1" s="1"/>
  <c r="Q87" i="1" s="1"/>
  <c r="L87" i="1"/>
  <c r="N87" i="1" s="1"/>
  <c r="P87" i="1" s="1"/>
  <c r="T90" i="1" l="1"/>
  <c r="X91" i="1" s="1"/>
  <c r="S90" i="1"/>
  <c r="W91" i="1" s="1"/>
  <c r="R90" i="1"/>
  <c r="V91" i="1" s="1"/>
  <c r="M88" i="1"/>
  <c r="O88" i="1" s="1"/>
  <c r="Q88" i="1" s="1"/>
  <c r="L88" i="1"/>
  <c r="N88" i="1" s="1"/>
  <c r="P88" i="1" s="1"/>
  <c r="S91" i="1" l="1"/>
  <c r="W92" i="1" s="1"/>
  <c r="T91" i="1"/>
  <c r="X92" i="1" s="1"/>
  <c r="R91" i="1"/>
  <c r="V92" i="1" s="1"/>
  <c r="M89" i="1"/>
  <c r="O89" i="1" s="1"/>
  <c r="Q89" i="1" s="1"/>
  <c r="L89" i="1"/>
  <c r="N89" i="1" s="1"/>
  <c r="P89" i="1" s="1"/>
  <c r="R92" i="1" l="1"/>
  <c r="V93" i="1" s="1"/>
  <c r="S92" i="1"/>
  <c r="W93" i="1" s="1"/>
  <c r="T92" i="1"/>
  <c r="X93" i="1" s="1"/>
  <c r="M90" i="1"/>
  <c r="O90" i="1" s="1"/>
  <c r="Q90" i="1" s="1"/>
  <c r="L90" i="1"/>
  <c r="N90" i="1" s="1"/>
  <c r="P90" i="1" s="1"/>
  <c r="T93" i="1" l="1"/>
  <c r="X94" i="1" s="1"/>
  <c r="R93" i="1"/>
  <c r="V94" i="1" s="1"/>
  <c r="S93" i="1"/>
  <c r="W94" i="1" s="1"/>
  <c r="M91" i="1"/>
  <c r="O91" i="1" s="1"/>
  <c r="Q91" i="1" s="1"/>
  <c r="L91" i="1"/>
  <c r="N91" i="1" s="1"/>
  <c r="P91" i="1" s="1"/>
  <c r="S94" i="1" l="1"/>
  <c r="W95" i="1" s="1"/>
  <c r="R94" i="1"/>
  <c r="V95" i="1" s="1"/>
  <c r="T94" i="1"/>
  <c r="X95" i="1" s="1"/>
  <c r="M92" i="1"/>
  <c r="O92" i="1" s="1"/>
  <c r="Q92" i="1" s="1"/>
  <c r="L92" i="1"/>
  <c r="N92" i="1" s="1"/>
  <c r="P92" i="1" s="1"/>
  <c r="T95" i="1" l="1"/>
  <c r="X96" i="1" s="1"/>
  <c r="R95" i="1"/>
  <c r="V96" i="1" s="1"/>
  <c r="S95" i="1"/>
  <c r="W96" i="1" s="1"/>
  <c r="M93" i="1"/>
  <c r="O93" i="1" s="1"/>
  <c r="Q93" i="1" s="1"/>
  <c r="L93" i="1"/>
  <c r="N93" i="1" s="1"/>
  <c r="P93" i="1" s="1"/>
  <c r="S96" i="1" l="1"/>
  <c r="W97" i="1" s="1"/>
  <c r="R96" i="1"/>
  <c r="V97" i="1" s="1"/>
  <c r="T96" i="1"/>
  <c r="X97" i="1" s="1"/>
  <c r="M94" i="1"/>
  <c r="O94" i="1" s="1"/>
  <c r="Q94" i="1" s="1"/>
  <c r="L94" i="1"/>
  <c r="N94" i="1" s="1"/>
  <c r="P94" i="1" s="1"/>
  <c r="R97" i="1" l="1"/>
  <c r="V98" i="1" s="1"/>
  <c r="T97" i="1"/>
  <c r="X98" i="1" s="1"/>
  <c r="S97" i="1"/>
  <c r="W98" i="1" s="1"/>
  <c r="M95" i="1"/>
  <c r="O95" i="1" s="1"/>
  <c r="Q95" i="1" s="1"/>
  <c r="L95" i="1"/>
  <c r="N95" i="1" s="1"/>
  <c r="P95" i="1" s="1"/>
  <c r="S98" i="1" l="1"/>
  <c r="W99" i="1" s="1"/>
  <c r="R98" i="1"/>
  <c r="V99" i="1" s="1"/>
  <c r="T98" i="1"/>
  <c r="X99" i="1" s="1"/>
  <c r="M96" i="1"/>
  <c r="O96" i="1" s="1"/>
  <c r="Q96" i="1" s="1"/>
  <c r="L96" i="1"/>
  <c r="N96" i="1" s="1"/>
  <c r="P96" i="1" s="1"/>
  <c r="T99" i="1" l="1"/>
  <c r="X100" i="1" s="1"/>
  <c r="S99" i="1"/>
  <c r="W100" i="1" s="1"/>
  <c r="R99" i="1"/>
  <c r="V100" i="1" s="1"/>
  <c r="M97" i="1"/>
  <c r="O97" i="1" s="1"/>
  <c r="Q97" i="1" s="1"/>
  <c r="L97" i="1"/>
  <c r="N97" i="1" s="1"/>
  <c r="P97" i="1" s="1"/>
  <c r="S100" i="1" l="1"/>
  <c r="W101" i="1" s="1"/>
  <c r="R100" i="1"/>
  <c r="V101" i="1" s="1"/>
  <c r="T100" i="1"/>
  <c r="X101" i="1" s="1"/>
  <c r="M98" i="1"/>
  <c r="O98" i="1" s="1"/>
  <c r="Q98" i="1" s="1"/>
  <c r="L98" i="1"/>
  <c r="N98" i="1" s="1"/>
  <c r="P98" i="1" s="1"/>
  <c r="R101" i="1" l="1"/>
  <c r="V102" i="1" s="1"/>
  <c r="T101" i="1"/>
  <c r="X102" i="1" s="1"/>
  <c r="S101" i="1"/>
  <c r="W102" i="1" s="1"/>
  <c r="M99" i="1"/>
  <c r="O99" i="1" s="1"/>
  <c r="Q99" i="1" s="1"/>
  <c r="L99" i="1"/>
  <c r="N99" i="1" s="1"/>
  <c r="P99" i="1" s="1"/>
  <c r="T102" i="1" l="1"/>
  <c r="X103" i="1" s="1"/>
  <c r="S102" i="1"/>
  <c r="W103" i="1" s="1"/>
  <c r="R102" i="1"/>
  <c r="V103" i="1" s="1"/>
  <c r="M100" i="1"/>
  <c r="O100" i="1" s="1"/>
  <c r="Q100" i="1" s="1"/>
  <c r="L100" i="1"/>
  <c r="N100" i="1" s="1"/>
  <c r="P100" i="1" s="1"/>
  <c r="R103" i="1" l="1"/>
  <c r="V104" i="1" s="1"/>
  <c r="S103" i="1"/>
  <c r="W104" i="1" s="1"/>
  <c r="T103" i="1"/>
  <c r="X104" i="1" s="1"/>
  <c r="M101" i="1"/>
  <c r="O101" i="1" s="1"/>
  <c r="Q101" i="1" s="1"/>
  <c r="L101" i="1"/>
  <c r="N101" i="1" s="1"/>
  <c r="P101" i="1" s="1"/>
  <c r="T104" i="1" l="1"/>
  <c r="X105" i="1" s="1"/>
  <c r="R104" i="1"/>
  <c r="V105" i="1" s="1"/>
  <c r="S104" i="1"/>
  <c r="W105" i="1" s="1"/>
  <c r="M102" i="1"/>
  <c r="O102" i="1" s="1"/>
  <c r="Q102" i="1" s="1"/>
  <c r="L102" i="1"/>
  <c r="N102" i="1" s="1"/>
  <c r="P102" i="1" s="1"/>
  <c r="S105" i="1" l="1"/>
  <c r="W106" i="1" s="1"/>
  <c r="T105" i="1"/>
  <c r="X106" i="1" s="1"/>
  <c r="R105" i="1"/>
  <c r="V106" i="1" s="1"/>
  <c r="M103" i="1"/>
  <c r="O103" i="1" s="1"/>
  <c r="Q103" i="1" s="1"/>
  <c r="L103" i="1"/>
  <c r="N103" i="1" s="1"/>
  <c r="P103" i="1" s="1"/>
  <c r="R106" i="1" l="1"/>
  <c r="V107" i="1" s="1"/>
  <c r="T106" i="1"/>
  <c r="X107" i="1" s="1"/>
  <c r="S106" i="1"/>
  <c r="W107" i="1" s="1"/>
  <c r="M104" i="1"/>
  <c r="O104" i="1" s="1"/>
  <c r="Q104" i="1" s="1"/>
  <c r="L104" i="1"/>
  <c r="N104" i="1" s="1"/>
  <c r="P104" i="1" s="1"/>
  <c r="S107" i="1" l="1"/>
  <c r="W108" i="1" s="1"/>
  <c r="T107" i="1"/>
  <c r="X108" i="1" s="1"/>
  <c r="R107" i="1"/>
  <c r="V108" i="1" s="1"/>
  <c r="M105" i="1"/>
  <c r="O105" i="1" s="1"/>
  <c r="Q105" i="1" s="1"/>
  <c r="L105" i="1"/>
  <c r="N105" i="1" s="1"/>
  <c r="P105" i="1" s="1"/>
  <c r="R108" i="1" l="1"/>
  <c r="V109" i="1" s="1"/>
  <c r="T108" i="1"/>
  <c r="X109" i="1" s="1"/>
  <c r="S108" i="1"/>
  <c r="W109" i="1" s="1"/>
  <c r="M106" i="1"/>
  <c r="O106" i="1" s="1"/>
  <c r="Q106" i="1" s="1"/>
  <c r="L106" i="1"/>
  <c r="N106" i="1" s="1"/>
  <c r="P106" i="1" s="1"/>
  <c r="R109" i="1" l="1"/>
  <c r="V110" i="1" s="1"/>
  <c r="S109" i="1"/>
  <c r="W110" i="1" s="1"/>
  <c r="T109" i="1"/>
  <c r="X110" i="1" s="1"/>
  <c r="M107" i="1"/>
  <c r="O107" i="1" s="1"/>
  <c r="Q107" i="1" s="1"/>
  <c r="L107" i="1"/>
  <c r="N107" i="1" s="1"/>
  <c r="P107" i="1" s="1"/>
  <c r="S110" i="1" l="1"/>
  <c r="W111" i="1" s="1"/>
  <c r="R110" i="1"/>
  <c r="V111" i="1"/>
  <c r="T110" i="1"/>
  <c r="X111" i="1" s="1"/>
  <c r="M108" i="1"/>
  <c r="O108" i="1" s="1"/>
  <c r="Q108" i="1" s="1"/>
  <c r="L108" i="1"/>
  <c r="N108" i="1" s="1"/>
  <c r="P108" i="1" s="1"/>
  <c r="S111" i="1" l="1"/>
  <c r="W112" i="1" s="1"/>
  <c r="T111" i="1"/>
  <c r="X112" i="1" s="1"/>
  <c r="R111" i="1"/>
  <c r="V112" i="1" s="1"/>
  <c r="M109" i="1"/>
  <c r="O109" i="1" s="1"/>
  <c r="Q109" i="1" s="1"/>
  <c r="L109" i="1"/>
  <c r="N109" i="1" s="1"/>
  <c r="P109" i="1" s="1"/>
  <c r="R112" i="1" l="1"/>
  <c r="V113" i="1" s="1"/>
  <c r="T112" i="1"/>
  <c r="X113" i="1"/>
  <c r="S112" i="1"/>
  <c r="W113" i="1" s="1"/>
  <c r="M110" i="1"/>
  <c r="O110" i="1" s="1"/>
  <c r="Q110" i="1" s="1"/>
  <c r="L110" i="1"/>
  <c r="N110" i="1" s="1"/>
  <c r="P110" i="1" s="1"/>
  <c r="S113" i="1" l="1"/>
  <c r="W114" i="1" s="1"/>
  <c r="R113" i="1"/>
  <c r="V114" i="1" s="1"/>
  <c r="T113" i="1"/>
  <c r="X114" i="1" s="1"/>
  <c r="M111" i="1"/>
  <c r="O111" i="1" s="1"/>
  <c r="Q111" i="1" s="1"/>
  <c r="L111" i="1"/>
  <c r="N111" i="1" s="1"/>
  <c r="P111" i="1" s="1"/>
  <c r="R114" i="1" l="1"/>
  <c r="V115" i="1" s="1"/>
  <c r="S114" i="1"/>
  <c r="W115" i="1" s="1"/>
  <c r="T114" i="1"/>
  <c r="X115" i="1" s="1"/>
  <c r="M112" i="1"/>
  <c r="O112" i="1" s="1"/>
  <c r="Q112" i="1" s="1"/>
  <c r="L112" i="1"/>
  <c r="N112" i="1" s="1"/>
  <c r="P112" i="1" s="1"/>
  <c r="T115" i="1" l="1"/>
  <c r="X116" i="1" s="1"/>
  <c r="S115" i="1"/>
  <c r="W116" i="1" s="1"/>
  <c r="R115" i="1"/>
  <c r="V116" i="1" s="1"/>
  <c r="M113" i="1"/>
  <c r="O113" i="1" s="1"/>
  <c r="Q113" i="1" s="1"/>
  <c r="L113" i="1"/>
  <c r="N113" i="1" s="1"/>
  <c r="P113" i="1" s="1"/>
  <c r="R116" i="1" l="1"/>
  <c r="V117" i="1" s="1"/>
  <c r="S116" i="1"/>
  <c r="W117" i="1" s="1"/>
  <c r="T116" i="1"/>
  <c r="X117" i="1"/>
  <c r="M114" i="1"/>
  <c r="O114" i="1" s="1"/>
  <c r="Q114" i="1" s="1"/>
  <c r="L114" i="1"/>
  <c r="N114" i="1" s="1"/>
  <c r="P114" i="1" s="1"/>
  <c r="R117" i="1" l="1"/>
  <c r="V118" i="1" s="1"/>
  <c r="T117" i="1"/>
  <c r="X118" i="1" s="1"/>
  <c r="S117" i="1"/>
  <c r="W118" i="1" s="1"/>
  <c r="M115" i="1"/>
  <c r="O115" i="1" s="1"/>
  <c r="Q115" i="1" s="1"/>
  <c r="L115" i="1"/>
  <c r="N115" i="1" s="1"/>
  <c r="P115" i="1" s="1"/>
  <c r="T118" i="1" l="1"/>
  <c r="X119" i="1" s="1"/>
  <c r="S118" i="1"/>
  <c r="W119" i="1" s="1"/>
  <c r="R118" i="1"/>
  <c r="V119" i="1" s="1"/>
  <c r="M116" i="1"/>
  <c r="O116" i="1" s="1"/>
  <c r="Q116" i="1" s="1"/>
  <c r="L116" i="1"/>
  <c r="N116" i="1" s="1"/>
  <c r="P116" i="1" s="1"/>
  <c r="R119" i="1" l="1"/>
  <c r="V120" i="1" s="1"/>
  <c r="S119" i="1"/>
  <c r="W120" i="1" s="1"/>
  <c r="T119" i="1"/>
  <c r="X120" i="1" s="1"/>
  <c r="M117" i="1"/>
  <c r="O117" i="1" s="1"/>
  <c r="Q117" i="1" s="1"/>
  <c r="L117" i="1"/>
  <c r="N117" i="1" s="1"/>
  <c r="P117" i="1" s="1"/>
  <c r="S120" i="1" l="1"/>
  <c r="W121" i="1" s="1"/>
  <c r="R120" i="1"/>
  <c r="V121" i="1"/>
  <c r="T120" i="1"/>
  <c r="X121" i="1" s="1"/>
  <c r="M118" i="1"/>
  <c r="O118" i="1" s="1"/>
  <c r="Q118" i="1" s="1"/>
  <c r="L118" i="1"/>
  <c r="N118" i="1" s="1"/>
  <c r="P118" i="1" s="1"/>
  <c r="T121" i="1" l="1"/>
  <c r="X122" i="1" s="1"/>
  <c r="S121" i="1"/>
  <c r="W122" i="1" s="1"/>
  <c r="R121" i="1"/>
  <c r="V122" i="1" s="1"/>
  <c r="M119" i="1"/>
  <c r="O119" i="1" s="1"/>
  <c r="Q119" i="1" s="1"/>
  <c r="L119" i="1"/>
  <c r="N119" i="1" s="1"/>
  <c r="P119" i="1" s="1"/>
  <c r="S122" i="1" l="1"/>
  <c r="W123" i="1" s="1"/>
  <c r="R122" i="1"/>
  <c r="V123" i="1" s="1"/>
  <c r="T122" i="1"/>
  <c r="X123" i="1" s="1"/>
  <c r="M120" i="1"/>
  <c r="O120" i="1" s="1"/>
  <c r="Q120" i="1" s="1"/>
  <c r="L120" i="1"/>
  <c r="N120" i="1" s="1"/>
  <c r="P120" i="1" s="1"/>
  <c r="T123" i="1" l="1"/>
  <c r="X124" i="1" s="1"/>
  <c r="R123" i="1"/>
  <c r="V124" i="1" s="1"/>
  <c r="S123" i="1"/>
  <c r="W124" i="1" s="1"/>
  <c r="M121" i="1"/>
  <c r="O121" i="1" s="1"/>
  <c r="Q121" i="1" s="1"/>
  <c r="L121" i="1"/>
  <c r="N121" i="1" s="1"/>
  <c r="P121" i="1" s="1"/>
  <c r="S124" i="1" l="1"/>
  <c r="W125" i="1" s="1"/>
  <c r="T124" i="1"/>
  <c r="X125" i="1" s="1"/>
  <c r="R124" i="1"/>
  <c r="V125" i="1" s="1"/>
  <c r="M122" i="1"/>
  <c r="O122" i="1" s="1"/>
  <c r="Q122" i="1" s="1"/>
  <c r="L122" i="1"/>
  <c r="N122" i="1" s="1"/>
  <c r="P122" i="1" s="1"/>
  <c r="R125" i="1" l="1"/>
  <c r="V126" i="1" s="1"/>
  <c r="T125" i="1"/>
  <c r="X126" i="1" s="1"/>
  <c r="S125" i="1"/>
  <c r="W126" i="1" s="1"/>
  <c r="M123" i="1"/>
  <c r="O123" i="1" s="1"/>
  <c r="Q123" i="1" s="1"/>
  <c r="L123" i="1"/>
  <c r="N123" i="1" s="1"/>
  <c r="P123" i="1" s="1"/>
  <c r="S126" i="1" l="1"/>
  <c r="W127" i="1" s="1"/>
  <c r="T126" i="1"/>
  <c r="X127" i="1" s="1"/>
  <c r="R126" i="1"/>
  <c r="V127" i="1" s="1"/>
  <c r="M124" i="1"/>
  <c r="O124" i="1" s="1"/>
  <c r="Q124" i="1" s="1"/>
  <c r="L124" i="1"/>
  <c r="N124" i="1" s="1"/>
  <c r="P124" i="1" s="1"/>
  <c r="R127" i="1" l="1"/>
  <c r="V128" i="1" s="1"/>
  <c r="T127" i="1"/>
  <c r="X128" i="1" s="1"/>
  <c r="S127" i="1"/>
  <c r="W128" i="1" s="1"/>
  <c r="M125" i="1"/>
  <c r="O125" i="1" s="1"/>
  <c r="Q125" i="1" s="1"/>
  <c r="L125" i="1"/>
  <c r="N125" i="1" s="1"/>
  <c r="P125" i="1" s="1"/>
  <c r="S128" i="1" l="1"/>
  <c r="W129" i="1" s="1"/>
  <c r="T128" i="1"/>
  <c r="X129" i="1" s="1"/>
  <c r="R128" i="1"/>
  <c r="V129" i="1" s="1"/>
  <c r="M126" i="1"/>
  <c r="O126" i="1" s="1"/>
  <c r="Q126" i="1" s="1"/>
  <c r="L126" i="1"/>
  <c r="N126" i="1" s="1"/>
  <c r="P126" i="1" s="1"/>
  <c r="R129" i="1" l="1"/>
  <c r="V130" i="1" s="1"/>
  <c r="T129" i="1"/>
  <c r="X130" i="1" s="1"/>
  <c r="S129" i="1"/>
  <c r="W130" i="1" s="1"/>
  <c r="M127" i="1"/>
  <c r="O127" i="1" s="1"/>
  <c r="Q127" i="1" s="1"/>
  <c r="L127" i="1"/>
  <c r="N127" i="1" s="1"/>
  <c r="P127" i="1" s="1"/>
  <c r="S130" i="1" l="1"/>
  <c r="W131" i="1" s="1"/>
  <c r="R130" i="1"/>
  <c r="V131" i="1" s="1"/>
  <c r="T130" i="1"/>
  <c r="X131" i="1" s="1"/>
  <c r="M128" i="1"/>
  <c r="O128" i="1" s="1"/>
  <c r="Q128" i="1" s="1"/>
  <c r="L128" i="1"/>
  <c r="N128" i="1" s="1"/>
  <c r="P128" i="1" s="1"/>
  <c r="R131" i="1" l="1"/>
  <c r="V132" i="1" s="1"/>
  <c r="S131" i="1"/>
  <c r="W132" i="1" s="1"/>
  <c r="T131" i="1"/>
  <c r="X132" i="1" s="1"/>
  <c r="M129" i="1"/>
  <c r="O129" i="1" s="1"/>
  <c r="Q129" i="1" s="1"/>
  <c r="L129" i="1"/>
  <c r="N129" i="1" s="1"/>
  <c r="P129" i="1" s="1"/>
  <c r="S132" i="1" l="1"/>
  <c r="W133" i="1" s="1"/>
  <c r="T132" i="1"/>
  <c r="X133" i="1" s="1"/>
  <c r="R132" i="1"/>
  <c r="V133" i="1" s="1"/>
  <c r="M130" i="1"/>
  <c r="O130" i="1" s="1"/>
  <c r="Q130" i="1" s="1"/>
  <c r="L130" i="1"/>
  <c r="N130" i="1" s="1"/>
  <c r="P130" i="1" s="1"/>
  <c r="R133" i="1" l="1"/>
  <c r="V134" i="1" s="1"/>
  <c r="T133" i="1"/>
  <c r="X134" i="1" s="1"/>
  <c r="S133" i="1"/>
  <c r="W134" i="1" s="1"/>
  <c r="M131" i="1"/>
  <c r="O131" i="1" s="1"/>
  <c r="Q131" i="1" s="1"/>
  <c r="L131" i="1"/>
  <c r="N131" i="1" s="1"/>
  <c r="P131" i="1" s="1"/>
  <c r="S134" i="1" l="1"/>
  <c r="W135" i="1" s="1"/>
  <c r="T134" i="1"/>
  <c r="X135" i="1" s="1"/>
  <c r="R134" i="1"/>
  <c r="V135" i="1" s="1"/>
  <c r="M132" i="1"/>
  <c r="O132" i="1" s="1"/>
  <c r="Q132" i="1" s="1"/>
  <c r="L132" i="1"/>
  <c r="N132" i="1" s="1"/>
  <c r="P132" i="1" s="1"/>
  <c r="T135" i="1" l="1"/>
  <c r="X136" i="1" s="1"/>
  <c r="R135" i="1"/>
  <c r="V136" i="1" s="1"/>
  <c r="S135" i="1"/>
  <c r="W136" i="1" s="1"/>
  <c r="M133" i="1"/>
  <c r="O133" i="1" s="1"/>
  <c r="Q133" i="1" s="1"/>
  <c r="L133" i="1"/>
  <c r="N133" i="1" s="1"/>
  <c r="P133" i="1" s="1"/>
  <c r="S136" i="1" l="1"/>
  <c r="W137" i="1" s="1"/>
  <c r="R136" i="1"/>
  <c r="V137" i="1" s="1"/>
  <c r="T136" i="1"/>
  <c r="X137" i="1" s="1"/>
  <c r="M134" i="1"/>
  <c r="O134" i="1" s="1"/>
  <c r="Q134" i="1" s="1"/>
  <c r="L134" i="1"/>
  <c r="N134" i="1" s="1"/>
  <c r="P134" i="1" s="1"/>
  <c r="T137" i="1" l="1"/>
  <c r="X138" i="1" s="1"/>
  <c r="R137" i="1"/>
  <c r="V138" i="1" s="1"/>
  <c r="S137" i="1"/>
  <c r="W138" i="1" s="1"/>
  <c r="M135" i="1"/>
  <c r="O135" i="1" s="1"/>
  <c r="Q135" i="1" s="1"/>
  <c r="L135" i="1"/>
  <c r="N135" i="1" s="1"/>
  <c r="P135" i="1" s="1"/>
  <c r="S138" i="1" l="1"/>
  <c r="W139" i="1" s="1"/>
  <c r="T138" i="1"/>
  <c r="X139" i="1" s="1"/>
  <c r="R138" i="1"/>
  <c r="V139" i="1" s="1"/>
  <c r="M136" i="1"/>
  <c r="O136" i="1" s="1"/>
  <c r="Q136" i="1" s="1"/>
  <c r="L136" i="1"/>
  <c r="N136" i="1" s="1"/>
  <c r="P136" i="1" s="1"/>
  <c r="R139" i="1" l="1"/>
  <c r="V140" i="1" s="1"/>
  <c r="S139" i="1"/>
  <c r="W140" i="1" s="1"/>
  <c r="T139" i="1"/>
  <c r="X140" i="1" s="1"/>
  <c r="L137" i="1"/>
  <c r="N137" i="1" s="1"/>
  <c r="P137" i="1" s="1"/>
  <c r="M137" i="1"/>
  <c r="O137" i="1" s="1"/>
  <c r="Q137" i="1" s="1"/>
  <c r="S140" i="1" l="1"/>
  <c r="W141" i="1" s="1"/>
  <c r="R140" i="1"/>
  <c r="V141" i="1" s="1"/>
  <c r="T140" i="1"/>
  <c r="X141" i="1" s="1"/>
  <c r="M138" i="1"/>
  <c r="O138" i="1" s="1"/>
  <c r="Q138" i="1" s="1"/>
  <c r="L138" i="1"/>
  <c r="N138" i="1" s="1"/>
  <c r="P138" i="1" s="1"/>
  <c r="T141" i="1" l="1"/>
  <c r="X142" i="1" s="1"/>
  <c r="R141" i="1"/>
  <c r="V142" i="1" s="1"/>
  <c r="S141" i="1"/>
  <c r="W142" i="1" s="1"/>
  <c r="M139" i="1"/>
  <c r="O139" i="1" s="1"/>
  <c r="Q139" i="1" s="1"/>
  <c r="L139" i="1"/>
  <c r="N139" i="1" s="1"/>
  <c r="P139" i="1" s="1"/>
  <c r="S142" i="1" l="1"/>
  <c r="W143" i="1" s="1"/>
  <c r="R142" i="1"/>
  <c r="V143" i="1" s="1"/>
  <c r="T142" i="1"/>
  <c r="X143" i="1" s="1"/>
  <c r="M140" i="1"/>
  <c r="O140" i="1" s="1"/>
  <c r="Q140" i="1" s="1"/>
  <c r="L140" i="1"/>
  <c r="N140" i="1" s="1"/>
  <c r="P140" i="1" s="1"/>
  <c r="T143" i="1" l="1"/>
  <c r="X144" i="1" s="1"/>
  <c r="R143" i="1"/>
  <c r="V144" i="1" s="1"/>
  <c r="S143" i="1"/>
  <c r="W144" i="1" s="1"/>
  <c r="M141" i="1"/>
  <c r="O141" i="1" s="1"/>
  <c r="Q141" i="1" s="1"/>
  <c r="L141" i="1"/>
  <c r="N141" i="1" s="1"/>
  <c r="P141" i="1" s="1"/>
  <c r="S144" i="1" l="1"/>
  <c r="W145" i="1" s="1"/>
  <c r="T144" i="1"/>
  <c r="X145" i="1" s="1"/>
  <c r="R144" i="1"/>
  <c r="V145" i="1" s="1"/>
  <c r="M142" i="1"/>
  <c r="O142" i="1" s="1"/>
  <c r="Q142" i="1" s="1"/>
  <c r="L142" i="1"/>
  <c r="N142" i="1" s="1"/>
  <c r="P142" i="1" s="1"/>
  <c r="R145" i="1" l="1"/>
  <c r="V146" i="1" s="1"/>
  <c r="S145" i="1"/>
  <c r="W146" i="1" s="1"/>
  <c r="T145" i="1"/>
  <c r="X146" i="1" s="1"/>
  <c r="M143" i="1"/>
  <c r="O143" i="1" s="1"/>
  <c r="Q143" i="1" s="1"/>
  <c r="L143" i="1"/>
  <c r="N143" i="1" s="1"/>
  <c r="P143" i="1" s="1"/>
  <c r="T146" i="1" l="1"/>
  <c r="X147" i="1" s="1"/>
  <c r="S146" i="1"/>
  <c r="W147" i="1" s="1"/>
  <c r="R146" i="1"/>
  <c r="V147" i="1" s="1"/>
  <c r="M144" i="1"/>
  <c r="O144" i="1" s="1"/>
  <c r="Q144" i="1" s="1"/>
  <c r="L144" i="1"/>
  <c r="N144" i="1" s="1"/>
  <c r="P144" i="1" s="1"/>
  <c r="R147" i="1" l="1"/>
  <c r="V148" i="1" s="1"/>
  <c r="S147" i="1"/>
  <c r="W148" i="1" s="1"/>
  <c r="T147" i="1"/>
  <c r="X148" i="1" s="1"/>
  <c r="M145" i="1"/>
  <c r="O145" i="1" s="1"/>
  <c r="Q145" i="1" s="1"/>
  <c r="L145" i="1"/>
  <c r="N145" i="1" s="1"/>
  <c r="P145" i="1" s="1"/>
  <c r="S148" i="1" l="1"/>
  <c r="W149" i="1" s="1"/>
  <c r="R148" i="1"/>
  <c r="V149" i="1" s="1"/>
  <c r="T148" i="1"/>
  <c r="X149" i="1" s="1"/>
  <c r="M146" i="1"/>
  <c r="O146" i="1" s="1"/>
  <c r="Q146" i="1" s="1"/>
  <c r="L146" i="1"/>
  <c r="N146" i="1" s="1"/>
  <c r="P146" i="1" s="1"/>
  <c r="T149" i="1" l="1"/>
  <c r="X150" i="1" s="1"/>
  <c r="S149" i="1"/>
  <c r="W150" i="1" s="1"/>
  <c r="R149" i="1"/>
  <c r="V150" i="1" s="1"/>
  <c r="M147" i="1"/>
  <c r="O147" i="1" s="1"/>
  <c r="Q147" i="1" s="1"/>
  <c r="L147" i="1"/>
  <c r="N147" i="1" s="1"/>
  <c r="P147" i="1" s="1"/>
  <c r="R150" i="1" l="1"/>
  <c r="V151" i="1" s="1"/>
  <c r="S150" i="1"/>
  <c r="W151" i="1" s="1"/>
  <c r="T150" i="1"/>
  <c r="X151" i="1" s="1"/>
  <c r="M148" i="1"/>
  <c r="O148" i="1" s="1"/>
  <c r="Q148" i="1" s="1"/>
  <c r="L148" i="1"/>
  <c r="N148" i="1" s="1"/>
  <c r="P148" i="1" s="1"/>
  <c r="S151" i="1" l="1"/>
  <c r="W152" i="1" s="1"/>
  <c r="T151" i="1"/>
  <c r="X152" i="1" s="1"/>
  <c r="R151" i="1"/>
  <c r="V152" i="1" s="1"/>
  <c r="M149" i="1"/>
  <c r="O149" i="1" s="1"/>
  <c r="Q149" i="1" s="1"/>
  <c r="L149" i="1"/>
  <c r="N149" i="1" s="1"/>
  <c r="P149" i="1" s="1"/>
  <c r="R152" i="1" l="1"/>
  <c r="V153" i="1" s="1"/>
  <c r="T152" i="1"/>
  <c r="X153" i="1" s="1"/>
  <c r="S152" i="1"/>
  <c r="W153" i="1" s="1"/>
  <c r="M150" i="1"/>
  <c r="O150" i="1" s="1"/>
  <c r="Q150" i="1" s="1"/>
  <c r="L150" i="1"/>
  <c r="N150" i="1" s="1"/>
  <c r="P150" i="1" s="1"/>
  <c r="S153" i="1" l="1"/>
  <c r="W154" i="1" s="1"/>
  <c r="T153" i="1"/>
  <c r="X154" i="1" s="1"/>
  <c r="R153" i="1"/>
  <c r="V154" i="1" s="1"/>
  <c r="M151" i="1"/>
  <c r="O151" i="1" s="1"/>
  <c r="Q151" i="1" s="1"/>
  <c r="L151" i="1"/>
  <c r="N151" i="1" s="1"/>
  <c r="P151" i="1" s="1"/>
  <c r="R154" i="1" l="1"/>
  <c r="V155" i="1" s="1"/>
  <c r="S154" i="1"/>
  <c r="W155" i="1" s="1"/>
  <c r="T154" i="1"/>
  <c r="X155" i="1" s="1"/>
  <c r="M152" i="1"/>
  <c r="O152" i="1" s="1"/>
  <c r="Q152" i="1" s="1"/>
  <c r="L152" i="1"/>
  <c r="N152" i="1" s="1"/>
  <c r="P152" i="1" s="1"/>
  <c r="S155" i="1" l="1"/>
  <c r="W156" i="1" s="1"/>
  <c r="R155" i="1"/>
  <c r="V156" i="1" s="1"/>
  <c r="T155" i="1"/>
  <c r="X156" i="1"/>
  <c r="M153" i="1"/>
  <c r="O153" i="1" s="1"/>
  <c r="Q153" i="1" s="1"/>
  <c r="L153" i="1"/>
  <c r="N153" i="1" s="1"/>
  <c r="P153" i="1" s="1"/>
  <c r="R156" i="1" l="1"/>
  <c r="V157" i="1" s="1"/>
  <c r="S156" i="1"/>
  <c r="W157" i="1" s="1"/>
  <c r="T156" i="1"/>
  <c r="X157" i="1" s="1"/>
  <c r="M154" i="1"/>
  <c r="O154" i="1" s="1"/>
  <c r="Q154" i="1" s="1"/>
  <c r="L154" i="1"/>
  <c r="N154" i="1" s="1"/>
  <c r="P154" i="1" s="1"/>
  <c r="T157" i="1" l="1"/>
  <c r="X158" i="1" s="1"/>
  <c r="S157" i="1"/>
  <c r="W158" i="1" s="1"/>
  <c r="R157" i="1"/>
  <c r="V158" i="1" s="1"/>
  <c r="M155" i="1"/>
  <c r="O155" i="1" s="1"/>
  <c r="Q155" i="1" s="1"/>
  <c r="L155" i="1"/>
  <c r="N155" i="1" s="1"/>
  <c r="P155" i="1" s="1"/>
  <c r="S158" i="1" l="1"/>
  <c r="W159" i="1" s="1"/>
  <c r="R158" i="1"/>
  <c r="V159" i="1" s="1"/>
  <c r="T158" i="1"/>
  <c r="X159" i="1" s="1"/>
  <c r="M156" i="1"/>
  <c r="O156" i="1" s="1"/>
  <c r="Q156" i="1" s="1"/>
  <c r="L156" i="1"/>
  <c r="N156" i="1" s="1"/>
  <c r="P156" i="1" s="1"/>
  <c r="T159" i="1" l="1"/>
  <c r="X160" i="1" s="1"/>
  <c r="S159" i="1"/>
  <c r="W160" i="1" s="1"/>
  <c r="R159" i="1"/>
  <c r="V160" i="1" s="1"/>
  <c r="M157" i="1"/>
  <c r="O157" i="1" s="1"/>
  <c r="Q157" i="1" s="1"/>
  <c r="L157" i="1"/>
  <c r="N157" i="1" s="1"/>
  <c r="P157" i="1" s="1"/>
  <c r="R160" i="1" l="1"/>
  <c r="V161" i="1" s="1"/>
  <c r="S160" i="1"/>
  <c r="W161" i="1" s="1"/>
  <c r="T160" i="1"/>
  <c r="X161" i="1" s="1"/>
  <c r="M158" i="1"/>
  <c r="O158" i="1" s="1"/>
  <c r="Q158" i="1" s="1"/>
  <c r="L158" i="1"/>
  <c r="N158" i="1" s="1"/>
  <c r="P158" i="1" s="1"/>
  <c r="T161" i="1" l="1"/>
  <c r="X162" i="1" s="1"/>
  <c r="S161" i="1"/>
  <c r="W162" i="1" s="1"/>
  <c r="R161" i="1"/>
  <c r="V162" i="1" s="1"/>
  <c r="M159" i="1"/>
  <c r="O159" i="1" s="1"/>
  <c r="Q159" i="1" s="1"/>
  <c r="L159" i="1"/>
  <c r="N159" i="1" s="1"/>
  <c r="P159" i="1" s="1"/>
  <c r="R162" i="1" l="1"/>
  <c r="V163" i="1" s="1"/>
  <c r="S162" i="1"/>
  <c r="W163" i="1" s="1"/>
  <c r="T162" i="1"/>
  <c r="X163" i="1" s="1"/>
  <c r="M160" i="1"/>
  <c r="O160" i="1" s="1"/>
  <c r="Q160" i="1" s="1"/>
  <c r="L160" i="1"/>
  <c r="N160" i="1" s="1"/>
  <c r="P160" i="1" s="1"/>
  <c r="T163" i="1" l="1"/>
  <c r="X164" i="1" s="1"/>
  <c r="S163" i="1"/>
  <c r="W164" i="1" s="1"/>
  <c r="R163" i="1"/>
  <c r="V164" i="1" s="1"/>
  <c r="M161" i="1"/>
  <c r="O161" i="1" s="1"/>
  <c r="Q161" i="1" s="1"/>
  <c r="L161" i="1"/>
  <c r="N161" i="1" s="1"/>
  <c r="P161" i="1" s="1"/>
  <c r="R164" i="1" l="1"/>
  <c r="V165" i="1" s="1"/>
  <c r="S164" i="1"/>
  <c r="W165" i="1" s="1"/>
  <c r="T164" i="1"/>
  <c r="X165" i="1"/>
  <c r="M162" i="1"/>
  <c r="O162" i="1" s="1"/>
  <c r="Q162" i="1" s="1"/>
  <c r="L162" i="1"/>
  <c r="N162" i="1" s="1"/>
  <c r="P162" i="1" s="1"/>
  <c r="S165" i="1" l="1"/>
  <c r="W166" i="1" s="1"/>
  <c r="R165" i="1"/>
  <c r="V166" i="1" s="1"/>
  <c r="T165" i="1"/>
  <c r="X166" i="1" s="1"/>
  <c r="M163" i="1"/>
  <c r="O163" i="1" s="1"/>
  <c r="Q163" i="1" s="1"/>
  <c r="L163" i="1"/>
  <c r="N163" i="1" s="1"/>
  <c r="P163" i="1" s="1"/>
  <c r="T166" i="1" l="1"/>
  <c r="X167" i="1" s="1"/>
  <c r="R166" i="1"/>
  <c r="V167" i="1" s="1"/>
  <c r="S166" i="1"/>
  <c r="W167" i="1" s="1"/>
  <c r="M164" i="1"/>
  <c r="O164" i="1" s="1"/>
  <c r="Q164" i="1" s="1"/>
  <c r="L164" i="1"/>
  <c r="N164" i="1" s="1"/>
  <c r="P164" i="1" s="1"/>
  <c r="S167" i="1" l="1"/>
  <c r="W168" i="1" s="1"/>
  <c r="T167" i="1"/>
  <c r="X168" i="1" s="1"/>
  <c r="R167" i="1"/>
  <c r="V168" i="1" s="1"/>
  <c r="M165" i="1"/>
  <c r="O165" i="1" s="1"/>
  <c r="Q165" i="1" s="1"/>
  <c r="L165" i="1"/>
  <c r="N165" i="1" s="1"/>
  <c r="P165" i="1" s="1"/>
  <c r="R168" i="1" l="1"/>
  <c r="V169" i="1" s="1"/>
  <c r="T168" i="1"/>
  <c r="X169" i="1" s="1"/>
  <c r="S168" i="1"/>
  <c r="W169" i="1" s="1"/>
  <c r="M166" i="1"/>
  <c r="O166" i="1" s="1"/>
  <c r="Q166" i="1" s="1"/>
  <c r="L166" i="1"/>
  <c r="N166" i="1" s="1"/>
  <c r="P166" i="1" s="1"/>
  <c r="S169" i="1" l="1"/>
  <c r="W170" i="1" s="1"/>
  <c r="T169" i="1"/>
  <c r="X170" i="1" s="1"/>
  <c r="R169" i="1"/>
  <c r="V170" i="1" s="1"/>
  <c r="M167" i="1"/>
  <c r="O167" i="1" s="1"/>
  <c r="Q167" i="1" s="1"/>
  <c r="L167" i="1"/>
  <c r="N167" i="1" s="1"/>
  <c r="P167" i="1" s="1"/>
  <c r="R170" i="1" l="1"/>
  <c r="V171" i="1" s="1"/>
  <c r="S170" i="1"/>
  <c r="W171" i="1" s="1"/>
  <c r="T170" i="1"/>
  <c r="X171" i="1" s="1"/>
  <c r="M168" i="1"/>
  <c r="O168" i="1" s="1"/>
  <c r="Q168" i="1" s="1"/>
  <c r="L168" i="1"/>
  <c r="N168" i="1" s="1"/>
  <c r="P168" i="1" s="1"/>
  <c r="T171" i="1" l="1"/>
  <c r="X172" i="1" s="1"/>
  <c r="S171" i="1"/>
  <c r="W172" i="1" s="1"/>
  <c r="R171" i="1"/>
  <c r="V172" i="1" s="1"/>
  <c r="M169" i="1"/>
  <c r="O169" i="1" s="1"/>
  <c r="Q169" i="1" s="1"/>
  <c r="L169" i="1"/>
  <c r="N169" i="1" s="1"/>
  <c r="P169" i="1" s="1"/>
  <c r="R172" i="1" l="1"/>
  <c r="V173" i="1" s="1"/>
  <c r="S172" i="1"/>
  <c r="W173" i="1" s="1"/>
  <c r="T172" i="1"/>
  <c r="X173" i="1" s="1"/>
  <c r="M170" i="1"/>
  <c r="O170" i="1" s="1"/>
  <c r="Q170" i="1" s="1"/>
  <c r="L170" i="1"/>
  <c r="N170" i="1" s="1"/>
  <c r="P170" i="1" s="1"/>
  <c r="T173" i="1" l="1"/>
  <c r="X174" i="1" s="1"/>
  <c r="S173" i="1"/>
  <c r="W174" i="1" s="1"/>
  <c r="R173" i="1"/>
  <c r="V174" i="1" s="1"/>
  <c r="M171" i="1"/>
  <c r="O171" i="1" s="1"/>
  <c r="Q171" i="1" s="1"/>
  <c r="L171" i="1"/>
  <c r="N171" i="1" s="1"/>
  <c r="P171" i="1" s="1"/>
  <c r="R174" i="1" l="1"/>
  <c r="V175" i="1" s="1"/>
  <c r="S174" i="1"/>
  <c r="W175" i="1" s="1"/>
  <c r="T174" i="1"/>
  <c r="X175" i="1" s="1"/>
  <c r="M172" i="1"/>
  <c r="O172" i="1" s="1"/>
  <c r="Q172" i="1" s="1"/>
  <c r="L172" i="1"/>
  <c r="N172" i="1" s="1"/>
  <c r="P172" i="1" s="1"/>
  <c r="T175" i="1" l="1"/>
  <c r="X176" i="1" s="1"/>
  <c r="S175" i="1"/>
  <c r="W176" i="1" s="1"/>
  <c r="R175" i="1"/>
  <c r="V176" i="1" s="1"/>
  <c r="M173" i="1"/>
  <c r="O173" i="1" s="1"/>
  <c r="Q173" i="1" s="1"/>
  <c r="L173" i="1"/>
  <c r="N173" i="1" s="1"/>
  <c r="P173" i="1" s="1"/>
  <c r="S176" i="1" l="1"/>
  <c r="W177" i="1" s="1"/>
  <c r="T176" i="1"/>
  <c r="X177" i="1" s="1"/>
  <c r="R176" i="1"/>
  <c r="V177" i="1" s="1"/>
  <c r="M174" i="1"/>
  <c r="O174" i="1" s="1"/>
  <c r="Q174" i="1" s="1"/>
  <c r="L174" i="1"/>
  <c r="N174" i="1" s="1"/>
  <c r="P174" i="1" s="1"/>
  <c r="R177" i="1" l="1"/>
  <c r="V178" i="1" s="1"/>
  <c r="T177" i="1"/>
  <c r="X178" i="1" s="1"/>
  <c r="S177" i="1"/>
  <c r="W178" i="1" s="1"/>
  <c r="M175" i="1"/>
  <c r="O175" i="1" s="1"/>
  <c r="Q175" i="1" s="1"/>
  <c r="L175" i="1"/>
  <c r="N175" i="1" s="1"/>
  <c r="P175" i="1" s="1"/>
  <c r="S178" i="1" l="1"/>
  <c r="W179" i="1" s="1"/>
  <c r="T178" i="1"/>
  <c r="X179" i="1" s="1"/>
  <c r="R178" i="1"/>
  <c r="V179" i="1" s="1"/>
  <c r="M176" i="1"/>
  <c r="O176" i="1" s="1"/>
  <c r="Q176" i="1" s="1"/>
  <c r="L176" i="1"/>
  <c r="N176" i="1" s="1"/>
  <c r="P176" i="1" s="1"/>
  <c r="R179" i="1" l="1"/>
  <c r="V180" i="1" s="1"/>
  <c r="S179" i="1"/>
  <c r="W180" i="1" s="1"/>
  <c r="T179" i="1"/>
  <c r="X180" i="1" s="1"/>
  <c r="M177" i="1"/>
  <c r="O177" i="1" s="1"/>
  <c r="Q177" i="1" s="1"/>
  <c r="L177" i="1"/>
  <c r="N177" i="1" s="1"/>
  <c r="P177" i="1" s="1"/>
  <c r="T180" i="1" l="1"/>
  <c r="X181" i="1" s="1"/>
  <c r="S180" i="1"/>
  <c r="W181" i="1" s="1"/>
  <c r="R180" i="1"/>
  <c r="V181" i="1" s="1"/>
  <c r="M178" i="1"/>
  <c r="O178" i="1" s="1"/>
  <c r="Q178" i="1" s="1"/>
  <c r="L178" i="1"/>
  <c r="N178" i="1" s="1"/>
  <c r="P178" i="1" s="1"/>
  <c r="R181" i="1" l="1"/>
  <c r="V182" i="1" s="1"/>
  <c r="S181" i="1"/>
  <c r="W182" i="1" s="1"/>
  <c r="T181" i="1"/>
  <c r="X182" i="1" s="1"/>
  <c r="M179" i="1"/>
  <c r="O179" i="1" s="1"/>
  <c r="Q179" i="1" s="1"/>
  <c r="L179" i="1"/>
  <c r="N179" i="1" s="1"/>
  <c r="P179" i="1" s="1"/>
  <c r="T182" i="1" l="1"/>
  <c r="X183" i="1" s="1"/>
  <c r="S182" i="1"/>
  <c r="W183" i="1" s="1"/>
  <c r="R182" i="1"/>
  <c r="V183" i="1" s="1"/>
  <c r="M180" i="1"/>
  <c r="O180" i="1" s="1"/>
  <c r="Q180" i="1" s="1"/>
  <c r="L180" i="1"/>
  <c r="N180" i="1" s="1"/>
  <c r="P180" i="1" s="1"/>
  <c r="R183" i="1" l="1"/>
  <c r="V184" i="1" s="1"/>
  <c r="S183" i="1"/>
  <c r="W184" i="1" s="1"/>
  <c r="T183" i="1"/>
  <c r="X184" i="1" s="1"/>
  <c r="M181" i="1"/>
  <c r="O181" i="1" s="1"/>
  <c r="Q181" i="1" s="1"/>
  <c r="L181" i="1"/>
  <c r="N181" i="1" s="1"/>
  <c r="P181" i="1" s="1"/>
  <c r="S184" i="1" l="1"/>
  <c r="W185" i="1" s="1"/>
  <c r="T184" i="1"/>
  <c r="X185" i="1" s="1"/>
  <c r="R184" i="1"/>
  <c r="V185" i="1" s="1"/>
  <c r="M182" i="1"/>
  <c r="O182" i="1" s="1"/>
  <c r="Q182" i="1" s="1"/>
  <c r="L182" i="1"/>
  <c r="N182" i="1" s="1"/>
  <c r="P182" i="1" s="1"/>
  <c r="R185" i="1" l="1"/>
  <c r="V186" i="1" s="1"/>
  <c r="T185" i="1"/>
  <c r="X186" i="1" s="1"/>
  <c r="S185" i="1"/>
  <c r="W186" i="1" s="1"/>
  <c r="M183" i="1"/>
  <c r="O183" i="1" s="1"/>
  <c r="Q183" i="1" s="1"/>
  <c r="L183" i="1"/>
  <c r="N183" i="1" s="1"/>
  <c r="P183" i="1" s="1"/>
  <c r="S186" i="1" l="1"/>
  <c r="W187" i="1" s="1"/>
  <c r="T186" i="1"/>
  <c r="X187" i="1" s="1"/>
  <c r="R186" i="1"/>
  <c r="V187" i="1" s="1"/>
  <c r="M184" i="1"/>
  <c r="O184" i="1" s="1"/>
  <c r="Q184" i="1" s="1"/>
  <c r="L184" i="1"/>
  <c r="N184" i="1" s="1"/>
  <c r="P184" i="1" s="1"/>
  <c r="R187" i="1" l="1"/>
  <c r="V188" i="1" s="1"/>
  <c r="T187" i="1"/>
  <c r="X188" i="1" s="1"/>
  <c r="S187" i="1"/>
  <c r="W188" i="1" s="1"/>
  <c r="M185" i="1"/>
  <c r="O185" i="1" s="1"/>
  <c r="Q185" i="1" s="1"/>
  <c r="L185" i="1"/>
  <c r="N185" i="1" s="1"/>
  <c r="P185" i="1" s="1"/>
  <c r="S188" i="1" l="1"/>
  <c r="W189" i="1" s="1"/>
  <c r="T188" i="1"/>
  <c r="X189" i="1" s="1"/>
  <c r="R188" i="1"/>
  <c r="V189" i="1" s="1"/>
  <c r="M186" i="1"/>
  <c r="O186" i="1" s="1"/>
  <c r="Q186" i="1" s="1"/>
  <c r="L186" i="1"/>
  <c r="N186" i="1" s="1"/>
  <c r="P186" i="1" s="1"/>
  <c r="R189" i="1" l="1"/>
  <c r="V190" i="1" s="1"/>
  <c r="T189" i="1"/>
  <c r="X190" i="1" s="1"/>
  <c r="S189" i="1"/>
  <c r="W190" i="1" s="1"/>
  <c r="M187" i="1"/>
  <c r="O187" i="1" s="1"/>
  <c r="Q187" i="1" s="1"/>
  <c r="L187" i="1"/>
  <c r="N187" i="1" s="1"/>
  <c r="P187" i="1" s="1"/>
  <c r="S190" i="1" l="1"/>
  <c r="W191" i="1" s="1"/>
  <c r="R190" i="1"/>
  <c r="V191" i="1" s="1"/>
  <c r="T190" i="1"/>
  <c r="X191" i="1" s="1"/>
  <c r="M188" i="1"/>
  <c r="O188" i="1" s="1"/>
  <c r="Q188" i="1" s="1"/>
  <c r="L188" i="1"/>
  <c r="N188" i="1" s="1"/>
  <c r="P188" i="1" s="1"/>
  <c r="T191" i="1" l="1"/>
  <c r="X192" i="1" s="1"/>
  <c r="R191" i="1"/>
  <c r="V192" i="1" s="1"/>
  <c r="S191" i="1"/>
  <c r="W192" i="1" s="1"/>
  <c r="M189" i="1"/>
  <c r="O189" i="1" s="1"/>
  <c r="Q189" i="1" s="1"/>
  <c r="L189" i="1"/>
  <c r="N189" i="1" s="1"/>
  <c r="P189" i="1" s="1"/>
  <c r="S192" i="1" l="1"/>
  <c r="W193" i="1" s="1"/>
  <c r="R192" i="1"/>
  <c r="V193" i="1" s="1"/>
  <c r="T192" i="1"/>
  <c r="X193" i="1" s="1"/>
  <c r="M190" i="1"/>
  <c r="O190" i="1" s="1"/>
  <c r="Q190" i="1" s="1"/>
  <c r="L190" i="1"/>
  <c r="N190" i="1" s="1"/>
  <c r="P190" i="1" s="1"/>
  <c r="T193" i="1" l="1"/>
  <c r="X194" i="1" s="1"/>
  <c r="R193" i="1"/>
  <c r="V194" i="1" s="1"/>
  <c r="S193" i="1"/>
  <c r="W194" i="1" s="1"/>
  <c r="L191" i="1"/>
  <c r="N191" i="1" s="1"/>
  <c r="P191" i="1" s="1"/>
  <c r="M191" i="1"/>
  <c r="O191" i="1" s="1"/>
  <c r="Q191" i="1" s="1"/>
  <c r="S194" i="1" l="1"/>
  <c r="W195" i="1" s="1"/>
  <c r="R194" i="1"/>
  <c r="V195" i="1" s="1"/>
  <c r="T194" i="1"/>
  <c r="X195" i="1" s="1"/>
  <c r="M192" i="1"/>
  <c r="O192" i="1" s="1"/>
  <c r="Q192" i="1" s="1"/>
  <c r="L192" i="1"/>
  <c r="N192" i="1" s="1"/>
  <c r="P192" i="1" s="1"/>
  <c r="T195" i="1" l="1"/>
  <c r="X196" i="1" s="1"/>
  <c r="R195" i="1"/>
  <c r="V196" i="1" s="1"/>
  <c r="S195" i="1"/>
  <c r="W196" i="1" s="1"/>
  <c r="M193" i="1"/>
  <c r="O193" i="1" s="1"/>
  <c r="Q193" i="1" s="1"/>
  <c r="L193" i="1"/>
  <c r="N193" i="1" s="1"/>
  <c r="P193" i="1" s="1"/>
  <c r="S196" i="1" l="1"/>
  <c r="W197" i="1" s="1"/>
  <c r="R196" i="1"/>
  <c r="V197" i="1" s="1"/>
  <c r="T196" i="1"/>
  <c r="X197" i="1" s="1"/>
  <c r="M194" i="1"/>
  <c r="O194" i="1" s="1"/>
  <c r="Q194" i="1" s="1"/>
  <c r="L194" i="1"/>
  <c r="N194" i="1" s="1"/>
  <c r="P194" i="1" s="1"/>
  <c r="R197" i="1" l="1"/>
  <c r="V198" i="1" s="1"/>
  <c r="S197" i="1"/>
  <c r="W198" i="1" s="1"/>
  <c r="T197" i="1"/>
  <c r="X198" i="1" s="1"/>
  <c r="M195" i="1"/>
  <c r="O195" i="1" s="1"/>
  <c r="Q195" i="1" s="1"/>
  <c r="L195" i="1"/>
  <c r="N195" i="1" s="1"/>
  <c r="P195" i="1" s="1"/>
  <c r="T198" i="1" l="1"/>
  <c r="X199" i="1" s="1"/>
  <c r="S198" i="1"/>
  <c r="W199" i="1" s="1"/>
  <c r="R198" i="1"/>
  <c r="V199" i="1" s="1"/>
  <c r="M196" i="1"/>
  <c r="O196" i="1" s="1"/>
  <c r="Q196" i="1" s="1"/>
  <c r="L196" i="1"/>
  <c r="N196" i="1" s="1"/>
  <c r="P196" i="1" s="1"/>
  <c r="R199" i="1" l="1"/>
  <c r="V200" i="1" s="1"/>
  <c r="S199" i="1"/>
  <c r="W200" i="1" s="1"/>
  <c r="T199" i="1"/>
  <c r="X200" i="1" s="1"/>
  <c r="M197" i="1"/>
  <c r="O197" i="1" s="1"/>
  <c r="Q197" i="1" s="1"/>
  <c r="L197" i="1"/>
  <c r="N197" i="1" s="1"/>
  <c r="P197" i="1" s="1"/>
  <c r="S200" i="1" l="1"/>
  <c r="W201" i="1" s="1"/>
  <c r="R200" i="1"/>
  <c r="V201" i="1" s="1"/>
  <c r="T200" i="1"/>
  <c r="X201" i="1" s="1"/>
  <c r="M198" i="1"/>
  <c r="O198" i="1" s="1"/>
  <c r="Q198" i="1" s="1"/>
  <c r="L198" i="1"/>
  <c r="N198" i="1" s="1"/>
  <c r="P198" i="1" s="1"/>
  <c r="S201" i="1" l="1"/>
  <c r="W202" i="1" s="1"/>
  <c r="R201" i="1"/>
  <c r="V202" i="1" s="1"/>
  <c r="T201" i="1"/>
  <c r="X202" i="1" s="1"/>
  <c r="M199" i="1"/>
  <c r="O199" i="1" s="1"/>
  <c r="Q199" i="1" s="1"/>
  <c r="L199" i="1"/>
  <c r="N199" i="1" s="1"/>
  <c r="P199" i="1" s="1"/>
  <c r="R202" i="1" l="1"/>
  <c r="V203" i="1" s="1"/>
  <c r="S202" i="1"/>
  <c r="W203" i="1" s="1"/>
  <c r="T202" i="1"/>
  <c r="X203" i="1" s="1"/>
  <c r="M200" i="1"/>
  <c r="O200" i="1" s="1"/>
  <c r="Q200" i="1" s="1"/>
  <c r="L200" i="1"/>
  <c r="N200" i="1" s="1"/>
  <c r="P200" i="1" s="1"/>
  <c r="T203" i="1" l="1"/>
  <c r="X204" i="1" s="1"/>
  <c r="S203" i="1"/>
  <c r="W204" i="1" s="1"/>
  <c r="R203" i="1"/>
  <c r="V204" i="1" s="1"/>
  <c r="M201" i="1"/>
  <c r="O201" i="1" s="1"/>
  <c r="Q201" i="1" s="1"/>
  <c r="L201" i="1"/>
  <c r="N201" i="1" s="1"/>
  <c r="P201" i="1" s="1"/>
  <c r="R204" i="1" l="1"/>
  <c r="V205" i="1" s="1"/>
  <c r="S204" i="1"/>
  <c r="W205" i="1" s="1"/>
  <c r="T204" i="1"/>
  <c r="X205" i="1" s="1"/>
  <c r="M202" i="1"/>
  <c r="O202" i="1" s="1"/>
  <c r="Q202" i="1" s="1"/>
  <c r="L202" i="1"/>
  <c r="N202" i="1" s="1"/>
  <c r="P202" i="1" s="1"/>
  <c r="T205" i="1" l="1"/>
  <c r="X206" i="1" s="1"/>
  <c r="S205" i="1"/>
  <c r="W206" i="1" s="1"/>
  <c r="R205" i="1"/>
  <c r="V206" i="1" s="1"/>
  <c r="M203" i="1"/>
  <c r="O203" i="1" s="1"/>
  <c r="Q203" i="1" s="1"/>
  <c r="L203" i="1"/>
  <c r="N203" i="1" s="1"/>
  <c r="P203" i="1" s="1"/>
  <c r="S206" i="1" l="1"/>
  <c r="W207" i="1" s="1"/>
  <c r="R206" i="1"/>
  <c r="V207" i="1" s="1"/>
  <c r="T206" i="1"/>
  <c r="X207" i="1" s="1"/>
  <c r="M204" i="1"/>
  <c r="O204" i="1" s="1"/>
  <c r="Q204" i="1" s="1"/>
  <c r="L204" i="1"/>
  <c r="N204" i="1" s="1"/>
  <c r="P204" i="1" s="1"/>
  <c r="T207" i="1" l="1"/>
  <c r="X208" i="1" s="1"/>
  <c r="S207" i="1"/>
  <c r="W208" i="1" s="1"/>
  <c r="R207" i="1"/>
  <c r="V208" i="1" s="1"/>
  <c r="M205" i="1"/>
  <c r="O205" i="1" s="1"/>
  <c r="Q205" i="1" s="1"/>
  <c r="L205" i="1"/>
  <c r="N205" i="1" s="1"/>
  <c r="P205" i="1" s="1"/>
  <c r="R208" i="1" l="1"/>
  <c r="V209" i="1" s="1"/>
  <c r="T208" i="1"/>
  <c r="X209" i="1" s="1"/>
  <c r="S208" i="1"/>
  <c r="W209" i="1" s="1"/>
  <c r="M206" i="1"/>
  <c r="O206" i="1" s="1"/>
  <c r="Q206" i="1" s="1"/>
  <c r="L206" i="1"/>
  <c r="N206" i="1" s="1"/>
  <c r="P206" i="1" s="1"/>
  <c r="S209" i="1" l="1"/>
  <c r="W210" i="1" s="1"/>
  <c r="T209" i="1"/>
  <c r="X210" i="1" s="1"/>
  <c r="R209" i="1"/>
  <c r="V210" i="1" s="1"/>
  <c r="M207" i="1"/>
  <c r="O207" i="1" s="1"/>
  <c r="Q207" i="1" s="1"/>
  <c r="L207" i="1"/>
  <c r="N207" i="1" s="1"/>
  <c r="P207" i="1" s="1"/>
  <c r="R210" i="1" l="1"/>
  <c r="V211" i="1" s="1"/>
  <c r="S210" i="1"/>
  <c r="W211" i="1" s="1"/>
  <c r="T210" i="1"/>
  <c r="X211" i="1" s="1"/>
  <c r="M208" i="1"/>
  <c r="O208" i="1" s="1"/>
  <c r="Q208" i="1" s="1"/>
  <c r="L208" i="1"/>
  <c r="N208" i="1" s="1"/>
  <c r="P208" i="1" s="1"/>
  <c r="S211" i="1" l="1"/>
  <c r="W212" i="1" s="1"/>
  <c r="R211" i="1"/>
  <c r="V212" i="1" s="1"/>
  <c r="T211" i="1"/>
  <c r="X212" i="1" s="1"/>
  <c r="M209" i="1"/>
  <c r="O209" i="1" s="1"/>
  <c r="Q209" i="1" s="1"/>
  <c r="L209" i="1"/>
  <c r="N209" i="1" s="1"/>
  <c r="P209" i="1" s="1"/>
  <c r="T212" i="1" l="1"/>
  <c r="X213" i="1" s="1"/>
  <c r="R212" i="1"/>
  <c r="V213" i="1" s="1"/>
  <c r="S212" i="1"/>
  <c r="W213" i="1" s="1"/>
  <c r="M210" i="1"/>
  <c r="O210" i="1" s="1"/>
  <c r="Q210" i="1" s="1"/>
  <c r="L210" i="1"/>
  <c r="N210" i="1" s="1"/>
  <c r="P210" i="1" s="1"/>
  <c r="S213" i="1" l="1"/>
  <c r="W214" i="1" s="1"/>
  <c r="R213" i="1"/>
  <c r="V214" i="1" s="1"/>
  <c r="T213" i="1"/>
  <c r="X214" i="1" s="1"/>
  <c r="M211" i="1"/>
  <c r="O211" i="1" s="1"/>
  <c r="Q211" i="1" s="1"/>
  <c r="L211" i="1"/>
  <c r="N211" i="1" s="1"/>
  <c r="P211" i="1" s="1"/>
  <c r="T214" i="1" l="1"/>
  <c r="X215" i="1" s="1"/>
  <c r="R214" i="1"/>
  <c r="V215" i="1" s="1"/>
  <c r="S214" i="1"/>
  <c r="W215" i="1" s="1"/>
  <c r="M212" i="1"/>
  <c r="O212" i="1" s="1"/>
  <c r="Q212" i="1" s="1"/>
  <c r="L212" i="1"/>
  <c r="N212" i="1" s="1"/>
  <c r="P212" i="1" s="1"/>
  <c r="S215" i="1" l="1"/>
  <c r="W216" i="1" s="1"/>
  <c r="R215" i="1"/>
  <c r="V216" i="1" s="1"/>
  <c r="T215" i="1"/>
  <c r="X216" i="1" s="1"/>
  <c r="M213" i="1"/>
  <c r="O213" i="1" s="1"/>
  <c r="Q213" i="1" s="1"/>
  <c r="L213" i="1"/>
  <c r="N213" i="1" s="1"/>
  <c r="P213" i="1" s="1"/>
  <c r="T216" i="1" l="1"/>
  <c r="X217" i="1" s="1"/>
  <c r="R216" i="1"/>
  <c r="V217" i="1" s="1"/>
  <c r="S216" i="1"/>
  <c r="W217" i="1" s="1"/>
  <c r="M214" i="1"/>
  <c r="O214" i="1" s="1"/>
  <c r="Q214" i="1" s="1"/>
  <c r="L214" i="1"/>
  <c r="N214" i="1" s="1"/>
  <c r="P214" i="1" s="1"/>
  <c r="S217" i="1" l="1"/>
  <c r="W218" i="1" s="1"/>
  <c r="R217" i="1"/>
  <c r="V218" i="1" s="1"/>
  <c r="T217" i="1"/>
  <c r="X218" i="1" s="1"/>
  <c r="M215" i="1"/>
  <c r="O215" i="1" s="1"/>
  <c r="Q215" i="1" s="1"/>
  <c r="L215" i="1"/>
  <c r="N215" i="1" s="1"/>
  <c r="P215" i="1" s="1"/>
  <c r="T218" i="1" l="1"/>
  <c r="X219" i="1" s="1"/>
  <c r="R218" i="1"/>
  <c r="V219" i="1" s="1"/>
  <c r="S218" i="1"/>
  <c r="W219" i="1" s="1"/>
  <c r="M216" i="1"/>
  <c r="O216" i="1" s="1"/>
  <c r="Q216" i="1" s="1"/>
  <c r="L216" i="1"/>
  <c r="N216" i="1" s="1"/>
  <c r="P216" i="1" s="1"/>
  <c r="S219" i="1" l="1"/>
  <c r="W220" i="1" s="1"/>
  <c r="R219" i="1"/>
  <c r="V220" i="1" s="1"/>
  <c r="T219" i="1"/>
  <c r="X220" i="1" s="1"/>
  <c r="M217" i="1"/>
  <c r="O217" i="1" s="1"/>
  <c r="Q217" i="1" s="1"/>
  <c r="L217" i="1"/>
  <c r="N217" i="1" s="1"/>
  <c r="P217" i="1" s="1"/>
  <c r="T220" i="1" l="1"/>
  <c r="X221" i="1" s="1"/>
  <c r="R220" i="1"/>
  <c r="V221" i="1" s="1"/>
  <c r="S220" i="1"/>
  <c r="W221" i="1" s="1"/>
  <c r="M218" i="1"/>
  <c r="O218" i="1" s="1"/>
  <c r="Q218" i="1" s="1"/>
  <c r="L218" i="1"/>
  <c r="N218" i="1" s="1"/>
  <c r="P218" i="1" s="1"/>
  <c r="S221" i="1" l="1"/>
  <c r="W222" i="1" s="1"/>
  <c r="R221" i="1"/>
  <c r="V222" i="1" s="1"/>
  <c r="T221" i="1"/>
  <c r="X222" i="1" s="1"/>
  <c r="M219" i="1"/>
  <c r="O219" i="1" s="1"/>
  <c r="Q219" i="1" s="1"/>
  <c r="L219" i="1"/>
  <c r="N219" i="1" s="1"/>
  <c r="P219" i="1" s="1"/>
  <c r="T222" i="1" l="1"/>
  <c r="X223" i="1" s="1"/>
  <c r="R222" i="1"/>
  <c r="V223" i="1" s="1"/>
  <c r="S222" i="1"/>
  <c r="W223" i="1" s="1"/>
  <c r="M220" i="1"/>
  <c r="O220" i="1" s="1"/>
  <c r="Q220" i="1" s="1"/>
  <c r="L220" i="1"/>
  <c r="N220" i="1" s="1"/>
  <c r="P220" i="1" s="1"/>
  <c r="S223" i="1" l="1"/>
  <c r="W224" i="1" s="1"/>
  <c r="R223" i="1"/>
  <c r="V224" i="1" s="1"/>
  <c r="T223" i="1"/>
  <c r="X224" i="1" s="1"/>
  <c r="M221" i="1"/>
  <c r="O221" i="1" s="1"/>
  <c r="Q221" i="1" s="1"/>
  <c r="L221" i="1"/>
  <c r="N221" i="1" s="1"/>
  <c r="P221" i="1" s="1"/>
  <c r="T224" i="1" l="1"/>
  <c r="X225" i="1" s="1"/>
  <c r="R224" i="1"/>
  <c r="V225" i="1"/>
  <c r="S224" i="1"/>
  <c r="W225" i="1" s="1"/>
  <c r="M222" i="1"/>
  <c r="O222" i="1" s="1"/>
  <c r="Q222" i="1" s="1"/>
  <c r="L222" i="1"/>
  <c r="N222" i="1" s="1"/>
  <c r="P222" i="1" s="1"/>
  <c r="S225" i="1" l="1"/>
  <c r="W226" i="1" s="1"/>
  <c r="R225" i="1"/>
  <c r="V226" i="1" s="1"/>
  <c r="T225" i="1"/>
  <c r="X226" i="1" s="1"/>
  <c r="M223" i="1"/>
  <c r="O223" i="1" s="1"/>
  <c r="Q223" i="1" s="1"/>
  <c r="L223" i="1"/>
  <c r="N223" i="1" s="1"/>
  <c r="P223" i="1" s="1"/>
  <c r="T226" i="1" l="1"/>
  <c r="X227" i="1" s="1"/>
  <c r="R226" i="1"/>
  <c r="V227" i="1" s="1"/>
  <c r="S226" i="1"/>
  <c r="W227" i="1" s="1"/>
  <c r="M224" i="1"/>
  <c r="O224" i="1" s="1"/>
  <c r="Q224" i="1" s="1"/>
  <c r="L224" i="1"/>
  <c r="N224" i="1" s="1"/>
  <c r="P224" i="1" s="1"/>
  <c r="S227" i="1" l="1"/>
  <c r="W228" i="1" s="1"/>
  <c r="R227" i="1"/>
  <c r="V228" i="1" s="1"/>
  <c r="T227" i="1"/>
  <c r="X228" i="1" s="1"/>
  <c r="M225" i="1"/>
  <c r="O225" i="1" s="1"/>
  <c r="Q225" i="1" s="1"/>
  <c r="L225" i="1"/>
  <c r="N225" i="1" s="1"/>
  <c r="P225" i="1" s="1"/>
  <c r="R228" i="1" l="1"/>
  <c r="V229" i="1" s="1"/>
  <c r="S228" i="1"/>
  <c r="W229" i="1" s="1"/>
  <c r="T228" i="1"/>
  <c r="X229" i="1" s="1"/>
  <c r="M226" i="1"/>
  <c r="O226" i="1" s="1"/>
  <c r="Q226" i="1" s="1"/>
  <c r="L226" i="1"/>
  <c r="N226" i="1" s="1"/>
  <c r="P226" i="1" s="1"/>
  <c r="T229" i="1" l="1"/>
  <c r="X230" i="1" s="1"/>
  <c r="S229" i="1"/>
  <c r="W230" i="1" s="1"/>
  <c r="R229" i="1"/>
  <c r="V230" i="1" s="1"/>
  <c r="M227" i="1"/>
  <c r="O227" i="1" s="1"/>
  <c r="Q227" i="1" s="1"/>
  <c r="L227" i="1"/>
  <c r="N227" i="1" s="1"/>
  <c r="P227" i="1" s="1"/>
  <c r="R230" i="1" l="1"/>
  <c r="V231" i="1" s="1"/>
  <c r="S230" i="1"/>
  <c r="W231" i="1" s="1"/>
  <c r="T230" i="1"/>
  <c r="X231" i="1" s="1"/>
  <c r="M228" i="1"/>
  <c r="O228" i="1" s="1"/>
  <c r="Q228" i="1" s="1"/>
  <c r="L228" i="1"/>
  <c r="N228" i="1" s="1"/>
  <c r="P228" i="1" s="1"/>
  <c r="S231" i="1" l="1"/>
  <c r="W232" i="1" s="1"/>
  <c r="T231" i="1"/>
  <c r="X232" i="1" s="1"/>
  <c r="R231" i="1"/>
  <c r="V232" i="1" s="1"/>
  <c r="M229" i="1"/>
  <c r="O229" i="1" s="1"/>
  <c r="Q229" i="1" s="1"/>
  <c r="L229" i="1"/>
  <c r="N229" i="1" s="1"/>
  <c r="P229" i="1" s="1"/>
  <c r="R232" i="1" l="1"/>
  <c r="V233" i="1" s="1"/>
  <c r="T232" i="1"/>
  <c r="X233" i="1" s="1"/>
  <c r="S232" i="1"/>
  <c r="W233" i="1" s="1"/>
  <c r="M230" i="1"/>
  <c r="O230" i="1" s="1"/>
  <c r="Q230" i="1" s="1"/>
  <c r="L230" i="1"/>
  <c r="N230" i="1" s="1"/>
  <c r="P230" i="1" s="1"/>
  <c r="S233" i="1" l="1"/>
  <c r="W234" i="1" s="1"/>
  <c r="T233" i="1"/>
  <c r="X234" i="1" s="1"/>
  <c r="R233" i="1"/>
  <c r="V234" i="1" s="1"/>
  <c r="M231" i="1"/>
  <c r="O231" i="1" s="1"/>
  <c r="Q231" i="1" s="1"/>
  <c r="L231" i="1"/>
  <c r="N231" i="1" s="1"/>
  <c r="P231" i="1" s="1"/>
  <c r="R234" i="1" l="1"/>
  <c r="V235" i="1" s="1"/>
  <c r="S234" i="1"/>
  <c r="W235" i="1" s="1"/>
  <c r="T234" i="1"/>
  <c r="X235" i="1" s="1"/>
  <c r="M232" i="1"/>
  <c r="O232" i="1" s="1"/>
  <c r="Q232" i="1" s="1"/>
  <c r="L232" i="1"/>
  <c r="N232" i="1" s="1"/>
  <c r="P232" i="1" s="1"/>
  <c r="T235" i="1" l="1"/>
  <c r="X236" i="1" s="1"/>
  <c r="S235" i="1"/>
  <c r="W236" i="1" s="1"/>
  <c r="R235" i="1"/>
  <c r="V236" i="1" s="1"/>
  <c r="M233" i="1"/>
  <c r="O233" i="1" s="1"/>
  <c r="Q233" i="1" s="1"/>
  <c r="L233" i="1"/>
  <c r="N233" i="1" s="1"/>
  <c r="P233" i="1" s="1"/>
  <c r="R236" i="1" l="1"/>
  <c r="V237" i="1" s="1"/>
  <c r="S236" i="1"/>
  <c r="W237" i="1" s="1"/>
  <c r="T236" i="1"/>
  <c r="X237" i="1" s="1"/>
  <c r="M234" i="1"/>
  <c r="O234" i="1" s="1"/>
  <c r="Q234" i="1" s="1"/>
  <c r="L234" i="1"/>
  <c r="N234" i="1" s="1"/>
  <c r="P234" i="1" s="1"/>
  <c r="S237" i="1" l="1"/>
  <c r="W238" i="1" s="1"/>
  <c r="T237" i="1"/>
  <c r="X238" i="1" s="1"/>
  <c r="R237" i="1"/>
  <c r="V238" i="1" s="1"/>
  <c r="M235" i="1"/>
  <c r="O235" i="1" s="1"/>
  <c r="Q235" i="1" s="1"/>
  <c r="L235" i="1"/>
  <c r="N235" i="1" s="1"/>
  <c r="P235" i="1" s="1"/>
  <c r="R238" i="1" l="1"/>
  <c r="V239" i="1" s="1"/>
  <c r="S238" i="1"/>
  <c r="W239" i="1" s="1"/>
  <c r="T238" i="1"/>
  <c r="X239" i="1" s="1"/>
  <c r="M236" i="1"/>
  <c r="O236" i="1" s="1"/>
  <c r="Q236" i="1" s="1"/>
  <c r="L236" i="1"/>
  <c r="N236" i="1" s="1"/>
  <c r="P236" i="1" s="1"/>
  <c r="T239" i="1" l="1"/>
  <c r="X240" i="1" s="1"/>
  <c r="S239" i="1"/>
  <c r="W240" i="1" s="1"/>
  <c r="R239" i="1"/>
  <c r="V240" i="1" s="1"/>
  <c r="M237" i="1"/>
  <c r="O237" i="1" s="1"/>
  <c r="Q237" i="1" s="1"/>
  <c r="L237" i="1"/>
  <c r="N237" i="1" s="1"/>
  <c r="P237" i="1" s="1"/>
  <c r="R240" i="1" l="1"/>
  <c r="V241" i="1" s="1"/>
  <c r="T240" i="1"/>
  <c r="X241" i="1" s="1"/>
  <c r="S240" i="1"/>
  <c r="W241" i="1" s="1"/>
  <c r="M238" i="1"/>
  <c r="O238" i="1" s="1"/>
  <c r="Q238" i="1" s="1"/>
  <c r="L238" i="1"/>
  <c r="N238" i="1" s="1"/>
  <c r="P238" i="1" s="1"/>
  <c r="S241" i="1" l="1"/>
  <c r="W242" i="1" s="1"/>
  <c r="T241" i="1"/>
  <c r="X242" i="1" s="1"/>
  <c r="R241" i="1"/>
  <c r="V242" i="1" s="1"/>
  <c r="M239" i="1"/>
  <c r="O239" i="1" s="1"/>
  <c r="Q239" i="1" s="1"/>
  <c r="L239" i="1"/>
  <c r="N239" i="1" s="1"/>
  <c r="P239" i="1" s="1"/>
  <c r="R242" i="1" l="1"/>
  <c r="V243" i="1" s="1"/>
  <c r="T242" i="1"/>
  <c r="X243" i="1" s="1"/>
  <c r="S242" i="1"/>
  <c r="W243" i="1" s="1"/>
  <c r="M240" i="1"/>
  <c r="O240" i="1" s="1"/>
  <c r="Q240" i="1" s="1"/>
  <c r="L240" i="1"/>
  <c r="N240" i="1" s="1"/>
  <c r="P240" i="1" s="1"/>
  <c r="S243" i="1" l="1"/>
  <c r="W244" i="1" s="1"/>
  <c r="T243" i="1"/>
  <c r="X244" i="1" s="1"/>
  <c r="R243" i="1"/>
  <c r="V244" i="1" s="1"/>
  <c r="M241" i="1"/>
  <c r="O241" i="1" s="1"/>
  <c r="Q241" i="1" s="1"/>
  <c r="L241" i="1"/>
  <c r="N241" i="1" s="1"/>
  <c r="P241" i="1" s="1"/>
  <c r="R244" i="1" l="1"/>
  <c r="V245" i="1" s="1"/>
  <c r="S244" i="1"/>
  <c r="W245" i="1" s="1"/>
  <c r="T244" i="1"/>
  <c r="X245" i="1" s="1"/>
  <c r="M242" i="1"/>
  <c r="O242" i="1" s="1"/>
  <c r="Q242" i="1" s="1"/>
  <c r="L242" i="1"/>
  <c r="N242" i="1" s="1"/>
  <c r="P242" i="1" s="1"/>
  <c r="S245" i="1" l="1"/>
  <c r="W246" i="1" s="1"/>
  <c r="R245" i="1"/>
  <c r="V246" i="1" s="1"/>
  <c r="T245" i="1"/>
  <c r="X246" i="1" s="1"/>
  <c r="M243" i="1"/>
  <c r="O243" i="1" s="1"/>
  <c r="Q243" i="1" s="1"/>
  <c r="L243" i="1"/>
  <c r="N243" i="1" s="1"/>
  <c r="P243" i="1" s="1"/>
  <c r="T246" i="1" l="1"/>
  <c r="X247" i="1" s="1"/>
  <c r="R246" i="1"/>
  <c r="V247" i="1" s="1"/>
  <c r="S246" i="1"/>
  <c r="W247" i="1" s="1"/>
  <c r="M244" i="1"/>
  <c r="O244" i="1" s="1"/>
  <c r="Q244" i="1" s="1"/>
  <c r="L244" i="1"/>
  <c r="N244" i="1" s="1"/>
  <c r="P244" i="1" s="1"/>
  <c r="S247" i="1" l="1"/>
  <c r="W248" i="1" s="1"/>
  <c r="T247" i="1"/>
  <c r="X248" i="1" s="1"/>
  <c r="R247" i="1"/>
  <c r="V248" i="1" s="1"/>
  <c r="L245" i="1"/>
  <c r="N245" i="1" s="1"/>
  <c r="P245" i="1" s="1"/>
  <c r="M245" i="1"/>
  <c r="O245" i="1" s="1"/>
  <c r="Q245" i="1" s="1"/>
  <c r="R248" i="1" l="1"/>
  <c r="V249" i="1" s="1"/>
  <c r="T248" i="1"/>
  <c r="X249" i="1" s="1"/>
  <c r="S248" i="1"/>
  <c r="W249" i="1" s="1"/>
  <c r="M246" i="1"/>
  <c r="O246" i="1" s="1"/>
  <c r="Q246" i="1" s="1"/>
  <c r="L246" i="1"/>
  <c r="N246" i="1" s="1"/>
  <c r="P246" i="1" s="1"/>
  <c r="S249" i="1" l="1"/>
  <c r="W250" i="1" s="1"/>
  <c r="T249" i="1"/>
  <c r="X250" i="1" s="1"/>
  <c r="R249" i="1"/>
  <c r="V250" i="1" s="1"/>
  <c r="M247" i="1"/>
  <c r="O247" i="1" s="1"/>
  <c r="Q247" i="1" s="1"/>
  <c r="L247" i="1"/>
  <c r="N247" i="1" s="1"/>
  <c r="P247" i="1" s="1"/>
  <c r="R250" i="1" l="1"/>
  <c r="V251" i="1" s="1"/>
  <c r="S250" i="1"/>
  <c r="W251" i="1" s="1"/>
  <c r="T250" i="1"/>
  <c r="X251" i="1" s="1"/>
  <c r="M248" i="1"/>
  <c r="O248" i="1" s="1"/>
  <c r="Q248" i="1" s="1"/>
  <c r="L248" i="1"/>
  <c r="N248" i="1" s="1"/>
  <c r="P248" i="1" s="1"/>
  <c r="S251" i="1" l="1"/>
  <c r="W252" i="1" s="1"/>
  <c r="R251" i="1"/>
  <c r="V252" i="1" s="1"/>
  <c r="T251" i="1"/>
  <c r="X252" i="1" s="1"/>
  <c r="M249" i="1"/>
  <c r="O249" i="1" s="1"/>
  <c r="Q249" i="1" s="1"/>
  <c r="L249" i="1"/>
  <c r="N249" i="1" s="1"/>
  <c r="P249" i="1" s="1"/>
  <c r="T252" i="1" l="1"/>
  <c r="X253" i="1" s="1"/>
  <c r="R252" i="1"/>
  <c r="V253" i="1" s="1"/>
  <c r="S252" i="1"/>
  <c r="W253" i="1" s="1"/>
  <c r="M250" i="1"/>
  <c r="O250" i="1" s="1"/>
  <c r="Q250" i="1" s="1"/>
  <c r="L250" i="1"/>
  <c r="N250" i="1" s="1"/>
  <c r="P250" i="1" s="1"/>
  <c r="S253" i="1" l="1"/>
  <c r="W254" i="1" s="1"/>
  <c r="R253" i="1"/>
  <c r="V254" i="1" s="1"/>
  <c r="T253" i="1"/>
  <c r="X254" i="1" s="1"/>
  <c r="M251" i="1"/>
  <c r="O251" i="1" s="1"/>
  <c r="Q251" i="1" s="1"/>
  <c r="L251" i="1"/>
  <c r="N251" i="1" s="1"/>
  <c r="P251" i="1" s="1"/>
  <c r="T254" i="1" l="1"/>
  <c r="X255" i="1" s="1"/>
  <c r="R254" i="1"/>
  <c r="V255" i="1" s="1"/>
  <c r="S254" i="1"/>
  <c r="W255" i="1" s="1"/>
  <c r="M252" i="1"/>
  <c r="O252" i="1" s="1"/>
  <c r="Q252" i="1" s="1"/>
  <c r="L252" i="1"/>
  <c r="N252" i="1" s="1"/>
  <c r="P252" i="1" s="1"/>
  <c r="S255" i="1" l="1"/>
  <c r="W256" i="1" s="1"/>
  <c r="R255" i="1"/>
  <c r="V256" i="1" s="1"/>
  <c r="T255" i="1"/>
  <c r="X256" i="1" s="1"/>
  <c r="M253" i="1"/>
  <c r="O253" i="1" s="1"/>
  <c r="Q253" i="1" s="1"/>
  <c r="L253" i="1"/>
  <c r="N253" i="1" s="1"/>
  <c r="P253" i="1" s="1"/>
  <c r="R256" i="1" l="1"/>
  <c r="V257" i="1" s="1"/>
  <c r="T256" i="1"/>
  <c r="X257" i="1" s="1"/>
  <c r="S256" i="1"/>
  <c r="W257" i="1" s="1"/>
  <c r="M254" i="1"/>
  <c r="O254" i="1" s="1"/>
  <c r="Q254" i="1" s="1"/>
  <c r="L254" i="1"/>
  <c r="N254" i="1" s="1"/>
  <c r="P254" i="1" s="1"/>
  <c r="S257" i="1" l="1"/>
  <c r="W258" i="1" s="1"/>
  <c r="T257" i="1"/>
  <c r="X258" i="1" s="1"/>
  <c r="R257" i="1"/>
  <c r="V258" i="1" s="1"/>
  <c r="M255" i="1"/>
  <c r="O255" i="1" s="1"/>
  <c r="Q255" i="1" s="1"/>
  <c r="L255" i="1"/>
  <c r="N255" i="1" s="1"/>
  <c r="P255" i="1" s="1"/>
  <c r="R258" i="1" l="1"/>
  <c r="V259" i="1" s="1"/>
  <c r="T258" i="1"/>
  <c r="X259" i="1" s="1"/>
  <c r="S258" i="1"/>
  <c r="W259" i="1" s="1"/>
  <c r="M256" i="1"/>
  <c r="O256" i="1" s="1"/>
  <c r="Q256" i="1" s="1"/>
  <c r="L256" i="1"/>
  <c r="N256" i="1" s="1"/>
  <c r="P256" i="1" s="1"/>
  <c r="S259" i="1" l="1"/>
  <c r="W260" i="1" s="1"/>
  <c r="R259" i="1"/>
  <c r="V260" i="1" s="1"/>
  <c r="T259" i="1"/>
  <c r="X260" i="1" s="1"/>
  <c r="M257" i="1"/>
  <c r="O257" i="1" s="1"/>
  <c r="Q257" i="1" s="1"/>
  <c r="L257" i="1"/>
  <c r="N257" i="1" s="1"/>
  <c r="P257" i="1" s="1"/>
  <c r="T260" i="1" l="1"/>
  <c r="X261" i="1" s="1"/>
  <c r="R260" i="1"/>
  <c r="V261" i="1" s="1"/>
  <c r="S260" i="1"/>
  <c r="W261" i="1" s="1"/>
  <c r="M258" i="1"/>
  <c r="O258" i="1" s="1"/>
  <c r="Q258" i="1" s="1"/>
  <c r="L258" i="1"/>
  <c r="N258" i="1" s="1"/>
  <c r="P258" i="1" s="1"/>
  <c r="T261" i="1" l="1"/>
  <c r="X262" i="1" s="1"/>
  <c r="S261" i="1"/>
  <c r="W262" i="1" s="1"/>
  <c r="R261" i="1"/>
  <c r="V262" i="1" s="1"/>
  <c r="M259" i="1"/>
  <c r="O259" i="1" s="1"/>
  <c r="Q259" i="1" s="1"/>
  <c r="L259" i="1"/>
  <c r="N259" i="1" s="1"/>
  <c r="P259" i="1" s="1"/>
  <c r="T262" i="1" l="1"/>
  <c r="X263" i="1" s="1"/>
  <c r="R262" i="1"/>
  <c r="V263" i="1" s="1"/>
  <c r="S262" i="1"/>
  <c r="W263" i="1" s="1"/>
  <c r="M260" i="1"/>
  <c r="O260" i="1" s="1"/>
  <c r="Q260" i="1" s="1"/>
  <c r="L260" i="1"/>
  <c r="N260" i="1" s="1"/>
  <c r="P260" i="1" s="1"/>
  <c r="R263" i="1" l="1"/>
  <c r="V264" i="1" s="1"/>
  <c r="S263" i="1"/>
  <c r="W264" i="1" s="1"/>
  <c r="T263" i="1"/>
  <c r="X264" i="1" s="1"/>
  <c r="M261" i="1"/>
  <c r="O261" i="1" s="1"/>
  <c r="Q261" i="1" s="1"/>
  <c r="L261" i="1"/>
  <c r="N261" i="1" s="1"/>
  <c r="P261" i="1" s="1"/>
  <c r="T264" i="1" l="1"/>
  <c r="X265" i="1" s="1"/>
  <c r="S264" i="1"/>
  <c r="W265" i="1" s="1"/>
  <c r="R264" i="1"/>
  <c r="V265" i="1" s="1"/>
  <c r="M262" i="1"/>
  <c r="O262" i="1" s="1"/>
  <c r="Q262" i="1" s="1"/>
  <c r="L262" i="1"/>
  <c r="N262" i="1" s="1"/>
  <c r="P262" i="1" s="1"/>
  <c r="R265" i="1" l="1"/>
  <c r="V266" i="1" s="1"/>
  <c r="S265" i="1"/>
  <c r="W266" i="1" s="1"/>
  <c r="T265" i="1"/>
  <c r="X266" i="1" s="1"/>
  <c r="M263" i="1"/>
  <c r="O263" i="1" s="1"/>
  <c r="Q263" i="1" s="1"/>
  <c r="L263" i="1"/>
  <c r="N263" i="1" s="1"/>
  <c r="P263" i="1" s="1"/>
  <c r="T266" i="1" l="1"/>
  <c r="X267" i="1" s="1"/>
  <c r="R266" i="1"/>
  <c r="V267" i="1" s="1"/>
  <c r="S266" i="1"/>
  <c r="W267" i="1" s="1"/>
  <c r="M264" i="1"/>
  <c r="O264" i="1" s="1"/>
  <c r="Q264" i="1" s="1"/>
  <c r="L264" i="1"/>
  <c r="N264" i="1" s="1"/>
  <c r="P264" i="1" s="1"/>
  <c r="T267" i="1" l="1"/>
  <c r="X268" i="1" s="1"/>
  <c r="S267" i="1"/>
  <c r="W268" i="1" s="1"/>
  <c r="R267" i="1"/>
  <c r="V268" i="1" s="1"/>
  <c r="M265" i="1"/>
  <c r="O265" i="1" s="1"/>
  <c r="Q265" i="1" s="1"/>
  <c r="L265" i="1"/>
  <c r="N265" i="1" s="1"/>
  <c r="P265" i="1" s="1"/>
  <c r="R268" i="1" l="1"/>
  <c r="V269" i="1" s="1"/>
  <c r="S268" i="1"/>
  <c r="W269" i="1" s="1"/>
  <c r="T268" i="1"/>
  <c r="X269" i="1" s="1"/>
  <c r="M266" i="1"/>
  <c r="O266" i="1" s="1"/>
  <c r="Q266" i="1" s="1"/>
  <c r="L266" i="1"/>
  <c r="N266" i="1" s="1"/>
  <c r="P266" i="1" s="1"/>
  <c r="T269" i="1" l="1"/>
  <c r="X270" i="1" s="1"/>
  <c r="S269" i="1"/>
  <c r="W270" i="1" s="1"/>
  <c r="R269" i="1"/>
  <c r="V270" i="1" s="1"/>
  <c r="M267" i="1"/>
  <c r="O267" i="1" s="1"/>
  <c r="Q267" i="1" s="1"/>
  <c r="L267" i="1"/>
  <c r="N267" i="1" s="1"/>
  <c r="P267" i="1" s="1"/>
  <c r="T270" i="1" l="1"/>
  <c r="X271" i="1" s="1"/>
  <c r="R270" i="1"/>
  <c r="V271" i="1" s="1"/>
  <c r="S270" i="1"/>
  <c r="W271" i="1" s="1"/>
  <c r="M268" i="1"/>
  <c r="O268" i="1" s="1"/>
  <c r="Q268" i="1" s="1"/>
  <c r="L268" i="1"/>
  <c r="N268" i="1" s="1"/>
  <c r="P268" i="1" s="1"/>
  <c r="S271" i="1" l="1"/>
  <c r="W272" i="1" s="1"/>
  <c r="R271" i="1"/>
  <c r="V272" i="1" s="1"/>
  <c r="T271" i="1"/>
  <c r="X272" i="1" s="1"/>
  <c r="M269" i="1"/>
  <c r="O269" i="1" s="1"/>
  <c r="Q269" i="1" s="1"/>
  <c r="L269" i="1"/>
  <c r="N269" i="1" s="1"/>
  <c r="P269" i="1" s="1"/>
  <c r="T272" i="1" l="1"/>
  <c r="X273" i="1" s="1"/>
  <c r="R272" i="1"/>
  <c r="V273" i="1" s="1"/>
  <c r="S272" i="1"/>
  <c r="W273" i="1" s="1"/>
  <c r="M270" i="1"/>
  <c r="O270" i="1" s="1"/>
  <c r="Q270" i="1" s="1"/>
  <c r="L270" i="1"/>
  <c r="N270" i="1" s="1"/>
  <c r="P270" i="1" s="1"/>
  <c r="S273" i="1" l="1"/>
  <c r="W274" i="1" s="1"/>
  <c r="R273" i="1"/>
  <c r="V274" i="1" s="1"/>
  <c r="T273" i="1"/>
  <c r="X274" i="1" s="1"/>
  <c r="M271" i="1"/>
  <c r="O271" i="1" s="1"/>
  <c r="Q271" i="1" s="1"/>
  <c r="L271" i="1"/>
  <c r="N271" i="1" s="1"/>
  <c r="P271" i="1" s="1"/>
  <c r="R274" i="1" l="1"/>
  <c r="V275" i="1" s="1"/>
  <c r="T274" i="1"/>
  <c r="X275" i="1" s="1"/>
  <c r="S274" i="1"/>
  <c r="W275" i="1" s="1"/>
  <c r="L272" i="1"/>
  <c r="N272" i="1" s="1"/>
  <c r="P272" i="1" s="1"/>
  <c r="M272" i="1"/>
  <c r="O272" i="1" s="1"/>
  <c r="Q272" i="1" s="1"/>
  <c r="T275" i="1" l="1"/>
  <c r="X276" i="1" s="1"/>
  <c r="R275" i="1"/>
  <c r="V276" i="1" s="1"/>
  <c r="S275" i="1"/>
  <c r="W276" i="1" s="1"/>
  <c r="M273" i="1"/>
  <c r="O273" i="1" s="1"/>
  <c r="Q273" i="1" s="1"/>
  <c r="L273" i="1"/>
  <c r="N273" i="1" s="1"/>
  <c r="P273" i="1" s="1"/>
  <c r="S276" i="1" l="1"/>
  <c r="W277" i="1" s="1"/>
  <c r="R276" i="1"/>
  <c r="V277" i="1" s="1"/>
  <c r="T276" i="1"/>
  <c r="X277" i="1" s="1"/>
  <c r="M274" i="1"/>
  <c r="O274" i="1" s="1"/>
  <c r="Q274" i="1" s="1"/>
  <c r="L274" i="1"/>
  <c r="N274" i="1" s="1"/>
  <c r="P274" i="1" s="1"/>
  <c r="T277" i="1" l="1"/>
  <c r="X278" i="1" s="1"/>
  <c r="S277" i="1"/>
  <c r="W278" i="1" s="1"/>
  <c r="R277" i="1"/>
  <c r="V278" i="1" s="1"/>
  <c r="M275" i="1"/>
  <c r="O275" i="1" s="1"/>
  <c r="Q275" i="1" s="1"/>
  <c r="L275" i="1"/>
  <c r="N275" i="1" s="1"/>
  <c r="P275" i="1" s="1"/>
  <c r="R278" i="1" l="1"/>
  <c r="V279" i="1" s="1"/>
  <c r="S278" i="1"/>
  <c r="W279" i="1" s="1"/>
  <c r="T278" i="1"/>
  <c r="X279" i="1" s="1"/>
  <c r="M276" i="1"/>
  <c r="O276" i="1" s="1"/>
  <c r="Q276" i="1" s="1"/>
  <c r="L276" i="1"/>
  <c r="N276" i="1" s="1"/>
  <c r="P276" i="1" s="1"/>
  <c r="T279" i="1" l="1"/>
  <c r="X280" i="1" s="1"/>
  <c r="S279" i="1"/>
  <c r="W280" i="1" s="1"/>
  <c r="R279" i="1"/>
  <c r="V280" i="1" s="1"/>
  <c r="M277" i="1"/>
  <c r="O277" i="1" s="1"/>
  <c r="Q277" i="1" s="1"/>
  <c r="L277" i="1"/>
  <c r="N277" i="1" s="1"/>
  <c r="P277" i="1" s="1"/>
  <c r="R280" i="1" l="1"/>
  <c r="V281" i="1" s="1"/>
  <c r="S280" i="1"/>
  <c r="W281" i="1" s="1"/>
  <c r="T280" i="1"/>
  <c r="X281" i="1" s="1"/>
  <c r="M278" i="1"/>
  <c r="O278" i="1" s="1"/>
  <c r="Q278" i="1" s="1"/>
  <c r="L278" i="1"/>
  <c r="N278" i="1" s="1"/>
  <c r="P278" i="1" s="1"/>
  <c r="T281" i="1" l="1"/>
  <c r="X282" i="1" s="1"/>
  <c r="S281" i="1"/>
  <c r="W282" i="1" s="1"/>
  <c r="R281" i="1"/>
  <c r="V282" i="1" s="1"/>
  <c r="M279" i="1"/>
  <c r="O279" i="1" s="1"/>
  <c r="Q279" i="1" s="1"/>
  <c r="L279" i="1"/>
  <c r="N279" i="1" s="1"/>
  <c r="P279" i="1" s="1"/>
  <c r="R282" i="1" l="1"/>
  <c r="V283" i="1" s="1"/>
  <c r="S282" i="1"/>
  <c r="W283" i="1" s="1"/>
  <c r="T282" i="1"/>
  <c r="X283" i="1" s="1"/>
  <c r="M280" i="1"/>
  <c r="O280" i="1" s="1"/>
  <c r="Q280" i="1" s="1"/>
  <c r="L280" i="1"/>
  <c r="N280" i="1" s="1"/>
  <c r="P280" i="1" s="1"/>
  <c r="T283" i="1" l="1"/>
  <c r="X284" i="1" s="1"/>
  <c r="S283" i="1"/>
  <c r="W284" i="1" s="1"/>
  <c r="R283" i="1"/>
  <c r="V284" i="1" s="1"/>
  <c r="M281" i="1"/>
  <c r="O281" i="1" s="1"/>
  <c r="Q281" i="1" s="1"/>
  <c r="L281" i="1"/>
  <c r="N281" i="1" s="1"/>
  <c r="P281" i="1" s="1"/>
  <c r="R284" i="1" l="1"/>
  <c r="V285" i="1" s="1"/>
  <c r="S284" i="1"/>
  <c r="W285" i="1" s="1"/>
  <c r="T284" i="1"/>
  <c r="X285" i="1" s="1"/>
  <c r="M282" i="1"/>
  <c r="O282" i="1" s="1"/>
  <c r="Q282" i="1" s="1"/>
  <c r="L282" i="1"/>
  <c r="N282" i="1" s="1"/>
  <c r="P282" i="1" s="1"/>
  <c r="T285" i="1" l="1"/>
  <c r="X286" i="1" s="1"/>
  <c r="S285" i="1"/>
  <c r="W286" i="1" s="1"/>
  <c r="R285" i="1"/>
  <c r="V286" i="1" s="1"/>
  <c r="M283" i="1"/>
  <c r="O283" i="1" s="1"/>
  <c r="Q283" i="1" s="1"/>
  <c r="L283" i="1"/>
  <c r="N283" i="1" s="1"/>
  <c r="P283" i="1" s="1"/>
  <c r="S286" i="1" l="1"/>
  <c r="W287" i="1" s="1"/>
  <c r="R286" i="1"/>
  <c r="V287" i="1" s="1"/>
  <c r="T286" i="1"/>
  <c r="X287" i="1" s="1"/>
  <c r="M284" i="1"/>
  <c r="O284" i="1" s="1"/>
  <c r="Q284" i="1" s="1"/>
  <c r="L284" i="1"/>
  <c r="N284" i="1" s="1"/>
  <c r="P284" i="1" s="1"/>
  <c r="T287" i="1" l="1"/>
  <c r="X288" i="1" s="1"/>
  <c r="R287" i="1"/>
  <c r="V288" i="1" s="1"/>
  <c r="S287" i="1"/>
  <c r="W288" i="1" s="1"/>
  <c r="M285" i="1"/>
  <c r="O285" i="1" s="1"/>
  <c r="Q285" i="1" s="1"/>
  <c r="L285" i="1"/>
  <c r="N285" i="1" s="1"/>
  <c r="P285" i="1" s="1"/>
  <c r="S288" i="1" l="1"/>
  <c r="W289" i="1" s="1"/>
  <c r="R288" i="1"/>
  <c r="V289" i="1" s="1"/>
  <c r="T288" i="1"/>
  <c r="X289" i="1" s="1"/>
  <c r="M286" i="1"/>
  <c r="O286" i="1" s="1"/>
  <c r="Q286" i="1" s="1"/>
  <c r="L286" i="1"/>
  <c r="N286" i="1" s="1"/>
  <c r="P286" i="1" s="1"/>
  <c r="R289" i="1" l="1"/>
  <c r="V290" i="1" s="1"/>
  <c r="S289" i="1"/>
  <c r="W290" i="1" s="1"/>
  <c r="T289" i="1"/>
  <c r="X290" i="1" s="1"/>
  <c r="M287" i="1"/>
  <c r="O287" i="1" s="1"/>
  <c r="Q287" i="1" s="1"/>
  <c r="L287" i="1"/>
  <c r="N287" i="1" s="1"/>
  <c r="P287" i="1" s="1"/>
  <c r="T290" i="1" l="1"/>
  <c r="X291" i="1" s="1"/>
  <c r="S290" i="1"/>
  <c r="W291" i="1" s="1"/>
  <c r="R290" i="1"/>
  <c r="V291" i="1" s="1"/>
  <c r="M288" i="1"/>
  <c r="O288" i="1" s="1"/>
  <c r="Q288" i="1" s="1"/>
  <c r="L288" i="1"/>
  <c r="N288" i="1" s="1"/>
  <c r="P288" i="1" s="1"/>
  <c r="R291" i="1" l="1"/>
  <c r="V292" i="1" s="1"/>
  <c r="S291" i="1"/>
  <c r="W292" i="1" s="1"/>
  <c r="T291" i="1"/>
  <c r="X292" i="1" s="1"/>
  <c r="M289" i="1"/>
  <c r="O289" i="1" s="1"/>
  <c r="Q289" i="1" s="1"/>
  <c r="L289" i="1"/>
  <c r="N289" i="1" s="1"/>
  <c r="P289" i="1" s="1"/>
  <c r="T292" i="1" l="1"/>
  <c r="X293" i="1" s="1"/>
  <c r="S292" i="1"/>
  <c r="W293" i="1" s="1"/>
  <c r="R292" i="1"/>
  <c r="V293" i="1" s="1"/>
  <c r="M290" i="1"/>
  <c r="O290" i="1" s="1"/>
  <c r="Q290" i="1" s="1"/>
  <c r="L290" i="1"/>
  <c r="N290" i="1" s="1"/>
  <c r="P290" i="1" s="1"/>
  <c r="R293" i="1" l="1"/>
  <c r="V294" i="1" s="1"/>
  <c r="S293" i="1"/>
  <c r="W294" i="1" s="1"/>
  <c r="T293" i="1"/>
  <c r="X294" i="1" s="1"/>
  <c r="M291" i="1"/>
  <c r="O291" i="1" s="1"/>
  <c r="Q291" i="1" s="1"/>
  <c r="L291" i="1"/>
  <c r="N291" i="1" s="1"/>
  <c r="P291" i="1" s="1"/>
  <c r="T294" i="1" l="1"/>
  <c r="X295" i="1" s="1"/>
  <c r="S294" i="1"/>
  <c r="W295" i="1" s="1"/>
  <c r="R294" i="1"/>
  <c r="V295" i="1" s="1"/>
  <c r="M292" i="1"/>
  <c r="O292" i="1" s="1"/>
  <c r="Q292" i="1" s="1"/>
  <c r="L292" i="1"/>
  <c r="N292" i="1" s="1"/>
  <c r="P292" i="1" s="1"/>
  <c r="R295" i="1" l="1"/>
  <c r="V296" i="1" s="1"/>
  <c r="T295" i="1"/>
  <c r="X296" i="1" s="1"/>
  <c r="S295" i="1"/>
  <c r="W296" i="1" s="1"/>
  <c r="M293" i="1"/>
  <c r="O293" i="1" s="1"/>
  <c r="Q293" i="1" s="1"/>
  <c r="L293" i="1"/>
  <c r="N293" i="1" s="1"/>
  <c r="P293" i="1" s="1"/>
  <c r="S296" i="1" l="1"/>
  <c r="W297" i="1" s="1"/>
  <c r="T296" i="1"/>
  <c r="X297" i="1" s="1"/>
  <c r="R296" i="1"/>
  <c r="V297" i="1" s="1"/>
  <c r="M294" i="1"/>
  <c r="O294" i="1" s="1"/>
  <c r="Q294" i="1" s="1"/>
  <c r="L294" i="1"/>
  <c r="N294" i="1" s="1"/>
  <c r="P294" i="1" s="1"/>
  <c r="R297" i="1" l="1"/>
  <c r="V298" i="1" s="1"/>
  <c r="T297" i="1"/>
  <c r="X298" i="1" s="1"/>
  <c r="S297" i="1"/>
  <c r="W298" i="1" s="1"/>
  <c r="M295" i="1"/>
  <c r="O295" i="1" s="1"/>
  <c r="Q295" i="1" s="1"/>
  <c r="L295" i="1"/>
  <c r="N295" i="1" s="1"/>
  <c r="P295" i="1" s="1"/>
  <c r="S298" i="1" l="1"/>
  <c r="W299" i="1" s="1"/>
  <c r="T298" i="1"/>
  <c r="X299" i="1" s="1"/>
  <c r="R298" i="1"/>
  <c r="V299" i="1" s="1"/>
  <c r="M296" i="1"/>
  <c r="O296" i="1" s="1"/>
  <c r="Q296" i="1" s="1"/>
  <c r="L296" i="1"/>
  <c r="N296" i="1" s="1"/>
  <c r="P296" i="1" s="1"/>
  <c r="R299" i="1" l="1"/>
  <c r="V300" i="1" s="1"/>
  <c r="T299" i="1"/>
  <c r="X300" i="1" s="1"/>
  <c r="S299" i="1"/>
  <c r="W300" i="1" s="1"/>
  <c r="M297" i="1"/>
  <c r="O297" i="1" s="1"/>
  <c r="Q297" i="1" s="1"/>
  <c r="L297" i="1"/>
  <c r="N297" i="1" s="1"/>
  <c r="P297" i="1" s="1"/>
  <c r="S300" i="1" l="1"/>
  <c r="W301" i="1" s="1"/>
  <c r="T300" i="1"/>
  <c r="X301" i="1" s="1"/>
  <c r="R300" i="1"/>
  <c r="V301" i="1" s="1"/>
  <c r="M298" i="1"/>
  <c r="O298" i="1" s="1"/>
  <c r="Q298" i="1" s="1"/>
  <c r="L298" i="1"/>
  <c r="N298" i="1" s="1"/>
  <c r="P298" i="1" s="1"/>
  <c r="R301" i="1" l="1"/>
  <c r="V302" i="1" s="1"/>
  <c r="T301" i="1"/>
  <c r="X302" i="1" s="1"/>
  <c r="S301" i="1"/>
  <c r="W302" i="1" s="1"/>
  <c r="L299" i="1"/>
  <c r="N299" i="1" s="1"/>
  <c r="P299" i="1" s="1"/>
  <c r="M299" i="1"/>
  <c r="O299" i="1" s="1"/>
  <c r="Q299" i="1" s="1"/>
  <c r="T302" i="1" l="1"/>
  <c r="X303" i="1" s="1"/>
  <c r="S302" i="1"/>
  <c r="W303" i="1" s="1"/>
  <c r="R302" i="1"/>
  <c r="V303" i="1" s="1"/>
  <c r="M300" i="1"/>
  <c r="O300" i="1" s="1"/>
  <c r="Q300" i="1" s="1"/>
  <c r="L300" i="1"/>
  <c r="N300" i="1" s="1"/>
  <c r="P300" i="1" s="1"/>
  <c r="R303" i="1" l="1"/>
  <c r="V304" i="1" s="1"/>
  <c r="S303" i="1"/>
  <c r="W304" i="1" s="1"/>
  <c r="T303" i="1"/>
  <c r="X304" i="1" s="1"/>
  <c r="M301" i="1"/>
  <c r="O301" i="1" s="1"/>
  <c r="Q301" i="1" s="1"/>
  <c r="L301" i="1"/>
  <c r="N301" i="1" s="1"/>
  <c r="P301" i="1" s="1"/>
  <c r="T304" i="1" l="1"/>
  <c r="X305" i="1" s="1"/>
  <c r="R304" i="1"/>
  <c r="V305" i="1" s="1"/>
  <c r="S304" i="1"/>
  <c r="W305" i="1" s="1"/>
  <c r="M302" i="1"/>
  <c r="O302" i="1" s="1"/>
  <c r="Q302" i="1" s="1"/>
  <c r="L302" i="1"/>
  <c r="N302" i="1" s="1"/>
  <c r="P302" i="1" s="1"/>
  <c r="S305" i="1" l="1"/>
  <c r="W306" i="1" s="1"/>
  <c r="R305" i="1"/>
  <c r="V306" i="1" s="1"/>
  <c r="T305" i="1"/>
  <c r="X306" i="1" s="1"/>
  <c r="M303" i="1"/>
  <c r="O303" i="1" s="1"/>
  <c r="Q303" i="1" s="1"/>
  <c r="L303" i="1"/>
  <c r="N303" i="1" s="1"/>
  <c r="P303" i="1" s="1"/>
  <c r="T306" i="1" l="1"/>
  <c r="X307" i="1" s="1"/>
  <c r="R306" i="1"/>
  <c r="V307" i="1" s="1"/>
  <c r="S306" i="1"/>
  <c r="W307" i="1" s="1"/>
  <c r="M304" i="1"/>
  <c r="O304" i="1" s="1"/>
  <c r="Q304" i="1" s="1"/>
  <c r="L304" i="1"/>
  <c r="N304" i="1" s="1"/>
  <c r="P304" i="1" s="1"/>
  <c r="S307" i="1" l="1"/>
  <c r="W308" i="1" s="1"/>
  <c r="R307" i="1"/>
  <c r="V308" i="1" s="1"/>
  <c r="T307" i="1"/>
  <c r="X308" i="1" s="1"/>
  <c r="M305" i="1"/>
  <c r="O305" i="1" s="1"/>
  <c r="Q305" i="1" s="1"/>
  <c r="L305" i="1"/>
  <c r="N305" i="1" s="1"/>
  <c r="P305" i="1" s="1"/>
  <c r="T308" i="1" l="1"/>
  <c r="X309" i="1" s="1"/>
  <c r="R308" i="1"/>
  <c r="V309" i="1" s="1"/>
  <c r="S308" i="1"/>
  <c r="W309" i="1" s="1"/>
  <c r="M306" i="1"/>
  <c r="O306" i="1" s="1"/>
  <c r="Q306" i="1" s="1"/>
  <c r="L306" i="1"/>
  <c r="N306" i="1" s="1"/>
  <c r="P306" i="1" s="1"/>
  <c r="S309" i="1" l="1"/>
  <c r="W310" i="1" s="1"/>
  <c r="R309" i="1"/>
  <c r="V310" i="1" s="1"/>
  <c r="T309" i="1"/>
  <c r="X310" i="1" s="1"/>
  <c r="M307" i="1"/>
  <c r="O307" i="1" s="1"/>
  <c r="Q307" i="1" s="1"/>
  <c r="L307" i="1"/>
  <c r="N307" i="1" s="1"/>
  <c r="P307" i="1" s="1"/>
  <c r="T310" i="1" l="1"/>
  <c r="X311" i="1" s="1"/>
  <c r="R310" i="1"/>
  <c r="V311" i="1" s="1"/>
  <c r="S310" i="1"/>
  <c r="W311" i="1" s="1"/>
  <c r="M308" i="1"/>
  <c r="O308" i="1" s="1"/>
  <c r="Q308" i="1" s="1"/>
  <c r="L308" i="1"/>
  <c r="N308" i="1" s="1"/>
  <c r="P308" i="1" s="1"/>
  <c r="S311" i="1" l="1"/>
  <c r="W312" i="1" s="1"/>
  <c r="R311" i="1"/>
  <c r="V312" i="1" s="1"/>
  <c r="T311" i="1"/>
  <c r="X312" i="1" s="1"/>
  <c r="M309" i="1"/>
  <c r="O309" i="1" s="1"/>
  <c r="Q309" i="1" s="1"/>
  <c r="L309" i="1"/>
  <c r="N309" i="1" s="1"/>
  <c r="P309" i="1" s="1"/>
  <c r="T312" i="1" l="1"/>
  <c r="X313" i="1" s="1"/>
  <c r="R312" i="1"/>
  <c r="V313" i="1" s="1"/>
  <c r="S312" i="1"/>
  <c r="W313" i="1" s="1"/>
  <c r="M310" i="1"/>
  <c r="O310" i="1" s="1"/>
  <c r="Q310" i="1" s="1"/>
  <c r="L310" i="1"/>
  <c r="N310" i="1" s="1"/>
  <c r="P310" i="1" s="1"/>
  <c r="S313" i="1" l="1"/>
  <c r="W314" i="1" s="1"/>
  <c r="R313" i="1"/>
  <c r="V314" i="1" s="1"/>
  <c r="T313" i="1"/>
  <c r="X314" i="1" s="1"/>
  <c r="M311" i="1"/>
  <c r="O311" i="1" s="1"/>
  <c r="Q311" i="1" s="1"/>
  <c r="L311" i="1"/>
  <c r="N311" i="1" s="1"/>
  <c r="P311" i="1" s="1"/>
  <c r="T314" i="1" l="1"/>
  <c r="X315" i="1" s="1"/>
  <c r="S314" i="1"/>
  <c r="W315" i="1" s="1"/>
  <c r="R314" i="1"/>
  <c r="V315" i="1" s="1"/>
  <c r="M312" i="1"/>
  <c r="O312" i="1" s="1"/>
  <c r="Q312" i="1" s="1"/>
  <c r="L312" i="1"/>
  <c r="N312" i="1" s="1"/>
  <c r="P312" i="1" s="1"/>
  <c r="R315" i="1" l="1"/>
  <c r="V316" i="1" s="1"/>
  <c r="S315" i="1"/>
  <c r="W316" i="1" s="1"/>
  <c r="T315" i="1"/>
  <c r="X316" i="1" s="1"/>
  <c r="M313" i="1"/>
  <c r="O313" i="1" s="1"/>
  <c r="Q313" i="1" s="1"/>
  <c r="L313" i="1"/>
  <c r="N313" i="1" s="1"/>
  <c r="P313" i="1" s="1"/>
  <c r="T316" i="1" l="1"/>
  <c r="X317" i="1" s="1"/>
  <c r="S316" i="1"/>
  <c r="W317" i="1" s="1"/>
  <c r="R316" i="1"/>
  <c r="V317" i="1" s="1"/>
  <c r="M314" i="1"/>
  <c r="O314" i="1" s="1"/>
  <c r="Q314" i="1" s="1"/>
  <c r="L314" i="1"/>
  <c r="N314" i="1" s="1"/>
  <c r="P314" i="1" s="1"/>
  <c r="S317" i="1" l="1"/>
  <c r="W318" i="1" s="1"/>
  <c r="T317" i="1"/>
  <c r="X318" i="1" s="1"/>
  <c r="R317" i="1"/>
  <c r="V318" i="1" s="1"/>
  <c r="M315" i="1"/>
  <c r="O315" i="1" s="1"/>
  <c r="Q315" i="1" s="1"/>
  <c r="L315" i="1"/>
  <c r="N315" i="1" s="1"/>
  <c r="P315" i="1" s="1"/>
  <c r="T318" i="1" l="1"/>
  <c r="X319" i="1" s="1"/>
  <c r="S318" i="1"/>
  <c r="W319" i="1" s="1"/>
  <c r="R318" i="1"/>
  <c r="V319" i="1" s="1"/>
  <c r="M316" i="1"/>
  <c r="O316" i="1" s="1"/>
  <c r="Q316" i="1" s="1"/>
  <c r="L316" i="1"/>
  <c r="N316" i="1" s="1"/>
  <c r="P316" i="1" s="1"/>
  <c r="R319" i="1" l="1"/>
  <c r="V320" i="1" s="1"/>
  <c r="S319" i="1"/>
  <c r="W320" i="1" s="1"/>
  <c r="T319" i="1"/>
  <c r="X320" i="1" s="1"/>
  <c r="M317" i="1"/>
  <c r="O317" i="1" s="1"/>
  <c r="Q317" i="1" s="1"/>
  <c r="L317" i="1"/>
  <c r="N317" i="1" s="1"/>
  <c r="P317" i="1" s="1"/>
  <c r="T320" i="1" l="1"/>
  <c r="X321" i="1" s="1"/>
  <c r="S320" i="1"/>
  <c r="W321" i="1" s="1"/>
  <c r="R320" i="1"/>
  <c r="V321" i="1" s="1"/>
  <c r="M318" i="1"/>
  <c r="O318" i="1" s="1"/>
  <c r="Q318" i="1" s="1"/>
  <c r="L318" i="1"/>
  <c r="N318" i="1" s="1"/>
  <c r="P318" i="1" s="1"/>
  <c r="R321" i="1" l="1"/>
  <c r="V322" i="1" s="1"/>
  <c r="S321" i="1"/>
  <c r="W322" i="1" s="1"/>
  <c r="T321" i="1"/>
  <c r="X322" i="1" s="1"/>
  <c r="M319" i="1"/>
  <c r="O319" i="1" s="1"/>
  <c r="Q319" i="1" s="1"/>
  <c r="L319" i="1"/>
  <c r="N319" i="1" s="1"/>
  <c r="P319" i="1" s="1"/>
  <c r="T322" i="1" l="1"/>
  <c r="X323" i="1" s="1"/>
  <c r="R322" i="1"/>
  <c r="V323" i="1" s="1"/>
  <c r="S322" i="1"/>
  <c r="W323" i="1" s="1"/>
  <c r="M320" i="1"/>
  <c r="O320" i="1" s="1"/>
  <c r="Q320" i="1" s="1"/>
  <c r="L320" i="1"/>
  <c r="N320" i="1" s="1"/>
  <c r="P320" i="1" s="1"/>
  <c r="S323" i="1" l="1"/>
  <c r="W324" i="1" s="1"/>
  <c r="R323" i="1"/>
  <c r="V324" i="1" s="1"/>
  <c r="T323" i="1"/>
  <c r="X324" i="1" s="1"/>
  <c r="M321" i="1"/>
  <c r="O321" i="1" s="1"/>
  <c r="Q321" i="1" s="1"/>
  <c r="L321" i="1"/>
  <c r="N321" i="1" s="1"/>
  <c r="P321" i="1" s="1"/>
  <c r="T324" i="1" l="1"/>
  <c r="X325" i="1" s="1"/>
  <c r="R324" i="1"/>
  <c r="V325" i="1" s="1"/>
  <c r="S324" i="1"/>
  <c r="W325" i="1" s="1"/>
  <c r="M322" i="1"/>
  <c r="O322" i="1" s="1"/>
  <c r="Q322" i="1" s="1"/>
  <c r="L322" i="1"/>
  <c r="N322" i="1" s="1"/>
  <c r="P322" i="1" s="1"/>
  <c r="S325" i="1" l="1"/>
  <c r="W326" i="1" s="1"/>
  <c r="R325" i="1"/>
  <c r="V326" i="1" s="1"/>
  <c r="T325" i="1"/>
  <c r="X326" i="1" s="1"/>
  <c r="M323" i="1"/>
  <c r="O323" i="1" s="1"/>
  <c r="Q323" i="1" s="1"/>
  <c r="L323" i="1"/>
  <c r="N323" i="1" s="1"/>
  <c r="P323" i="1" s="1"/>
  <c r="T326" i="1" l="1"/>
  <c r="X327" i="1" s="1"/>
  <c r="R326" i="1"/>
  <c r="V327" i="1" s="1"/>
  <c r="S326" i="1"/>
  <c r="W327" i="1" s="1"/>
  <c r="M324" i="1"/>
  <c r="O324" i="1" s="1"/>
  <c r="Q324" i="1" s="1"/>
  <c r="L324" i="1"/>
  <c r="N324" i="1" s="1"/>
  <c r="P324" i="1" s="1"/>
  <c r="T327" i="1" l="1"/>
  <c r="X328" i="1" s="1"/>
  <c r="S327" i="1"/>
  <c r="W328" i="1" s="1"/>
  <c r="R327" i="1"/>
  <c r="V328" i="1" s="1"/>
  <c r="M325" i="1"/>
  <c r="O325" i="1" s="1"/>
  <c r="Q325" i="1" s="1"/>
  <c r="L325" i="1"/>
  <c r="N325" i="1" s="1"/>
  <c r="P325" i="1" s="1"/>
  <c r="R328" i="1" l="1"/>
  <c r="V329" i="1" s="1"/>
  <c r="S328" i="1"/>
  <c r="W329" i="1" s="1"/>
  <c r="T328" i="1"/>
  <c r="X329" i="1" s="1"/>
  <c r="L326" i="1"/>
  <c r="N326" i="1" s="1"/>
  <c r="P326" i="1" s="1"/>
  <c r="M326" i="1"/>
  <c r="O326" i="1" s="1"/>
  <c r="Q326" i="1" s="1"/>
  <c r="T329" i="1" l="1"/>
  <c r="X330" i="1" s="1"/>
  <c r="R329" i="1"/>
  <c r="V330" i="1" s="1"/>
  <c r="S329" i="1"/>
  <c r="W330" i="1" s="1"/>
  <c r="M327" i="1"/>
  <c r="O327" i="1" s="1"/>
  <c r="Q327" i="1" s="1"/>
  <c r="L327" i="1"/>
  <c r="N327" i="1" s="1"/>
  <c r="P327" i="1" s="1"/>
  <c r="S330" i="1" l="1"/>
  <c r="W331" i="1" s="1"/>
  <c r="R330" i="1"/>
  <c r="V331" i="1" s="1"/>
  <c r="T330" i="1"/>
  <c r="X331" i="1" s="1"/>
  <c r="M328" i="1"/>
  <c r="O328" i="1" s="1"/>
  <c r="Q328" i="1" s="1"/>
  <c r="L328" i="1"/>
  <c r="N328" i="1" s="1"/>
  <c r="P328" i="1" s="1"/>
  <c r="R331" i="1" l="1"/>
  <c r="V332" i="1" s="1"/>
  <c r="S331" i="1"/>
  <c r="W332" i="1" s="1"/>
  <c r="T331" i="1"/>
  <c r="X332" i="1" s="1"/>
  <c r="M329" i="1"/>
  <c r="O329" i="1" s="1"/>
  <c r="Q329" i="1" s="1"/>
  <c r="L329" i="1"/>
  <c r="N329" i="1" s="1"/>
  <c r="P329" i="1" s="1"/>
  <c r="T332" i="1" l="1"/>
  <c r="X333" i="1" s="1"/>
  <c r="S332" i="1"/>
  <c r="W333" i="1" s="1"/>
  <c r="R332" i="1"/>
  <c r="V333" i="1" s="1"/>
  <c r="M330" i="1"/>
  <c r="O330" i="1" s="1"/>
  <c r="Q330" i="1" s="1"/>
  <c r="L330" i="1"/>
  <c r="N330" i="1" s="1"/>
  <c r="P330" i="1" s="1"/>
  <c r="R333" i="1" l="1"/>
  <c r="V334" i="1" s="1"/>
  <c r="S333" i="1"/>
  <c r="W334" i="1" s="1"/>
  <c r="T333" i="1"/>
  <c r="X334" i="1" s="1"/>
  <c r="M331" i="1"/>
  <c r="O331" i="1" s="1"/>
  <c r="Q331" i="1" s="1"/>
  <c r="L331" i="1"/>
  <c r="N331" i="1" s="1"/>
  <c r="P331" i="1" s="1"/>
  <c r="T334" i="1" l="1"/>
  <c r="X335" i="1" s="1"/>
  <c r="R334" i="1"/>
  <c r="V335" i="1" s="1"/>
  <c r="S334" i="1"/>
  <c r="W335" i="1" s="1"/>
  <c r="M332" i="1"/>
  <c r="O332" i="1" s="1"/>
  <c r="Q332" i="1" s="1"/>
  <c r="L332" i="1"/>
  <c r="N332" i="1" s="1"/>
  <c r="P332" i="1" s="1"/>
  <c r="S335" i="1" l="1"/>
  <c r="W336" i="1" s="1"/>
  <c r="R335" i="1"/>
  <c r="V336" i="1" s="1"/>
  <c r="T335" i="1"/>
  <c r="X336" i="1" s="1"/>
  <c r="M333" i="1"/>
  <c r="O333" i="1" s="1"/>
  <c r="Q333" i="1" s="1"/>
  <c r="L333" i="1"/>
  <c r="N333" i="1" s="1"/>
  <c r="P333" i="1" s="1"/>
  <c r="T336" i="1" l="1"/>
  <c r="X337" i="1" s="1"/>
  <c r="R336" i="1"/>
  <c r="V337" i="1" s="1"/>
  <c r="S336" i="1"/>
  <c r="W337" i="1" s="1"/>
  <c r="M334" i="1"/>
  <c r="O334" i="1" s="1"/>
  <c r="Q334" i="1" s="1"/>
  <c r="L334" i="1"/>
  <c r="N334" i="1" s="1"/>
  <c r="P334" i="1" s="1"/>
  <c r="S337" i="1" l="1"/>
  <c r="W338" i="1" s="1"/>
  <c r="R337" i="1"/>
  <c r="V338" i="1" s="1"/>
  <c r="T337" i="1"/>
  <c r="X338" i="1" s="1"/>
  <c r="M335" i="1"/>
  <c r="O335" i="1" s="1"/>
  <c r="Q335" i="1" s="1"/>
  <c r="L335" i="1"/>
  <c r="N335" i="1" s="1"/>
  <c r="P335" i="1" s="1"/>
  <c r="T338" i="1" l="1"/>
  <c r="X339" i="1" s="1"/>
  <c r="R338" i="1"/>
  <c r="V339" i="1" s="1"/>
  <c r="S338" i="1"/>
  <c r="W339" i="1" s="1"/>
  <c r="M336" i="1"/>
  <c r="O336" i="1" s="1"/>
  <c r="Q336" i="1" s="1"/>
  <c r="L336" i="1"/>
  <c r="N336" i="1" s="1"/>
  <c r="P336" i="1" s="1"/>
  <c r="S339" i="1" l="1"/>
  <c r="W340" i="1" s="1"/>
  <c r="T339" i="1"/>
  <c r="X340" i="1" s="1"/>
  <c r="R339" i="1"/>
  <c r="V340" i="1" s="1"/>
  <c r="M337" i="1"/>
  <c r="O337" i="1" s="1"/>
  <c r="Q337" i="1" s="1"/>
  <c r="L337" i="1"/>
  <c r="N337" i="1" s="1"/>
  <c r="P337" i="1" s="1"/>
  <c r="R340" i="1" l="1"/>
  <c r="V341" i="1" s="1"/>
  <c r="T340" i="1"/>
  <c r="X341" i="1" s="1"/>
  <c r="S340" i="1"/>
  <c r="W341" i="1" s="1"/>
  <c r="M338" i="1"/>
  <c r="O338" i="1" s="1"/>
  <c r="Q338" i="1" s="1"/>
  <c r="L338" i="1"/>
  <c r="N338" i="1" s="1"/>
  <c r="P338" i="1" s="1"/>
  <c r="S341" i="1" l="1"/>
  <c r="W342" i="1" s="1"/>
  <c r="T341" i="1"/>
  <c r="X342" i="1" s="1"/>
  <c r="R341" i="1"/>
  <c r="V342" i="1" s="1"/>
  <c r="M339" i="1"/>
  <c r="O339" i="1" s="1"/>
  <c r="Q339" i="1" s="1"/>
  <c r="L339" i="1"/>
  <c r="N339" i="1" s="1"/>
  <c r="P339" i="1" s="1"/>
  <c r="T342" i="1" l="1"/>
  <c r="X343" i="1" s="1"/>
  <c r="R342" i="1"/>
  <c r="V343" i="1" s="1"/>
  <c r="S342" i="1"/>
  <c r="W343" i="1" s="1"/>
  <c r="M340" i="1"/>
  <c r="O340" i="1" s="1"/>
  <c r="Q340" i="1" s="1"/>
  <c r="L340" i="1"/>
  <c r="N340" i="1" s="1"/>
  <c r="P340" i="1" s="1"/>
  <c r="S343" i="1" l="1"/>
  <c r="W344" i="1" s="1"/>
  <c r="T343" i="1"/>
  <c r="X344" i="1" s="1"/>
  <c r="R343" i="1"/>
  <c r="V344" i="1" s="1"/>
  <c r="M341" i="1"/>
  <c r="O341" i="1" s="1"/>
  <c r="Q341" i="1" s="1"/>
  <c r="L341" i="1"/>
  <c r="N341" i="1" s="1"/>
  <c r="P341" i="1" s="1"/>
  <c r="R344" i="1" l="1"/>
  <c r="V345" i="1" s="1"/>
  <c r="T344" i="1"/>
  <c r="X345" i="1" s="1"/>
  <c r="S344" i="1"/>
  <c r="W345" i="1" s="1"/>
  <c r="M342" i="1"/>
  <c r="O342" i="1" s="1"/>
  <c r="Q342" i="1" s="1"/>
  <c r="L342" i="1"/>
  <c r="N342" i="1" s="1"/>
  <c r="P342" i="1" s="1"/>
  <c r="R345" i="1" l="1"/>
  <c r="V346" i="1" s="1"/>
  <c r="S345" i="1"/>
  <c r="W346" i="1" s="1"/>
  <c r="T345" i="1"/>
  <c r="X346" i="1" s="1"/>
  <c r="M343" i="1"/>
  <c r="O343" i="1" s="1"/>
  <c r="Q343" i="1" s="1"/>
  <c r="L343" i="1"/>
  <c r="N343" i="1" s="1"/>
  <c r="P343" i="1" s="1"/>
  <c r="T346" i="1" l="1"/>
  <c r="X347" i="1" s="1"/>
  <c r="S346" i="1"/>
  <c r="W347" i="1" s="1"/>
  <c r="R346" i="1"/>
  <c r="V347" i="1" s="1"/>
  <c r="M344" i="1"/>
  <c r="O344" i="1" s="1"/>
  <c r="Q344" i="1" s="1"/>
  <c r="L344" i="1"/>
  <c r="N344" i="1" s="1"/>
  <c r="P344" i="1" s="1"/>
  <c r="R347" i="1" l="1"/>
  <c r="V348" i="1" s="1"/>
  <c r="S347" i="1"/>
  <c r="W348" i="1" s="1"/>
  <c r="T347" i="1"/>
  <c r="X348" i="1" s="1"/>
  <c r="M345" i="1"/>
  <c r="O345" i="1" s="1"/>
  <c r="Q345" i="1" s="1"/>
  <c r="L345" i="1"/>
  <c r="N345" i="1" s="1"/>
  <c r="P345" i="1" s="1"/>
  <c r="T348" i="1" l="1"/>
  <c r="X349" i="1" s="1"/>
  <c r="S348" i="1"/>
  <c r="W349" i="1" s="1"/>
  <c r="R348" i="1"/>
  <c r="V349" i="1" s="1"/>
  <c r="M346" i="1"/>
  <c r="O346" i="1" s="1"/>
  <c r="Q346" i="1" s="1"/>
  <c r="L346" i="1"/>
  <c r="N346" i="1" s="1"/>
  <c r="P346" i="1" s="1"/>
  <c r="R349" i="1" l="1"/>
  <c r="V350" i="1" s="1"/>
  <c r="S349" i="1"/>
  <c r="W350" i="1" s="1"/>
  <c r="T349" i="1"/>
  <c r="X350" i="1" s="1"/>
  <c r="M347" i="1"/>
  <c r="O347" i="1" s="1"/>
  <c r="Q347" i="1" s="1"/>
  <c r="L347" i="1"/>
  <c r="N347" i="1" s="1"/>
  <c r="P347" i="1" s="1"/>
  <c r="T350" i="1" l="1"/>
  <c r="X351" i="1" s="1"/>
  <c r="S350" i="1"/>
  <c r="W351" i="1" s="1"/>
  <c r="R350" i="1"/>
  <c r="V351" i="1" s="1"/>
  <c r="M348" i="1"/>
  <c r="O348" i="1" s="1"/>
  <c r="Q348" i="1" s="1"/>
  <c r="L348" i="1"/>
  <c r="N348" i="1" s="1"/>
  <c r="P348" i="1" s="1"/>
  <c r="R351" i="1" l="1"/>
  <c r="V352" i="1" s="1"/>
  <c r="S351" i="1"/>
  <c r="W352" i="1" s="1"/>
  <c r="T351" i="1"/>
  <c r="X352" i="1" s="1"/>
  <c r="M349" i="1"/>
  <c r="O349" i="1" s="1"/>
  <c r="Q349" i="1" s="1"/>
  <c r="L349" i="1"/>
  <c r="N349" i="1" s="1"/>
  <c r="P349" i="1" s="1"/>
  <c r="T352" i="1" l="1"/>
  <c r="X353" i="1" s="1"/>
  <c r="S352" i="1"/>
  <c r="W353" i="1" s="1"/>
  <c r="R352" i="1"/>
  <c r="V353" i="1" s="1"/>
  <c r="M350" i="1"/>
  <c r="O350" i="1" s="1"/>
  <c r="Q350" i="1" s="1"/>
  <c r="L350" i="1"/>
  <c r="N350" i="1" s="1"/>
  <c r="P350" i="1" s="1"/>
  <c r="R353" i="1" l="1"/>
  <c r="V354" i="1" s="1"/>
  <c r="S353" i="1"/>
  <c r="W354" i="1" s="1"/>
  <c r="T353" i="1"/>
  <c r="X354" i="1" s="1"/>
  <c r="M351" i="1"/>
  <c r="O351" i="1" s="1"/>
  <c r="Q351" i="1" s="1"/>
  <c r="L351" i="1"/>
  <c r="N351" i="1" s="1"/>
  <c r="P351" i="1" s="1"/>
  <c r="T354" i="1" l="1"/>
  <c r="X355" i="1" s="1"/>
  <c r="S354" i="1"/>
  <c r="W355" i="1" s="1"/>
  <c r="R354" i="1"/>
  <c r="V355" i="1" s="1"/>
  <c r="M352" i="1"/>
  <c r="O352" i="1" s="1"/>
  <c r="Q352" i="1" s="1"/>
  <c r="L352" i="1"/>
  <c r="N352" i="1" s="1"/>
  <c r="P352" i="1" s="1"/>
  <c r="R355" i="1" l="1"/>
  <c r="V356" i="1" s="1"/>
  <c r="S355" i="1"/>
  <c r="W356" i="1" s="1"/>
  <c r="T355" i="1"/>
  <c r="X356" i="1" s="1"/>
  <c r="L353" i="1"/>
  <c r="N353" i="1" s="1"/>
  <c r="P353" i="1" s="1"/>
  <c r="M353" i="1"/>
  <c r="O353" i="1" s="1"/>
  <c r="Q353" i="1" s="1"/>
  <c r="T356" i="1" l="1"/>
  <c r="X357" i="1" s="1"/>
  <c r="S356" i="1"/>
  <c r="W357" i="1" s="1"/>
  <c r="R356" i="1"/>
  <c r="V357" i="1" s="1"/>
  <c r="M354" i="1"/>
  <c r="O354" i="1" s="1"/>
  <c r="Q354" i="1" s="1"/>
  <c r="L354" i="1"/>
  <c r="N354" i="1" s="1"/>
  <c r="P354" i="1" s="1"/>
  <c r="R357" i="1" l="1"/>
  <c r="V358" i="1" s="1"/>
  <c r="S357" i="1"/>
  <c r="W358" i="1" s="1"/>
  <c r="T357" i="1"/>
  <c r="X358" i="1" s="1"/>
  <c r="M355" i="1"/>
  <c r="O355" i="1" s="1"/>
  <c r="Q355" i="1" s="1"/>
  <c r="L355" i="1"/>
  <c r="N355" i="1" s="1"/>
  <c r="P355" i="1" s="1"/>
  <c r="T358" i="1" l="1"/>
  <c r="X359" i="1" s="1"/>
  <c r="S358" i="1"/>
  <c r="W359" i="1" s="1"/>
  <c r="R358" i="1"/>
  <c r="V359" i="1" s="1"/>
  <c r="M356" i="1"/>
  <c r="O356" i="1" s="1"/>
  <c r="Q356" i="1" s="1"/>
  <c r="L356" i="1"/>
  <c r="N356" i="1" s="1"/>
  <c r="P356" i="1" s="1"/>
  <c r="T359" i="1" l="1"/>
  <c r="X360" i="1" s="1"/>
  <c r="R359" i="1"/>
  <c r="V360" i="1" s="1"/>
  <c r="S359" i="1"/>
  <c r="W360" i="1" s="1"/>
  <c r="M357" i="1"/>
  <c r="O357" i="1" s="1"/>
  <c r="Q357" i="1" s="1"/>
  <c r="L357" i="1"/>
  <c r="N357" i="1" s="1"/>
  <c r="P357" i="1" s="1"/>
  <c r="S360" i="1" l="1"/>
  <c r="W361" i="1" s="1"/>
  <c r="R360" i="1"/>
  <c r="V361" i="1" s="1"/>
  <c r="T360" i="1"/>
  <c r="X361" i="1" s="1"/>
  <c r="M358" i="1"/>
  <c r="O358" i="1" s="1"/>
  <c r="Q358" i="1" s="1"/>
  <c r="L358" i="1"/>
  <c r="N358" i="1" s="1"/>
  <c r="P358" i="1" s="1"/>
  <c r="T361" i="1" l="1"/>
  <c r="X362" i="1" s="1"/>
  <c r="R361" i="1"/>
  <c r="V362" i="1" s="1"/>
  <c r="S361" i="1"/>
  <c r="W362" i="1" s="1"/>
  <c r="M359" i="1"/>
  <c r="O359" i="1" s="1"/>
  <c r="Q359" i="1" s="1"/>
  <c r="L359" i="1"/>
  <c r="N359" i="1" s="1"/>
  <c r="P359" i="1" s="1"/>
  <c r="S362" i="1" l="1"/>
  <c r="W363" i="1" s="1"/>
  <c r="T362" i="1"/>
  <c r="X363" i="1" s="1"/>
  <c r="R362" i="1"/>
  <c r="V363" i="1" s="1"/>
  <c r="M360" i="1"/>
  <c r="O360" i="1" s="1"/>
  <c r="Q360" i="1" s="1"/>
  <c r="L360" i="1"/>
  <c r="N360" i="1" s="1"/>
  <c r="P360" i="1" s="1"/>
  <c r="R363" i="1" l="1"/>
  <c r="V364" i="1" s="1"/>
  <c r="T363" i="1"/>
  <c r="X364" i="1" s="1"/>
  <c r="S363" i="1"/>
  <c r="W364" i="1" s="1"/>
  <c r="M361" i="1"/>
  <c r="O361" i="1" s="1"/>
  <c r="Q361" i="1" s="1"/>
  <c r="L361" i="1"/>
  <c r="N361" i="1" s="1"/>
  <c r="P361" i="1" s="1"/>
  <c r="S364" i="1" l="1"/>
  <c r="W365" i="1" s="1"/>
  <c r="T364" i="1"/>
  <c r="X365" i="1" s="1"/>
  <c r="R364" i="1"/>
  <c r="V365" i="1" s="1"/>
  <c r="M362" i="1"/>
  <c r="O362" i="1" s="1"/>
  <c r="Q362" i="1" s="1"/>
  <c r="L362" i="1"/>
  <c r="N362" i="1" s="1"/>
  <c r="P362" i="1" s="1"/>
  <c r="R365" i="1" l="1"/>
  <c r="V366" i="1" s="1"/>
  <c r="T365" i="1"/>
  <c r="X366" i="1" s="1"/>
  <c r="S365" i="1"/>
  <c r="W366" i="1" s="1"/>
  <c r="M363" i="1"/>
  <c r="O363" i="1" s="1"/>
  <c r="Q363" i="1" s="1"/>
  <c r="L363" i="1"/>
  <c r="N363" i="1" s="1"/>
  <c r="P363" i="1" s="1"/>
  <c r="S366" i="1" l="1"/>
  <c r="W367" i="1" s="1"/>
  <c r="T366" i="1"/>
  <c r="X367" i="1" s="1"/>
  <c r="R366" i="1"/>
  <c r="V367" i="1" s="1"/>
  <c r="M364" i="1"/>
  <c r="O364" i="1" s="1"/>
  <c r="Q364" i="1" s="1"/>
  <c r="L364" i="1"/>
  <c r="N364" i="1" s="1"/>
  <c r="P364" i="1" s="1"/>
  <c r="R367" i="1" l="1"/>
  <c r="V368" i="1" s="1"/>
  <c r="T367" i="1"/>
  <c r="X368" i="1" s="1"/>
  <c r="S367" i="1"/>
  <c r="W368" i="1" s="1"/>
  <c r="M365" i="1"/>
  <c r="O365" i="1" s="1"/>
  <c r="Q365" i="1" s="1"/>
  <c r="L365" i="1"/>
  <c r="N365" i="1" s="1"/>
  <c r="P365" i="1" s="1"/>
  <c r="S368" i="1" l="1"/>
  <c r="W369" i="1" s="1"/>
  <c r="T368" i="1"/>
  <c r="X369" i="1" s="1"/>
  <c r="R368" i="1"/>
  <c r="V369" i="1" s="1"/>
  <c r="M366" i="1"/>
  <c r="O366" i="1" s="1"/>
  <c r="Q366" i="1" s="1"/>
  <c r="L366" i="1"/>
  <c r="N366" i="1" s="1"/>
  <c r="P366" i="1" s="1"/>
  <c r="R369" i="1" l="1"/>
  <c r="V370" i="1" s="1"/>
  <c r="T369" i="1"/>
  <c r="X370" i="1" s="1"/>
  <c r="S369" i="1"/>
  <c r="W370" i="1" s="1"/>
  <c r="M367" i="1"/>
  <c r="O367" i="1" s="1"/>
  <c r="Q367" i="1" s="1"/>
  <c r="L367" i="1"/>
  <c r="N367" i="1" s="1"/>
  <c r="P367" i="1" s="1"/>
  <c r="T370" i="1" l="1"/>
  <c r="X371" i="1" s="1"/>
  <c r="R370" i="1"/>
  <c r="V371" i="1" s="1"/>
  <c r="S370" i="1"/>
  <c r="W371" i="1" s="1"/>
  <c r="M368" i="1"/>
  <c r="O368" i="1" s="1"/>
  <c r="Q368" i="1" s="1"/>
  <c r="L368" i="1"/>
  <c r="N368" i="1" s="1"/>
  <c r="P368" i="1" s="1"/>
  <c r="S371" i="1" l="1"/>
  <c r="W372" i="1" s="1"/>
  <c r="R371" i="1"/>
  <c r="V372" i="1" s="1"/>
  <c r="T371" i="1"/>
  <c r="X372" i="1" s="1"/>
  <c r="M369" i="1"/>
  <c r="O369" i="1" s="1"/>
  <c r="Q369" i="1" s="1"/>
  <c r="L369" i="1"/>
  <c r="N369" i="1" s="1"/>
  <c r="P369" i="1" s="1"/>
  <c r="T372" i="1" l="1"/>
  <c r="X373" i="1" s="1"/>
  <c r="R372" i="1"/>
  <c r="V373" i="1" s="1"/>
  <c r="S372" i="1"/>
  <c r="W373" i="1" s="1"/>
  <c r="M370" i="1"/>
  <c r="O370" i="1" s="1"/>
  <c r="Q370" i="1" s="1"/>
  <c r="L370" i="1"/>
  <c r="N370" i="1" s="1"/>
  <c r="P370" i="1" s="1"/>
  <c r="S373" i="1" l="1"/>
  <c r="W374" i="1" s="1"/>
  <c r="T373" i="1"/>
  <c r="X374" i="1" s="1"/>
  <c r="R373" i="1"/>
  <c r="V374" i="1" s="1"/>
  <c r="M371" i="1"/>
  <c r="O371" i="1" s="1"/>
  <c r="Q371" i="1" s="1"/>
  <c r="L371" i="1"/>
  <c r="N371" i="1" s="1"/>
  <c r="P371" i="1" s="1"/>
  <c r="R374" i="1" l="1"/>
  <c r="V375" i="1" s="1"/>
  <c r="T374" i="1"/>
  <c r="X375" i="1" s="1"/>
  <c r="S374" i="1"/>
  <c r="W375" i="1" s="1"/>
  <c r="M372" i="1"/>
  <c r="O372" i="1" s="1"/>
  <c r="Q372" i="1" s="1"/>
  <c r="L372" i="1"/>
  <c r="N372" i="1" s="1"/>
  <c r="P372" i="1" s="1"/>
  <c r="S375" i="1" l="1"/>
  <c r="W376" i="1" s="1"/>
  <c r="T375" i="1"/>
  <c r="X376" i="1" s="1"/>
  <c r="R375" i="1"/>
  <c r="V376" i="1" s="1"/>
  <c r="M373" i="1"/>
  <c r="O373" i="1" s="1"/>
  <c r="Q373" i="1" s="1"/>
  <c r="L373" i="1"/>
  <c r="N373" i="1" s="1"/>
  <c r="P373" i="1" s="1"/>
  <c r="R376" i="1" l="1"/>
  <c r="V377" i="1" s="1"/>
  <c r="T376" i="1"/>
  <c r="X377" i="1" s="1"/>
  <c r="S376" i="1"/>
  <c r="W377" i="1" s="1"/>
  <c r="M374" i="1"/>
  <c r="O374" i="1" s="1"/>
  <c r="Q374" i="1" s="1"/>
  <c r="L374" i="1"/>
  <c r="N374" i="1" s="1"/>
  <c r="P374" i="1" s="1"/>
  <c r="R377" i="1" l="1"/>
  <c r="V378" i="1" s="1"/>
  <c r="T377" i="1"/>
  <c r="X378" i="1" s="1"/>
  <c r="S377" i="1"/>
  <c r="W378" i="1" s="1"/>
  <c r="M375" i="1"/>
  <c r="O375" i="1" s="1"/>
  <c r="Q375" i="1" s="1"/>
  <c r="L375" i="1"/>
  <c r="N375" i="1" s="1"/>
  <c r="P375" i="1" s="1"/>
  <c r="S378" i="1" l="1"/>
  <c r="W379" i="1" s="1"/>
  <c r="T378" i="1"/>
  <c r="X379" i="1" s="1"/>
  <c r="R378" i="1"/>
  <c r="V379" i="1" s="1"/>
  <c r="M376" i="1"/>
  <c r="O376" i="1" s="1"/>
  <c r="Q376" i="1" s="1"/>
  <c r="L376" i="1"/>
  <c r="N376" i="1" s="1"/>
  <c r="P376" i="1" s="1"/>
  <c r="R379" i="1" l="1"/>
  <c r="V380" i="1" s="1"/>
  <c r="T379" i="1"/>
  <c r="X380" i="1" s="1"/>
  <c r="S379" i="1"/>
  <c r="W380" i="1" s="1"/>
  <c r="M377" i="1"/>
  <c r="O377" i="1" s="1"/>
  <c r="Q377" i="1" s="1"/>
  <c r="L377" i="1"/>
  <c r="N377" i="1" s="1"/>
  <c r="P377" i="1" s="1"/>
  <c r="S380" i="1" l="1"/>
  <c r="W381" i="1" s="1"/>
  <c r="T380" i="1"/>
  <c r="X381" i="1" s="1"/>
  <c r="R380" i="1"/>
  <c r="V381" i="1" s="1"/>
  <c r="M378" i="1"/>
  <c r="O378" i="1" s="1"/>
  <c r="Q378" i="1" s="1"/>
  <c r="L378" i="1"/>
  <c r="N378" i="1" s="1"/>
  <c r="P378" i="1" s="1"/>
  <c r="R381" i="1" l="1"/>
  <c r="V382" i="1" s="1"/>
  <c r="T381" i="1"/>
  <c r="X382" i="1" s="1"/>
  <c r="S381" i="1"/>
  <c r="W382" i="1" s="1"/>
  <c r="M379" i="1"/>
  <c r="O379" i="1" s="1"/>
  <c r="Q379" i="1" s="1"/>
  <c r="L379" i="1"/>
  <c r="N379" i="1" s="1"/>
  <c r="P379" i="1" s="1"/>
  <c r="S382" i="1" l="1"/>
  <c r="W383" i="1" s="1"/>
  <c r="T382" i="1"/>
  <c r="X383" i="1" s="1"/>
  <c r="R382" i="1"/>
  <c r="V383" i="1" s="1"/>
  <c r="M380" i="1"/>
  <c r="O380" i="1" s="1"/>
  <c r="Q380" i="1" s="1"/>
  <c r="L380" i="1"/>
  <c r="N380" i="1" s="1"/>
  <c r="P380" i="1" s="1"/>
  <c r="R383" i="1" l="1"/>
  <c r="V384" i="1" s="1"/>
  <c r="T383" i="1"/>
  <c r="X384" i="1" s="1"/>
  <c r="S383" i="1"/>
  <c r="W384" i="1" s="1"/>
  <c r="M381" i="1"/>
  <c r="O381" i="1" s="1"/>
  <c r="Q381" i="1" s="1"/>
  <c r="L381" i="1"/>
  <c r="N381" i="1" s="1"/>
  <c r="P381" i="1" s="1"/>
  <c r="S384" i="1" l="1"/>
  <c r="W385" i="1" s="1"/>
  <c r="T384" i="1"/>
  <c r="X385" i="1" s="1"/>
  <c r="R384" i="1"/>
  <c r="V385" i="1" s="1"/>
  <c r="M382" i="1"/>
  <c r="O382" i="1" s="1"/>
  <c r="Q382" i="1" s="1"/>
  <c r="L382" i="1"/>
  <c r="N382" i="1" s="1"/>
  <c r="P382" i="1" s="1"/>
  <c r="R385" i="1" l="1"/>
  <c r="V386" i="1" s="1"/>
  <c r="T385" i="1"/>
  <c r="X386" i="1" s="1"/>
  <c r="S385" i="1"/>
  <c r="W386" i="1" s="1"/>
  <c r="M383" i="1"/>
  <c r="O383" i="1" s="1"/>
  <c r="Q383" i="1" s="1"/>
  <c r="L383" i="1"/>
  <c r="N383" i="1" s="1"/>
  <c r="P383" i="1" s="1"/>
  <c r="S386" i="1" l="1"/>
  <c r="W387" i="1" s="1"/>
  <c r="T386" i="1"/>
  <c r="X387" i="1" s="1"/>
  <c r="R386" i="1"/>
  <c r="V387" i="1" s="1"/>
  <c r="M384" i="1"/>
  <c r="O384" i="1" s="1"/>
  <c r="Q384" i="1" s="1"/>
  <c r="L384" i="1"/>
  <c r="N384" i="1" s="1"/>
  <c r="P384" i="1" s="1"/>
  <c r="R387" i="1" l="1"/>
  <c r="V388" i="1" s="1"/>
  <c r="S387" i="1"/>
  <c r="W388" i="1" s="1"/>
  <c r="T387" i="1"/>
  <c r="X388" i="1" s="1"/>
  <c r="M385" i="1"/>
  <c r="O385" i="1" s="1"/>
  <c r="Q385" i="1" s="1"/>
  <c r="L385" i="1"/>
  <c r="N385" i="1" s="1"/>
  <c r="P385" i="1" s="1"/>
  <c r="T388" i="1" l="1"/>
  <c r="X389" i="1" s="1"/>
  <c r="S388" i="1"/>
  <c r="W389" i="1" s="1"/>
  <c r="R388" i="1"/>
  <c r="V389" i="1" s="1"/>
  <c r="M386" i="1"/>
  <c r="O386" i="1" s="1"/>
  <c r="Q386" i="1" s="1"/>
  <c r="L386" i="1"/>
  <c r="N386" i="1" s="1"/>
  <c r="P386" i="1" s="1"/>
  <c r="R389" i="1" l="1"/>
  <c r="V390" i="1" s="1"/>
  <c r="S389" i="1"/>
  <c r="W390" i="1" s="1"/>
  <c r="T389" i="1"/>
  <c r="X390" i="1" s="1"/>
  <c r="M387" i="1"/>
  <c r="O387" i="1" s="1"/>
  <c r="Q387" i="1" s="1"/>
  <c r="L387" i="1"/>
  <c r="N387" i="1" s="1"/>
  <c r="P387" i="1" s="1"/>
  <c r="T390" i="1" l="1"/>
  <c r="X391" i="1" s="1"/>
  <c r="S390" i="1"/>
  <c r="W391" i="1" s="1"/>
  <c r="R390" i="1"/>
  <c r="V391" i="1" s="1"/>
  <c r="M388" i="1"/>
  <c r="O388" i="1" s="1"/>
  <c r="Q388" i="1" s="1"/>
  <c r="L388" i="1"/>
  <c r="N388" i="1" s="1"/>
  <c r="P388" i="1" s="1"/>
  <c r="R391" i="1" l="1"/>
  <c r="V392" i="1" s="1"/>
  <c r="S391" i="1"/>
  <c r="W392" i="1" s="1"/>
  <c r="T391" i="1"/>
  <c r="X392" i="1" s="1"/>
  <c r="M389" i="1"/>
  <c r="O389" i="1" s="1"/>
  <c r="Q389" i="1" s="1"/>
  <c r="L389" i="1"/>
  <c r="N389" i="1" s="1"/>
  <c r="P389" i="1" s="1"/>
  <c r="S392" i="1" l="1"/>
  <c r="W393" i="1" s="1"/>
  <c r="T392" i="1"/>
  <c r="X393" i="1" s="1"/>
  <c r="R392" i="1"/>
  <c r="V393" i="1" s="1"/>
  <c r="M390" i="1"/>
  <c r="O390" i="1" s="1"/>
  <c r="Q390" i="1" s="1"/>
  <c r="L390" i="1"/>
  <c r="N390" i="1" s="1"/>
  <c r="P390" i="1" s="1"/>
  <c r="R393" i="1" l="1"/>
  <c r="V394" i="1" s="1"/>
  <c r="T393" i="1"/>
  <c r="X394" i="1" s="1"/>
  <c r="S393" i="1"/>
  <c r="W394" i="1" s="1"/>
  <c r="M391" i="1"/>
  <c r="O391" i="1" s="1"/>
  <c r="Q391" i="1" s="1"/>
  <c r="L391" i="1"/>
  <c r="N391" i="1" s="1"/>
  <c r="P391" i="1" s="1"/>
  <c r="T394" i="1" l="1"/>
  <c r="X395" i="1" s="1"/>
  <c r="S394" i="1"/>
  <c r="W395" i="1" s="1"/>
  <c r="R394" i="1"/>
  <c r="V395" i="1" s="1"/>
  <c r="M392" i="1"/>
  <c r="O392" i="1" s="1"/>
  <c r="Q392" i="1" s="1"/>
  <c r="L392" i="1"/>
  <c r="N392" i="1" s="1"/>
  <c r="P392" i="1" s="1"/>
  <c r="S395" i="1" l="1"/>
  <c r="W396" i="1" s="1"/>
  <c r="R395" i="1"/>
  <c r="V396" i="1" s="1"/>
  <c r="T395" i="1"/>
  <c r="X396" i="1" s="1"/>
  <c r="M393" i="1"/>
  <c r="O393" i="1" s="1"/>
  <c r="Q393" i="1" s="1"/>
  <c r="L393" i="1"/>
  <c r="N393" i="1" s="1"/>
  <c r="P393" i="1" s="1"/>
  <c r="R396" i="1" l="1"/>
  <c r="V397" i="1" s="1"/>
  <c r="T396" i="1"/>
  <c r="X397" i="1" s="1"/>
  <c r="S396" i="1"/>
  <c r="W397" i="1" s="1"/>
  <c r="M394" i="1"/>
  <c r="O394" i="1" s="1"/>
  <c r="Q394" i="1" s="1"/>
  <c r="L394" i="1"/>
  <c r="N394" i="1" s="1"/>
  <c r="P394" i="1" s="1"/>
  <c r="S397" i="1" l="1"/>
  <c r="W398" i="1" s="1"/>
  <c r="T397" i="1"/>
  <c r="X398" i="1" s="1"/>
  <c r="R397" i="1"/>
  <c r="V398" i="1" s="1"/>
  <c r="M395" i="1"/>
  <c r="O395" i="1" s="1"/>
  <c r="Q395" i="1" s="1"/>
  <c r="L395" i="1"/>
  <c r="N395" i="1" s="1"/>
  <c r="P395" i="1" s="1"/>
  <c r="R398" i="1" l="1"/>
  <c r="V399" i="1" s="1"/>
  <c r="T398" i="1"/>
  <c r="X399" i="1" s="1"/>
  <c r="S398" i="1"/>
  <c r="W399" i="1" s="1"/>
  <c r="M396" i="1"/>
  <c r="O396" i="1" s="1"/>
  <c r="Q396" i="1" s="1"/>
  <c r="L396" i="1"/>
  <c r="N396" i="1" s="1"/>
  <c r="P396" i="1" s="1"/>
  <c r="S399" i="1" l="1"/>
  <c r="W400" i="1"/>
  <c r="T399" i="1"/>
  <c r="X400" i="1" s="1"/>
  <c r="R399" i="1"/>
  <c r="V400" i="1" s="1"/>
  <c r="M397" i="1"/>
  <c r="O397" i="1" s="1"/>
  <c r="Q397" i="1" s="1"/>
  <c r="L397" i="1"/>
  <c r="N397" i="1" s="1"/>
  <c r="P397" i="1" s="1"/>
  <c r="T400" i="1" l="1"/>
  <c r="X401" i="1" s="1"/>
  <c r="R400" i="1"/>
  <c r="V401" i="1" s="1"/>
  <c r="S400" i="1"/>
  <c r="W401" i="1" s="1"/>
  <c r="M398" i="1"/>
  <c r="O398" i="1" s="1"/>
  <c r="Q398" i="1" s="1"/>
  <c r="L398" i="1"/>
  <c r="N398" i="1" s="1"/>
  <c r="P398" i="1" s="1"/>
  <c r="S401" i="1" l="1"/>
  <c r="W402" i="1" s="1"/>
  <c r="R401" i="1"/>
  <c r="V402" i="1" s="1"/>
  <c r="T401" i="1"/>
  <c r="X402" i="1" s="1"/>
  <c r="M399" i="1"/>
  <c r="O399" i="1" s="1"/>
  <c r="Q399" i="1" s="1"/>
  <c r="L399" i="1"/>
  <c r="N399" i="1" s="1"/>
  <c r="P399" i="1" s="1"/>
  <c r="T402" i="1" l="1"/>
  <c r="X403" i="1" s="1"/>
  <c r="R402" i="1"/>
  <c r="V403" i="1" s="1"/>
  <c r="S402" i="1"/>
  <c r="W403" i="1" s="1"/>
  <c r="M400" i="1"/>
  <c r="O400" i="1" s="1"/>
  <c r="Q400" i="1" s="1"/>
  <c r="L400" i="1"/>
  <c r="N400" i="1" s="1"/>
  <c r="P400" i="1" s="1"/>
  <c r="S403" i="1" l="1"/>
  <c r="W404" i="1" s="1"/>
  <c r="R403" i="1"/>
  <c r="V404" i="1" s="1"/>
  <c r="T403" i="1"/>
  <c r="X404" i="1" s="1"/>
  <c r="M401" i="1"/>
  <c r="O401" i="1" s="1"/>
  <c r="Q401" i="1" s="1"/>
  <c r="L401" i="1"/>
  <c r="N401" i="1" s="1"/>
  <c r="P401" i="1" s="1"/>
  <c r="T404" i="1" l="1"/>
  <c r="X405" i="1" s="1"/>
  <c r="R404" i="1"/>
  <c r="V405" i="1" s="1"/>
  <c r="S404" i="1"/>
  <c r="W405" i="1" s="1"/>
  <c r="M402" i="1"/>
  <c r="O402" i="1" s="1"/>
  <c r="Q402" i="1" s="1"/>
  <c r="L402" i="1"/>
  <c r="N402" i="1" s="1"/>
  <c r="P402" i="1" s="1"/>
  <c r="R405" i="1" l="1"/>
  <c r="V406" i="1" s="1"/>
  <c r="S405" i="1"/>
  <c r="W406" i="1" s="1"/>
  <c r="T405" i="1"/>
  <c r="X406" i="1" s="1"/>
  <c r="M403" i="1"/>
  <c r="O403" i="1" s="1"/>
  <c r="Q403" i="1" s="1"/>
  <c r="L403" i="1"/>
  <c r="N403" i="1" s="1"/>
  <c r="P403" i="1" s="1"/>
  <c r="T406" i="1" l="1"/>
  <c r="X407" i="1" s="1"/>
  <c r="S406" i="1"/>
  <c r="W407" i="1" s="1"/>
  <c r="R406" i="1"/>
  <c r="V407" i="1" s="1"/>
  <c r="M404" i="1"/>
  <c r="O404" i="1" s="1"/>
  <c r="Q404" i="1" s="1"/>
  <c r="L404" i="1"/>
  <c r="N404" i="1" s="1"/>
  <c r="P404" i="1" s="1"/>
  <c r="R407" i="1" l="1"/>
  <c r="V408" i="1" s="1"/>
  <c r="S407" i="1"/>
  <c r="W408" i="1" s="1"/>
  <c r="T407" i="1"/>
  <c r="X408" i="1" s="1"/>
  <c r="M405" i="1"/>
  <c r="O405" i="1" s="1"/>
  <c r="Q405" i="1" s="1"/>
  <c r="L405" i="1"/>
  <c r="N405" i="1" s="1"/>
  <c r="P405" i="1" s="1"/>
  <c r="S408" i="1" l="1"/>
  <c r="W409" i="1" s="1"/>
  <c r="T408" i="1"/>
  <c r="X409" i="1" s="1"/>
  <c r="R408" i="1"/>
  <c r="V409" i="1" s="1"/>
  <c r="M406" i="1"/>
  <c r="O406" i="1" s="1"/>
  <c r="Q406" i="1" s="1"/>
  <c r="L406" i="1"/>
  <c r="N406" i="1" s="1"/>
  <c r="P406" i="1" s="1"/>
  <c r="R409" i="1" l="1"/>
  <c r="V410" i="1" s="1"/>
  <c r="T409" i="1"/>
  <c r="X410" i="1" s="1"/>
  <c r="S409" i="1"/>
  <c r="W410" i="1" s="1"/>
  <c r="L407" i="1"/>
  <c r="N407" i="1" s="1"/>
  <c r="P407" i="1" s="1"/>
  <c r="M407" i="1"/>
  <c r="O407" i="1" s="1"/>
  <c r="Q407" i="1" s="1"/>
  <c r="T410" i="1" l="1"/>
  <c r="X411" i="1" s="1"/>
  <c r="S410" i="1"/>
  <c r="W411" i="1" s="1"/>
  <c r="R410" i="1"/>
  <c r="V411" i="1" s="1"/>
  <c r="M408" i="1"/>
  <c r="O408" i="1" s="1"/>
  <c r="Q408" i="1" s="1"/>
  <c r="L408" i="1"/>
  <c r="N408" i="1" s="1"/>
  <c r="P408" i="1" s="1"/>
  <c r="S411" i="1" l="1"/>
  <c r="W412" i="1" s="1"/>
  <c r="R411" i="1"/>
  <c r="V412" i="1" s="1"/>
  <c r="T411" i="1"/>
  <c r="X412" i="1" s="1"/>
  <c r="M409" i="1"/>
  <c r="O409" i="1" s="1"/>
  <c r="Q409" i="1" s="1"/>
  <c r="L409" i="1"/>
  <c r="N409" i="1" s="1"/>
  <c r="P409" i="1" s="1"/>
  <c r="T412" i="1" l="1"/>
  <c r="X413" i="1" s="1"/>
  <c r="R412" i="1"/>
  <c r="V413" i="1" s="1"/>
  <c r="S412" i="1"/>
  <c r="W413" i="1" s="1"/>
  <c r="M410" i="1"/>
  <c r="O410" i="1" s="1"/>
  <c r="Q410" i="1" s="1"/>
  <c r="L410" i="1"/>
  <c r="N410" i="1" s="1"/>
  <c r="P410" i="1" s="1"/>
  <c r="R413" i="1" l="1"/>
  <c r="V414" i="1" s="1"/>
  <c r="S413" i="1"/>
  <c r="W414" i="1" s="1"/>
  <c r="T413" i="1"/>
  <c r="X414" i="1" s="1"/>
  <c r="M411" i="1"/>
  <c r="O411" i="1" s="1"/>
  <c r="Q411" i="1" s="1"/>
  <c r="L411" i="1"/>
  <c r="N411" i="1" s="1"/>
  <c r="P411" i="1" s="1"/>
  <c r="T414" i="1" l="1"/>
  <c r="X415" i="1"/>
  <c r="S414" i="1"/>
  <c r="W415" i="1" s="1"/>
  <c r="R414" i="1"/>
  <c r="V415" i="1" s="1"/>
  <c r="M412" i="1"/>
  <c r="O412" i="1" s="1"/>
  <c r="Q412" i="1" s="1"/>
  <c r="L412" i="1"/>
  <c r="N412" i="1" s="1"/>
  <c r="P412" i="1" s="1"/>
  <c r="R415" i="1" l="1"/>
  <c r="V416" i="1" s="1"/>
  <c r="T415" i="1"/>
  <c r="X416" i="1" s="1"/>
  <c r="S415" i="1"/>
  <c r="W416" i="1" s="1"/>
  <c r="M413" i="1"/>
  <c r="O413" i="1" s="1"/>
  <c r="Q413" i="1" s="1"/>
  <c r="L413" i="1"/>
  <c r="N413" i="1" s="1"/>
  <c r="P413" i="1" s="1"/>
  <c r="S416" i="1" l="1"/>
  <c r="W417" i="1" s="1"/>
  <c r="T416" i="1"/>
  <c r="X417" i="1" s="1"/>
  <c r="R416" i="1"/>
  <c r="V417" i="1" s="1"/>
  <c r="M414" i="1"/>
  <c r="O414" i="1" s="1"/>
  <c r="Q414" i="1" s="1"/>
  <c r="L414" i="1"/>
  <c r="N414" i="1" s="1"/>
  <c r="P414" i="1" s="1"/>
  <c r="R417" i="1" l="1"/>
  <c r="V418" i="1" s="1"/>
  <c r="T417" i="1"/>
  <c r="X418" i="1" s="1"/>
  <c r="S417" i="1"/>
  <c r="W418" i="1" s="1"/>
  <c r="M415" i="1"/>
  <c r="O415" i="1" s="1"/>
  <c r="Q415" i="1" s="1"/>
  <c r="L415" i="1"/>
  <c r="N415" i="1" s="1"/>
  <c r="P415" i="1" s="1"/>
  <c r="T418" i="1" l="1"/>
  <c r="X419" i="1" s="1"/>
  <c r="R418" i="1"/>
  <c r="V419" i="1" s="1"/>
  <c r="S418" i="1"/>
  <c r="W419" i="1" s="1"/>
  <c r="M416" i="1"/>
  <c r="O416" i="1" s="1"/>
  <c r="Q416" i="1" s="1"/>
  <c r="L416" i="1"/>
  <c r="N416" i="1" s="1"/>
  <c r="P416" i="1" s="1"/>
  <c r="R419" i="1" l="1"/>
  <c r="V420" i="1" s="1"/>
  <c r="S419" i="1"/>
  <c r="W420" i="1" s="1"/>
  <c r="T419" i="1"/>
  <c r="X420" i="1" s="1"/>
  <c r="M417" i="1"/>
  <c r="O417" i="1" s="1"/>
  <c r="Q417" i="1" s="1"/>
  <c r="L417" i="1"/>
  <c r="N417" i="1" s="1"/>
  <c r="P417" i="1" s="1"/>
  <c r="R420" i="1" l="1"/>
  <c r="V421" i="1" s="1"/>
  <c r="T420" i="1"/>
  <c r="X421" i="1" s="1"/>
  <c r="S420" i="1"/>
  <c r="W421" i="1" s="1"/>
  <c r="M418" i="1"/>
  <c r="O418" i="1" s="1"/>
  <c r="Q418" i="1" s="1"/>
  <c r="L418" i="1"/>
  <c r="N418" i="1" s="1"/>
  <c r="P418" i="1" s="1"/>
  <c r="S421" i="1" l="1"/>
  <c r="W422" i="1" s="1"/>
  <c r="T421" i="1"/>
  <c r="X422" i="1" s="1"/>
  <c r="R421" i="1"/>
  <c r="V422" i="1" s="1"/>
  <c r="M419" i="1"/>
  <c r="O419" i="1" s="1"/>
  <c r="Q419" i="1" s="1"/>
  <c r="L419" i="1"/>
  <c r="N419" i="1" s="1"/>
  <c r="P419" i="1" s="1"/>
  <c r="R422" i="1" l="1"/>
  <c r="V423" i="1" s="1"/>
  <c r="T422" i="1"/>
  <c r="X423" i="1" s="1"/>
  <c r="S422" i="1"/>
  <c r="W423" i="1" s="1"/>
  <c r="M420" i="1"/>
  <c r="O420" i="1" s="1"/>
  <c r="Q420" i="1" s="1"/>
  <c r="L420" i="1"/>
  <c r="N420" i="1" s="1"/>
  <c r="P420" i="1" s="1"/>
  <c r="S423" i="1" l="1"/>
  <c r="W424" i="1" s="1"/>
  <c r="T423" i="1"/>
  <c r="X424" i="1" s="1"/>
  <c r="R423" i="1"/>
  <c r="V424" i="1" s="1"/>
  <c r="M421" i="1"/>
  <c r="O421" i="1" s="1"/>
  <c r="Q421" i="1" s="1"/>
  <c r="L421" i="1"/>
  <c r="N421" i="1" s="1"/>
  <c r="P421" i="1" s="1"/>
  <c r="R424" i="1" l="1"/>
  <c r="V425" i="1" s="1"/>
  <c r="T424" i="1"/>
  <c r="X425" i="1" s="1"/>
  <c r="S424" i="1"/>
  <c r="W425" i="1" s="1"/>
  <c r="M422" i="1"/>
  <c r="O422" i="1" s="1"/>
  <c r="Q422" i="1" s="1"/>
  <c r="L422" i="1"/>
  <c r="N422" i="1" s="1"/>
  <c r="P422" i="1" s="1"/>
  <c r="R425" i="1" l="1"/>
  <c r="V426" i="1" s="1"/>
  <c r="S425" i="1"/>
  <c r="W426" i="1" s="1"/>
  <c r="T425" i="1"/>
  <c r="X426" i="1" s="1"/>
  <c r="M423" i="1"/>
  <c r="O423" i="1" s="1"/>
  <c r="Q423" i="1" s="1"/>
  <c r="L423" i="1"/>
  <c r="N423" i="1" s="1"/>
  <c r="P423" i="1" s="1"/>
  <c r="T426" i="1" l="1"/>
  <c r="X427" i="1" s="1"/>
  <c r="S426" i="1"/>
  <c r="W427" i="1" s="1"/>
  <c r="R426" i="1"/>
  <c r="V427" i="1" s="1"/>
  <c r="M424" i="1"/>
  <c r="O424" i="1" s="1"/>
  <c r="Q424" i="1" s="1"/>
  <c r="L424" i="1"/>
  <c r="N424" i="1" s="1"/>
  <c r="P424" i="1" s="1"/>
  <c r="R427" i="1" l="1"/>
  <c r="V428" i="1" s="1"/>
  <c r="S427" i="1"/>
  <c r="W428" i="1" s="1"/>
  <c r="T427" i="1"/>
  <c r="X428" i="1" s="1"/>
  <c r="M425" i="1"/>
  <c r="O425" i="1" s="1"/>
  <c r="Q425" i="1" s="1"/>
  <c r="L425" i="1"/>
  <c r="N425" i="1" s="1"/>
  <c r="P425" i="1" s="1"/>
  <c r="T428" i="1" l="1"/>
  <c r="X429" i="1" s="1"/>
  <c r="S428" i="1"/>
  <c r="W429" i="1" s="1"/>
  <c r="R428" i="1"/>
  <c r="V429" i="1" s="1"/>
  <c r="M426" i="1"/>
  <c r="O426" i="1" s="1"/>
  <c r="Q426" i="1" s="1"/>
  <c r="L426" i="1"/>
  <c r="N426" i="1" s="1"/>
  <c r="P426" i="1" s="1"/>
  <c r="R429" i="1" l="1"/>
  <c r="V430" i="1" s="1"/>
  <c r="T429" i="1"/>
  <c r="X430" i="1" s="1"/>
  <c r="S429" i="1"/>
  <c r="W430" i="1" s="1"/>
  <c r="M427" i="1"/>
  <c r="O427" i="1" s="1"/>
  <c r="Q427" i="1" s="1"/>
  <c r="L427" i="1"/>
  <c r="N427" i="1" s="1"/>
  <c r="P427" i="1" s="1"/>
  <c r="S430" i="1" l="1"/>
  <c r="W431" i="1" s="1"/>
  <c r="T430" i="1"/>
  <c r="X431" i="1" s="1"/>
  <c r="R430" i="1"/>
  <c r="V431" i="1" s="1"/>
  <c r="M428" i="1"/>
  <c r="O428" i="1" s="1"/>
  <c r="Q428" i="1" s="1"/>
  <c r="L428" i="1"/>
  <c r="N428" i="1" s="1"/>
  <c r="P428" i="1" s="1"/>
  <c r="R431" i="1" l="1"/>
  <c r="V432" i="1" s="1"/>
  <c r="T431" i="1"/>
  <c r="X432" i="1" s="1"/>
  <c r="S431" i="1"/>
  <c r="W432" i="1" s="1"/>
  <c r="M429" i="1"/>
  <c r="O429" i="1" s="1"/>
  <c r="Q429" i="1" s="1"/>
  <c r="L429" i="1"/>
  <c r="N429" i="1" s="1"/>
  <c r="P429" i="1" s="1"/>
  <c r="T432" i="1" l="1"/>
  <c r="X433" i="1" s="1"/>
  <c r="S432" i="1"/>
  <c r="W433" i="1" s="1"/>
  <c r="R432" i="1"/>
  <c r="V433" i="1" s="1"/>
  <c r="M430" i="1"/>
  <c r="O430" i="1" s="1"/>
  <c r="Q430" i="1" s="1"/>
  <c r="L430" i="1"/>
  <c r="N430" i="1" s="1"/>
  <c r="P430" i="1" s="1"/>
  <c r="R433" i="1" l="1"/>
  <c r="V434" i="1" s="1"/>
  <c r="S433" i="1"/>
  <c r="W434" i="1" s="1"/>
  <c r="T433" i="1"/>
  <c r="X434" i="1" s="1"/>
  <c r="M431" i="1"/>
  <c r="O431" i="1" s="1"/>
  <c r="Q431" i="1" s="1"/>
  <c r="L431" i="1"/>
  <c r="N431" i="1" s="1"/>
  <c r="P431" i="1" s="1"/>
  <c r="T434" i="1" l="1"/>
  <c r="X435" i="1" s="1"/>
  <c r="R434" i="1"/>
  <c r="V435" i="1" s="1"/>
  <c r="S434" i="1"/>
  <c r="W435" i="1" s="1"/>
  <c r="M432" i="1"/>
  <c r="O432" i="1" s="1"/>
  <c r="Q432" i="1" s="1"/>
  <c r="L432" i="1"/>
  <c r="N432" i="1" s="1"/>
  <c r="P432" i="1" s="1"/>
  <c r="S435" i="1" l="1"/>
  <c r="W436" i="1" s="1"/>
  <c r="R435" i="1"/>
  <c r="V436" i="1" s="1"/>
  <c r="T435" i="1"/>
  <c r="X436" i="1" s="1"/>
  <c r="M433" i="1"/>
  <c r="O433" i="1" s="1"/>
  <c r="Q433" i="1" s="1"/>
  <c r="L433" i="1"/>
  <c r="N433" i="1" s="1"/>
  <c r="P433" i="1" s="1"/>
  <c r="T436" i="1" l="1"/>
  <c r="X437" i="1" s="1"/>
  <c r="R436" i="1"/>
  <c r="V437" i="1" s="1"/>
  <c r="S436" i="1"/>
  <c r="W437" i="1" s="1"/>
  <c r="L434" i="1"/>
  <c r="N434" i="1" s="1"/>
  <c r="P434" i="1" s="1"/>
  <c r="M434" i="1"/>
  <c r="O434" i="1" s="1"/>
  <c r="Q434" i="1" s="1"/>
  <c r="S437" i="1" l="1"/>
  <c r="W438" i="1" s="1"/>
  <c r="R437" i="1"/>
  <c r="V438" i="1" s="1"/>
  <c r="T437" i="1"/>
  <c r="X438" i="1" s="1"/>
  <c r="M435" i="1"/>
  <c r="O435" i="1" s="1"/>
  <c r="Q435" i="1" s="1"/>
  <c r="L435" i="1"/>
  <c r="N435" i="1" s="1"/>
  <c r="P435" i="1" s="1"/>
  <c r="T438" i="1" l="1"/>
  <c r="X439" i="1" s="1"/>
  <c r="R438" i="1"/>
  <c r="V439" i="1" s="1"/>
  <c r="S438" i="1"/>
  <c r="W439" i="1" s="1"/>
  <c r="M436" i="1"/>
  <c r="O436" i="1" s="1"/>
  <c r="Q436" i="1" s="1"/>
  <c r="L436" i="1"/>
  <c r="N436" i="1" s="1"/>
  <c r="P436" i="1" s="1"/>
  <c r="S439" i="1" l="1"/>
  <c r="W440" i="1" s="1"/>
  <c r="R439" i="1"/>
  <c r="V440" i="1" s="1"/>
  <c r="T439" i="1"/>
  <c r="X440" i="1" s="1"/>
  <c r="M437" i="1"/>
  <c r="O437" i="1" s="1"/>
  <c r="Q437" i="1" s="1"/>
  <c r="L437" i="1"/>
  <c r="N437" i="1" s="1"/>
  <c r="P437" i="1" s="1"/>
  <c r="T440" i="1" l="1"/>
  <c r="X441" i="1" s="1"/>
  <c r="R440" i="1"/>
  <c r="V441" i="1" s="1"/>
  <c r="S440" i="1"/>
  <c r="W441" i="1" s="1"/>
  <c r="M438" i="1"/>
  <c r="O438" i="1" s="1"/>
  <c r="Q438" i="1" s="1"/>
  <c r="L438" i="1"/>
  <c r="N438" i="1" s="1"/>
  <c r="P438" i="1" s="1"/>
  <c r="S441" i="1" l="1"/>
  <c r="W442" i="1" s="1"/>
  <c r="R441" i="1"/>
  <c r="V442" i="1" s="1"/>
  <c r="T441" i="1"/>
  <c r="X442" i="1" s="1"/>
  <c r="M439" i="1"/>
  <c r="O439" i="1" s="1"/>
  <c r="Q439" i="1" s="1"/>
  <c r="L439" i="1"/>
  <c r="N439" i="1" s="1"/>
  <c r="P439" i="1" s="1"/>
  <c r="T442" i="1" l="1"/>
  <c r="X443" i="1" s="1"/>
  <c r="R442" i="1"/>
  <c r="V443" i="1" s="1"/>
  <c r="S442" i="1"/>
  <c r="W443" i="1" s="1"/>
  <c r="M440" i="1"/>
  <c r="O440" i="1" s="1"/>
  <c r="Q440" i="1" s="1"/>
  <c r="L440" i="1"/>
  <c r="N440" i="1" s="1"/>
  <c r="P440" i="1" s="1"/>
  <c r="S443" i="1" l="1"/>
  <c r="W444" i="1" s="1"/>
  <c r="R443" i="1"/>
  <c r="V444" i="1" s="1"/>
  <c r="T443" i="1"/>
  <c r="X444" i="1" s="1"/>
  <c r="M441" i="1"/>
  <c r="O441" i="1" s="1"/>
  <c r="Q441" i="1" s="1"/>
  <c r="L441" i="1"/>
  <c r="N441" i="1" s="1"/>
  <c r="P441" i="1" s="1"/>
  <c r="T444" i="1" l="1"/>
  <c r="X445" i="1" s="1"/>
  <c r="R444" i="1"/>
  <c r="V445" i="1" s="1"/>
  <c r="S444" i="1"/>
  <c r="W445" i="1" s="1"/>
  <c r="M442" i="1"/>
  <c r="O442" i="1" s="1"/>
  <c r="Q442" i="1" s="1"/>
  <c r="L442" i="1"/>
  <c r="N442" i="1" s="1"/>
  <c r="P442" i="1" s="1"/>
  <c r="S445" i="1" l="1"/>
  <c r="W446" i="1" s="1"/>
  <c r="R445" i="1"/>
  <c r="V446" i="1" s="1"/>
  <c r="T445" i="1"/>
  <c r="X446" i="1" s="1"/>
  <c r="M443" i="1"/>
  <c r="O443" i="1" s="1"/>
  <c r="Q443" i="1" s="1"/>
  <c r="L443" i="1"/>
  <c r="N443" i="1" s="1"/>
  <c r="P443" i="1" s="1"/>
  <c r="T446" i="1" l="1"/>
  <c r="X447" i="1" s="1"/>
  <c r="R446" i="1"/>
  <c r="V447" i="1" s="1"/>
  <c r="S446" i="1"/>
  <c r="W447" i="1" s="1"/>
  <c r="M444" i="1"/>
  <c r="O444" i="1" s="1"/>
  <c r="Q444" i="1" s="1"/>
  <c r="L444" i="1"/>
  <c r="N444" i="1" s="1"/>
  <c r="P444" i="1" s="1"/>
  <c r="S447" i="1" l="1"/>
  <c r="W448" i="1" s="1"/>
  <c r="R447" i="1"/>
  <c r="V448" i="1" s="1"/>
  <c r="T447" i="1"/>
  <c r="X448" i="1" s="1"/>
  <c r="M445" i="1"/>
  <c r="O445" i="1" s="1"/>
  <c r="Q445" i="1" s="1"/>
  <c r="L445" i="1"/>
  <c r="N445" i="1" s="1"/>
  <c r="P445" i="1" s="1"/>
  <c r="T448" i="1" l="1"/>
  <c r="X449" i="1" s="1"/>
  <c r="R448" i="1"/>
  <c r="V449" i="1" s="1"/>
  <c r="S448" i="1"/>
  <c r="W449" i="1" s="1"/>
  <c r="M446" i="1"/>
  <c r="O446" i="1" s="1"/>
  <c r="Q446" i="1" s="1"/>
  <c r="L446" i="1"/>
  <c r="N446" i="1" s="1"/>
  <c r="P446" i="1" s="1"/>
  <c r="S449" i="1" l="1"/>
  <c r="W450" i="1" s="1"/>
  <c r="R449" i="1"/>
  <c r="V450" i="1" s="1"/>
  <c r="T449" i="1"/>
  <c r="X450" i="1" s="1"/>
  <c r="M447" i="1"/>
  <c r="O447" i="1" s="1"/>
  <c r="Q447" i="1" s="1"/>
  <c r="L447" i="1"/>
  <c r="N447" i="1" s="1"/>
  <c r="P447" i="1" s="1"/>
  <c r="T450" i="1" l="1"/>
  <c r="X451" i="1" s="1"/>
  <c r="R450" i="1"/>
  <c r="V451" i="1" s="1"/>
  <c r="S450" i="1"/>
  <c r="W451" i="1" s="1"/>
  <c r="M448" i="1"/>
  <c r="O448" i="1" s="1"/>
  <c r="Q448" i="1" s="1"/>
  <c r="L448" i="1"/>
  <c r="N448" i="1" s="1"/>
  <c r="P448" i="1" s="1"/>
  <c r="S451" i="1" l="1"/>
  <c r="W452" i="1" s="1"/>
  <c r="T451" i="1"/>
  <c r="X452" i="1" s="1"/>
  <c r="R451" i="1"/>
  <c r="V452" i="1" s="1"/>
  <c r="M449" i="1"/>
  <c r="O449" i="1" s="1"/>
  <c r="Q449" i="1" s="1"/>
  <c r="L449" i="1"/>
  <c r="N449" i="1" s="1"/>
  <c r="P449" i="1" s="1"/>
  <c r="R452" i="1" l="1"/>
  <c r="V453" i="1" s="1"/>
  <c r="T452" i="1"/>
  <c r="X453" i="1" s="1"/>
  <c r="S452" i="1"/>
  <c r="W453" i="1" s="1"/>
  <c r="M450" i="1"/>
  <c r="O450" i="1" s="1"/>
  <c r="Q450" i="1" s="1"/>
  <c r="L450" i="1"/>
  <c r="N450" i="1" s="1"/>
  <c r="P450" i="1" s="1"/>
  <c r="S453" i="1" l="1"/>
  <c r="W454" i="1" s="1"/>
  <c r="T453" i="1"/>
  <c r="X454" i="1" s="1"/>
  <c r="R453" i="1"/>
  <c r="V454" i="1" s="1"/>
  <c r="M451" i="1"/>
  <c r="O451" i="1" s="1"/>
  <c r="Q451" i="1" s="1"/>
  <c r="L451" i="1"/>
  <c r="N451" i="1" s="1"/>
  <c r="P451" i="1" s="1"/>
  <c r="R454" i="1" l="1"/>
  <c r="V455" i="1" s="1"/>
  <c r="T454" i="1"/>
  <c r="X455" i="1" s="1"/>
  <c r="S454" i="1"/>
  <c r="W455" i="1" s="1"/>
  <c r="M452" i="1"/>
  <c r="O452" i="1" s="1"/>
  <c r="Q452" i="1" s="1"/>
  <c r="L452" i="1"/>
  <c r="N452" i="1" s="1"/>
  <c r="P452" i="1" s="1"/>
  <c r="S455" i="1" l="1"/>
  <c r="W456" i="1" s="1"/>
  <c r="T455" i="1"/>
  <c r="X456" i="1" s="1"/>
  <c r="R455" i="1"/>
  <c r="V456" i="1" s="1"/>
  <c r="M453" i="1"/>
  <c r="O453" i="1" s="1"/>
  <c r="Q453" i="1" s="1"/>
  <c r="L453" i="1"/>
  <c r="N453" i="1" s="1"/>
  <c r="P453" i="1" s="1"/>
  <c r="R456" i="1" l="1"/>
  <c r="V457" i="1" s="1"/>
  <c r="T456" i="1"/>
  <c r="X457" i="1" s="1"/>
  <c r="S456" i="1"/>
  <c r="W457" i="1" s="1"/>
  <c r="M454" i="1"/>
  <c r="O454" i="1" s="1"/>
  <c r="Q454" i="1" s="1"/>
  <c r="L454" i="1"/>
  <c r="N454" i="1" s="1"/>
  <c r="P454" i="1" s="1"/>
  <c r="S457" i="1" l="1"/>
  <c r="W458" i="1" s="1"/>
  <c r="R457" i="1"/>
  <c r="V458" i="1" s="1"/>
  <c r="T457" i="1"/>
  <c r="X458" i="1" s="1"/>
  <c r="M455" i="1"/>
  <c r="O455" i="1" s="1"/>
  <c r="Q455" i="1" s="1"/>
  <c r="L455" i="1"/>
  <c r="N455" i="1" s="1"/>
  <c r="P455" i="1" s="1"/>
  <c r="T458" i="1" l="1"/>
  <c r="X459" i="1" s="1"/>
  <c r="R458" i="1"/>
  <c r="V459" i="1" s="1"/>
  <c r="S458" i="1"/>
  <c r="W459" i="1" s="1"/>
  <c r="M456" i="1"/>
  <c r="O456" i="1" s="1"/>
  <c r="Q456" i="1" s="1"/>
  <c r="L456" i="1"/>
  <c r="N456" i="1" s="1"/>
  <c r="P456" i="1" s="1"/>
  <c r="S459" i="1" l="1"/>
  <c r="W460" i="1" s="1"/>
  <c r="R459" i="1"/>
  <c r="V460" i="1" s="1"/>
  <c r="T459" i="1"/>
  <c r="X460" i="1" s="1"/>
  <c r="M457" i="1"/>
  <c r="O457" i="1" s="1"/>
  <c r="Q457" i="1" s="1"/>
  <c r="L457" i="1"/>
  <c r="N457" i="1" s="1"/>
  <c r="P457" i="1" s="1"/>
  <c r="T460" i="1" l="1"/>
  <c r="X461" i="1" s="1"/>
  <c r="R460" i="1"/>
  <c r="V461" i="1" s="1"/>
  <c r="S460" i="1"/>
  <c r="W461" i="1" s="1"/>
  <c r="M458" i="1"/>
  <c r="O458" i="1" s="1"/>
  <c r="Q458" i="1" s="1"/>
  <c r="L458" i="1"/>
  <c r="N458" i="1" s="1"/>
  <c r="P458" i="1" s="1"/>
  <c r="S461" i="1" l="1"/>
  <c r="W462" i="1" s="1"/>
  <c r="T461" i="1"/>
  <c r="X462" i="1" s="1"/>
  <c r="R461" i="1"/>
  <c r="V462" i="1" s="1"/>
  <c r="M459" i="1"/>
  <c r="O459" i="1" s="1"/>
  <c r="Q459" i="1" s="1"/>
  <c r="L459" i="1"/>
  <c r="N459" i="1" s="1"/>
  <c r="P459" i="1" s="1"/>
  <c r="R462" i="1" l="1"/>
  <c r="V463" i="1" s="1"/>
  <c r="T462" i="1"/>
  <c r="X463" i="1" s="1"/>
  <c r="S462" i="1"/>
  <c r="W463" i="1" s="1"/>
  <c r="M460" i="1"/>
  <c r="O460" i="1" s="1"/>
  <c r="Q460" i="1" s="1"/>
  <c r="L460" i="1"/>
  <c r="N460" i="1" s="1"/>
  <c r="P460" i="1" s="1"/>
  <c r="S463" i="1" l="1"/>
  <c r="W464" i="1" s="1"/>
  <c r="T463" i="1"/>
  <c r="X464" i="1" s="1"/>
  <c r="R463" i="1"/>
  <c r="V464" i="1" s="1"/>
  <c r="L461" i="1"/>
  <c r="N461" i="1" s="1"/>
  <c r="P461" i="1" s="1"/>
  <c r="M461" i="1"/>
  <c r="O461" i="1" s="1"/>
  <c r="Q461" i="1" s="1"/>
  <c r="R464" i="1" l="1"/>
  <c r="V465" i="1" s="1"/>
  <c r="T464" i="1"/>
  <c r="X465" i="1" s="1"/>
  <c r="S464" i="1"/>
  <c r="W465" i="1" s="1"/>
  <c r="M462" i="1"/>
  <c r="O462" i="1" s="1"/>
  <c r="Q462" i="1" s="1"/>
  <c r="L462" i="1"/>
  <c r="N462" i="1" s="1"/>
  <c r="P462" i="1" s="1"/>
  <c r="S465" i="1" l="1"/>
  <c r="W466" i="1" s="1"/>
  <c r="T465" i="1"/>
  <c r="X466" i="1" s="1"/>
  <c r="R465" i="1"/>
  <c r="V466" i="1" s="1"/>
  <c r="M463" i="1"/>
  <c r="O463" i="1" s="1"/>
  <c r="Q463" i="1" s="1"/>
  <c r="L463" i="1"/>
  <c r="N463" i="1" s="1"/>
  <c r="P463" i="1" s="1"/>
  <c r="R466" i="1" l="1"/>
  <c r="V467" i="1" s="1"/>
  <c r="T466" i="1"/>
  <c r="X467" i="1" s="1"/>
  <c r="S466" i="1"/>
  <c r="W467" i="1" s="1"/>
  <c r="M464" i="1"/>
  <c r="O464" i="1" s="1"/>
  <c r="Q464" i="1" s="1"/>
  <c r="L464" i="1"/>
  <c r="N464" i="1" s="1"/>
  <c r="P464" i="1" s="1"/>
  <c r="S467" i="1" l="1"/>
  <c r="W468" i="1" s="1"/>
  <c r="R467" i="1"/>
  <c r="V468" i="1" s="1"/>
  <c r="T467" i="1"/>
  <c r="X468" i="1" s="1"/>
  <c r="M465" i="1"/>
  <c r="O465" i="1" s="1"/>
  <c r="Q465" i="1" s="1"/>
  <c r="L465" i="1"/>
  <c r="N465" i="1" s="1"/>
  <c r="P465" i="1" s="1"/>
  <c r="R468" i="1" l="1"/>
  <c r="V469" i="1" s="1"/>
  <c r="T468" i="1"/>
  <c r="X469" i="1" s="1"/>
  <c r="S468" i="1"/>
  <c r="W469" i="1" s="1"/>
  <c r="M466" i="1"/>
  <c r="O466" i="1" s="1"/>
  <c r="Q466" i="1" s="1"/>
  <c r="L466" i="1"/>
  <c r="N466" i="1" s="1"/>
  <c r="P466" i="1" s="1"/>
  <c r="T469" i="1" l="1"/>
  <c r="X470" i="1" s="1"/>
  <c r="S469" i="1"/>
  <c r="W470" i="1" s="1"/>
  <c r="R469" i="1"/>
  <c r="V470" i="1" s="1"/>
  <c r="M467" i="1"/>
  <c r="O467" i="1" s="1"/>
  <c r="Q467" i="1" s="1"/>
  <c r="L467" i="1"/>
  <c r="N467" i="1" s="1"/>
  <c r="P467" i="1" s="1"/>
  <c r="R470" i="1" l="1"/>
  <c r="V471" i="1" s="1"/>
  <c r="S470" i="1"/>
  <c r="W471" i="1" s="1"/>
  <c r="T470" i="1"/>
  <c r="X471" i="1" s="1"/>
  <c r="M468" i="1"/>
  <c r="O468" i="1" s="1"/>
  <c r="Q468" i="1" s="1"/>
  <c r="L468" i="1"/>
  <c r="N468" i="1" s="1"/>
  <c r="P468" i="1" s="1"/>
  <c r="T471" i="1" l="1"/>
  <c r="X472" i="1" s="1"/>
  <c r="S471" i="1"/>
  <c r="W472" i="1" s="1"/>
  <c r="R471" i="1"/>
  <c r="V472" i="1" s="1"/>
  <c r="M469" i="1"/>
  <c r="O469" i="1" s="1"/>
  <c r="Q469" i="1" s="1"/>
  <c r="L469" i="1"/>
  <c r="N469" i="1" s="1"/>
  <c r="P469" i="1" s="1"/>
  <c r="R472" i="1" l="1"/>
  <c r="V473" i="1" s="1"/>
  <c r="S472" i="1"/>
  <c r="W473" i="1" s="1"/>
  <c r="T472" i="1"/>
  <c r="X473" i="1" s="1"/>
  <c r="M470" i="1"/>
  <c r="O470" i="1" s="1"/>
  <c r="Q470" i="1" s="1"/>
  <c r="L470" i="1"/>
  <c r="N470" i="1" s="1"/>
  <c r="P470" i="1" s="1"/>
  <c r="T473" i="1" l="1"/>
  <c r="X474" i="1" s="1"/>
  <c r="S473" i="1"/>
  <c r="W474" i="1" s="1"/>
  <c r="R473" i="1"/>
  <c r="V474" i="1" s="1"/>
  <c r="M471" i="1"/>
  <c r="O471" i="1" s="1"/>
  <c r="Q471" i="1" s="1"/>
  <c r="L471" i="1"/>
  <c r="N471" i="1" s="1"/>
  <c r="P471" i="1" s="1"/>
  <c r="R474" i="1" l="1"/>
  <c r="V475" i="1" s="1"/>
  <c r="S474" i="1"/>
  <c r="W475" i="1" s="1"/>
  <c r="T474" i="1"/>
  <c r="X475" i="1" s="1"/>
  <c r="M472" i="1"/>
  <c r="O472" i="1" s="1"/>
  <c r="Q472" i="1" s="1"/>
  <c r="L472" i="1"/>
  <c r="N472" i="1" s="1"/>
  <c r="P472" i="1" s="1"/>
  <c r="T475" i="1" l="1"/>
  <c r="X476" i="1" s="1"/>
  <c r="S475" i="1"/>
  <c r="W476" i="1" s="1"/>
  <c r="R475" i="1"/>
  <c r="V476" i="1" s="1"/>
  <c r="M473" i="1"/>
  <c r="O473" i="1" s="1"/>
  <c r="Q473" i="1" s="1"/>
  <c r="L473" i="1"/>
  <c r="N473" i="1" s="1"/>
  <c r="P473" i="1" s="1"/>
  <c r="S476" i="1" l="1"/>
  <c r="W477" i="1" s="1"/>
  <c r="R476" i="1"/>
  <c r="V477" i="1" s="1"/>
  <c r="T476" i="1"/>
  <c r="X477" i="1" s="1"/>
  <c r="M474" i="1"/>
  <c r="O474" i="1" s="1"/>
  <c r="Q474" i="1" s="1"/>
  <c r="L474" i="1"/>
  <c r="N474" i="1" s="1"/>
  <c r="P474" i="1" s="1"/>
  <c r="T477" i="1" l="1"/>
  <c r="X478" i="1" s="1"/>
  <c r="R477" i="1"/>
  <c r="V478" i="1" s="1"/>
  <c r="S477" i="1"/>
  <c r="W478" i="1" s="1"/>
  <c r="M475" i="1"/>
  <c r="O475" i="1" s="1"/>
  <c r="Q475" i="1" s="1"/>
  <c r="L475" i="1"/>
  <c r="N475" i="1" s="1"/>
  <c r="P475" i="1" s="1"/>
  <c r="S478" i="1" l="1"/>
  <c r="W479" i="1" s="1"/>
  <c r="R478" i="1"/>
  <c r="V479" i="1" s="1"/>
  <c r="T478" i="1"/>
  <c r="X479" i="1" s="1"/>
  <c r="M476" i="1"/>
  <c r="O476" i="1" s="1"/>
  <c r="Q476" i="1" s="1"/>
  <c r="L476" i="1"/>
  <c r="N476" i="1" s="1"/>
  <c r="P476" i="1" s="1"/>
  <c r="T479" i="1" l="1"/>
  <c r="X480" i="1" s="1"/>
  <c r="R479" i="1"/>
  <c r="V480" i="1" s="1"/>
  <c r="S479" i="1"/>
  <c r="W480" i="1" s="1"/>
  <c r="M477" i="1"/>
  <c r="O477" i="1" s="1"/>
  <c r="Q477" i="1" s="1"/>
  <c r="L477" i="1"/>
  <c r="N477" i="1" s="1"/>
  <c r="P477" i="1" s="1"/>
  <c r="S480" i="1" l="1"/>
  <c r="W481" i="1" s="1"/>
  <c r="R480" i="1"/>
  <c r="V481" i="1" s="1"/>
  <c r="T480" i="1"/>
  <c r="X481" i="1" s="1"/>
  <c r="M478" i="1"/>
  <c r="O478" i="1" s="1"/>
  <c r="Q478" i="1" s="1"/>
  <c r="L478" i="1"/>
  <c r="N478" i="1" s="1"/>
  <c r="P478" i="1" s="1"/>
  <c r="T481" i="1" l="1"/>
  <c r="X482" i="1" s="1"/>
  <c r="R481" i="1"/>
  <c r="V482" i="1" s="1"/>
  <c r="S481" i="1"/>
  <c r="W482" i="1" s="1"/>
  <c r="M479" i="1"/>
  <c r="O479" i="1" s="1"/>
  <c r="Q479" i="1" s="1"/>
  <c r="L479" i="1"/>
  <c r="N479" i="1" s="1"/>
  <c r="P479" i="1" s="1"/>
  <c r="S482" i="1" l="1"/>
  <c r="W483" i="1" s="1"/>
  <c r="R482" i="1"/>
  <c r="V483" i="1" s="1"/>
  <c r="T482" i="1"/>
  <c r="X483" i="1" s="1"/>
  <c r="M480" i="1"/>
  <c r="O480" i="1" s="1"/>
  <c r="Q480" i="1" s="1"/>
  <c r="L480" i="1"/>
  <c r="N480" i="1" s="1"/>
  <c r="P480" i="1" s="1"/>
  <c r="T483" i="1" l="1"/>
  <c r="X484" i="1" s="1"/>
  <c r="R483" i="1"/>
  <c r="V484" i="1" s="1"/>
  <c r="S483" i="1"/>
  <c r="W484" i="1" s="1"/>
  <c r="M481" i="1"/>
  <c r="O481" i="1" s="1"/>
  <c r="Q481" i="1" s="1"/>
  <c r="L481" i="1"/>
  <c r="N481" i="1" s="1"/>
  <c r="P481" i="1" s="1"/>
  <c r="S484" i="1" l="1"/>
  <c r="W485" i="1" s="1"/>
  <c r="R484" i="1"/>
  <c r="V485" i="1" s="1"/>
  <c r="T484" i="1"/>
  <c r="X485" i="1" s="1"/>
  <c r="M482" i="1"/>
  <c r="O482" i="1" s="1"/>
  <c r="Q482" i="1" s="1"/>
  <c r="L482" i="1"/>
  <c r="N482" i="1" s="1"/>
  <c r="P482" i="1" s="1"/>
  <c r="T485" i="1" l="1"/>
  <c r="X486" i="1" s="1"/>
  <c r="R485" i="1"/>
  <c r="V486" i="1" s="1"/>
  <c r="S485" i="1"/>
  <c r="W486" i="1" s="1"/>
  <c r="M483" i="1"/>
  <c r="O483" i="1" s="1"/>
  <c r="Q483" i="1" s="1"/>
  <c r="L483" i="1"/>
  <c r="N483" i="1" s="1"/>
  <c r="P483" i="1" s="1"/>
  <c r="S486" i="1" l="1"/>
  <c r="W487" i="1" s="1"/>
  <c r="R486" i="1"/>
  <c r="V487" i="1" s="1"/>
  <c r="T486" i="1"/>
  <c r="X487" i="1" s="1"/>
  <c r="M484" i="1"/>
  <c r="O484" i="1" s="1"/>
  <c r="Q484" i="1" s="1"/>
  <c r="L484" i="1"/>
  <c r="N484" i="1" s="1"/>
  <c r="P484" i="1" s="1"/>
  <c r="T487" i="1" l="1"/>
  <c r="X488" i="1" s="1"/>
  <c r="R487" i="1"/>
  <c r="V488" i="1" s="1"/>
  <c r="S487" i="1"/>
  <c r="W488" i="1" s="1"/>
  <c r="M485" i="1"/>
  <c r="O485" i="1" s="1"/>
  <c r="Q485" i="1" s="1"/>
  <c r="L485" i="1"/>
  <c r="N485" i="1" s="1"/>
  <c r="P485" i="1" s="1"/>
  <c r="S488" i="1" l="1"/>
  <c r="W489" i="1" s="1"/>
  <c r="R488" i="1"/>
  <c r="V489" i="1" s="1"/>
  <c r="T488" i="1"/>
  <c r="X489" i="1" s="1"/>
  <c r="M486" i="1"/>
  <c r="O486" i="1" s="1"/>
  <c r="Q486" i="1" s="1"/>
  <c r="L486" i="1"/>
  <c r="N486" i="1" s="1"/>
  <c r="P486" i="1" s="1"/>
  <c r="T489" i="1" l="1"/>
  <c r="X490" i="1" s="1"/>
  <c r="S489" i="1"/>
  <c r="W490" i="1" s="1"/>
  <c r="R489" i="1"/>
  <c r="V490" i="1" s="1"/>
  <c r="M487" i="1"/>
  <c r="O487" i="1" s="1"/>
  <c r="Q487" i="1" s="1"/>
  <c r="L487" i="1"/>
  <c r="N487" i="1" s="1"/>
  <c r="P487" i="1" s="1"/>
  <c r="R490" i="1" l="1"/>
  <c r="V491" i="1" s="1"/>
  <c r="S490" i="1"/>
  <c r="W491" i="1" s="1"/>
  <c r="T490" i="1"/>
  <c r="X491" i="1" s="1"/>
  <c r="L488" i="1"/>
  <c r="N488" i="1" s="1"/>
  <c r="P488" i="1" s="1"/>
  <c r="M488" i="1"/>
  <c r="O488" i="1" s="1"/>
  <c r="Q488" i="1" s="1"/>
  <c r="T491" i="1" l="1"/>
  <c r="X492" i="1" s="1"/>
  <c r="S491" i="1"/>
  <c r="W492" i="1" s="1"/>
  <c r="R491" i="1"/>
  <c r="V492" i="1" s="1"/>
  <c r="M489" i="1"/>
  <c r="O489" i="1" s="1"/>
  <c r="Q489" i="1" s="1"/>
  <c r="L489" i="1"/>
  <c r="N489" i="1" s="1"/>
  <c r="P489" i="1" s="1"/>
  <c r="R492" i="1" l="1"/>
  <c r="V493" i="1" s="1"/>
  <c r="S492" i="1"/>
  <c r="W493" i="1" s="1"/>
  <c r="T492" i="1"/>
  <c r="X493" i="1" s="1"/>
  <c r="L490" i="1"/>
  <c r="N490" i="1" s="1"/>
  <c r="P490" i="1" s="1"/>
  <c r="M490" i="1"/>
  <c r="O490" i="1" s="1"/>
  <c r="Q490" i="1" s="1"/>
  <c r="T493" i="1" l="1"/>
  <c r="X494" i="1" s="1"/>
  <c r="S493" i="1"/>
  <c r="W494" i="1" s="1"/>
  <c r="R493" i="1"/>
  <c r="V494" i="1" s="1"/>
  <c r="M491" i="1"/>
  <c r="O491" i="1" s="1"/>
  <c r="Q491" i="1" s="1"/>
  <c r="L491" i="1"/>
  <c r="N491" i="1" s="1"/>
  <c r="P491" i="1" s="1"/>
  <c r="R494" i="1" l="1"/>
  <c r="V495" i="1" s="1"/>
  <c r="S494" i="1"/>
  <c r="W495" i="1" s="1"/>
  <c r="T494" i="1"/>
  <c r="X495" i="1" s="1"/>
  <c r="M492" i="1"/>
  <c r="O492" i="1" s="1"/>
  <c r="Q492" i="1" s="1"/>
  <c r="L492" i="1"/>
  <c r="N492" i="1" s="1"/>
  <c r="P492" i="1" s="1"/>
  <c r="R495" i="1" l="1"/>
  <c r="V496" i="1" s="1"/>
  <c r="S495" i="1"/>
  <c r="W496" i="1" s="1"/>
  <c r="T495" i="1"/>
  <c r="X496" i="1" s="1"/>
  <c r="M493" i="1"/>
  <c r="O493" i="1" s="1"/>
  <c r="Q493" i="1" s="1"/>
  <c r="L493" i="1"/>
  <c r="N493" i="1" s="1"/>
  <c r="P493" i="1" s="1"/>
  <c r="T496" i="1" l="1"/>
  <c r="X497" i="1" s="1"/>
  <c r="S496" i="1"/>
  <c r="W497" i="1" s="1"/>
  <c r="R496" i="1"/>
  <c r="V497" i="1" s="1"/>
  <c r="M494" i="1"/>
  <c r="O494" i="1" s="1"/>
  <c r="Q494" i="1" s="1"/>
  <c r="L494" i="1"/>
  <c r="N494" i="1" s="1"/>
  <c r="P494" i="1" s="1"/>
  <c r="R497" i="1" l="1"/>
  <c r="V498" i="1" s="1"/>
  <c r="S497" i="1"/>
  <c r="W498" i="1" s="1"/>
  <c r="T497" i="1"/>
  <c r="X498" i="1" s="1"/>
  <c r="M495" i="1"/>
  <c r="O495" i="1" s="1"/>
  <c r="Q495" i="1" s="1"/>
  <c r="L495" i="1"/>
  <c r="N495" i="1" s="1"/>
  <c r="P495" i="1" s="1"/>
  <c r="T498" i="1" l="1"/>
  <c r="X499" i="1" s="1"/>
  <c r="S498" i="1"/>
  <c r="W499" i="1" s="1"/>
  <c r="R498" i="1"/>
  <c r="V499" i="1" s="1"/>
  <c r="M496" i="1"/>
  <c r="O496" i="1" s="1"/>
  <c r="Q496" i="1" s="1"/>
  <c r="L496" i="1"/>
  <c r="N496" i="1" s="1"/>
  <c r="P496" i="1" s="1"/>
  <c r="R499" i="1" l="1"/>
  <c r="V500" i="1" s="1"/>
  <c r="S499" i="1"/>
  <c r="W500" i="1" s="1"/>
  <c r="T499" i="1"/>
  <c r="X500" i="1" s="1"/>
  <c r="M497" i="1"/>
  <c r="O497" i="1" s="1"/>
  <c r="Q497" i="1" s="1"/>
  <c r="L497" i="1"/>
  <c r="N497" i="1" s="1"/>
  <c r="P497" i="1" s="1"/>
  <c r="T500" i="1" l="1"/>
  <c r="X501" i="1" s="1"/>
  <c r="S500" i="1"/>
  <c r="W501" i="1" s="1"/>
  <c r="R500" i="1"/>
  <c r="V501" i="1" s="1"/>
  <c r="M498" i="1"/>
  <c r="O498" i="1" s="1"/>
  <c r="Q498" i="1" s="1"/>
  <c r="L498" i="1"/>
  <c r="N498" i="1" s="1"/>
  <c r="P498" i="1" s="1"/>
  <c r="R501" i="1" l="1"/>
  <c r="V502" i="1" s="1"/>
  <c r="T501" i="1"/>
  <c r="X502" i="1"/>
  <c r="S501" i="1"/>
  <c r="W502" i="1" s="1"/>
  <c r="M499" i="1"/>
  <c r="O499" i="1" s="1"/>
  <c r="Q499" i="1" s="1"/>
  <c r="L499" i="1"/>
  <c r="N499" i="1" s="1"/>
  <c r="P499" i="1" s="1"/>
  <c r="S502" i="1" l="1"/>
  <c r="W503" i="1" s="1"/>
  <c r="R502" i="1"/>
  <c r="V503" i="1" s="1"/>
  <c r="T502" i="1"/>
  <c r="X503" i="1" s="1"/>
  <c r="M500" i="1"/>
  <c r="O500" i="1" s="1"/>
  <c r="Q500" i="1" s="1"/>
  <c r="L500" i="1"/>
  <c r="N500" i="1" s="1"/>
  <c r="P500" i="1" s="1"/>
  <c r="R503" i="1" l="1"/>
  <c r="V504" i="1" s="1"/>
  <c r="S503" i="1"/>
  <c r="W504" i="1" s="1"/>
  <c r="T503" i="1"/>
  <c r="X504" i="1" s="1"/>
  <c r="M501" i="1"/>
  <c r="O501" i="1" s="1"/>
  <c r="Q501" i="1" s="1"/>
  <c r="L501" i="1"/>
  <c r="N501" i="1" s="1"/>
  <c r="P501" i="1" s="1"/>
  <c r="T504" i="1" l="1"/>
  <c r="X505" i="1" s="1"/>
  <c r="S504" i="1"/>
  <c r="W505" i="1" s="1"/>
  <c r="R504" i="1"/>
  <c r="V505" i="1" s="1"/>
  <c r="M502" i="1"/>
  <c r="O502" i="1" s="1"/>
  <c r="Q502" i="1" s="1"/>
  <c r="L502" i="1"/>
  <c r="N502" i="1" s="1"/>
  <c r="P502" i="1" s="1"/>
  <c r="R505" i="1" l="1"/>
  <c r="V506" i="1" s="1"/>
  <c r="S505" i="1"/>
  <c r="W506" i="1" s="1"/>
  <c r="T505" i="1"/>
  <c r="X506" i="1" s="1"/>
  <c r="M503" i="1"/>
  <c r="O503" i="1" s="1"/>
  <c r="Q503" i="1" s="1"/>
  <c r="L503" i="1"/>
  <c r="N503" i="1" s="1"/>
  <c r="P503" i="1" s="1"/>
  <c r="T506" i="1" l="1"/>
  <c r="X507" i="1" s="1"/>
  <c r="S506" i="1"/>
  <c r="W507" i="1" s="1"/>
  <c r="R506" i="1"/>
  <c r="V507" i="1" s="1"/>
  <c r="M504" i="1"/>
  <c r="O504" i="1" s="1"/>
  <c r="Q504" i="1" s="1"/>
  <c r="L504" i="1"/>
  <c r="N504" i="1" s="1"/>
  <c r="P504" i="1" s="1"/>
  <c r="S507" i="1" l="1"/>
  <c r="W508" i="1" s="1"/>
  <c r="T507" i="1"/>
  <c r="X508" i="1" s="1"/>
  <c r="R507" i="1"/>
  <c r="V508" i="1" s="1"/>
  <c r="M505" i="1"/>
  <c r="O505" i="1" s="1"/>
  <c r="Q505" i="1" s="1"/>
  <c r="L505" i="1"/>
  <c r="N505" i="1" s="1"/>
  <c r="P505" i="1" s="1"/>
  <c r="R508" i="1" l="1"/>
  <c r="V509" i="1" s="1"/>
  <c r="S508" i="1"/>
  <c r="W509" i="1" s="1"/>
  <c r="T508" i="1"/>
  <c r="X509" i="1" s="1"/>
  <c r="M506" i="1"/>
  <c r="O506" i="1" s="1"/>
  <c r="Q506" i="1" s="1"/>
  <c r="L506" i="1"/>
  <c r="N506" i="1" s="1"/>
  <c r="P506" i="1" s="1"/>
  <c r="S509" i="1" l="1"/>
  <c r="W510" i="1" s="1"/>
  <c r="R509" i="1"/>
  <c r="V510" i="1" s="1"/>
  <c r="T509" i="1"/>
  <c r="X510" i="1" s="1"/>
  <c r="M507" i="1"/>
  <c r="O507" i="1" s="1"/>
  <c r="Q507" i="1" s="1"/>
  <c r="L507" i="1"/>
  <c r="N507" i="1" s="1"/>
  <c r="P507" i="1" s="1"/>
  <c r="R510" i="1" l="1"/>
  <c r="V511" i="1" s="1"/>
  <c r="S510" i="1"/>
  <c r="W511" i="1" s="1"/>
  <c r="T510" i="1"/>
  <c r="X511" i="1" s="1"/>
  <c r="M508" i="1"/>
  <c r="O508" i="1" s="1"/>
  <c r="Q508" i="1" s="1"/>
  <c r="L508" i="1"/>
  <c r="N508" i="1" s="1"/>
  <c r="P508" i="1" s="1"/>
  <c r="T511" i="1" l="1"/>
  <c r="X512" i="1" s="1"/>
  <c r="S511" i="1"/>
  <c r="W512" i="1" s="1"/>
  <c r="R511" i="1"/>
  <c r="V512" i="1" s="1"/>
  <c r="M509" i="1"/>
  <c r="O509" i="1" s="1"/>
  <c r="Q509" i="1" s="1"/>
  <c r="L509" i="1"/>
  <c r="N509" i="1" s="1"/>
  <c r="P509" i="1" s="1"/>
  <c r="R512" i="1" l="1"/>
  <c r="V513" i="1" s="1"/>
  <c r="S512" i="1"/>
  <c r="W513" i="1" s="1"/>
  <c r="T512" i="1"/>
  <c r="X513" i="1" s="1"/>
  <c r="M510" i="1"/>
  <c r="O510" i="1" s="1"/>
  <c r="Q510" i="1" s="1"/>
  <c r="L510" i="1"/>
  <c r="N510" i="1" s="1"/>
  <c r="P510" i="1" s="1"/>
  <c r="T513" i="1" l="1"/>
  <c r="X514" i="1" s="1"/>
  <c r="S513" i="1"/>
  <c r="W514" i="1" s="1"/>
  <c r="R513" i="1"/>
  <c r="V514" i="1" s="1"/>
  <c r="M511" i="1"/>
  <c r="O511" i="1" s="1"/>
  <c r="Q511" i="1" s="1"/>
  <c r="L511" i="1"/>
  <c r="N511" i="1" s="1"/>
  <c r="P511" i="1" s="1"/>
  <c r="R514" i="1" l="1"/>
  <c r="V515" i="1" s="1"/>
  <c r="S514" i="1"/>
  <c r="W515" i="1" s="1"/>
  <c r="T514" i="1"/>
  <c r="X515" i="1" s="1"/>
  <c r="M512" i="1"/>
  <c r="O512" i="1" s="1"/>
  <c r="Q512" i="1" s="1"/>
  <c r="L512" i="1"/>
  <c r="N512" i="1" s="1"/>
  <c r="P512" i="1" s="1"/>
  <c r="T515" i="1" l="1"/>
  <c r="X516" i="1" s="1"/>
  <c r="S515" i="1"/>
  <c r="W516" i="1" s="1"/>
  <c r="R515" i="1"/>
  <c r="V516" i="1" s="1"/>
  <c r="M513" i="1"/>
  <c r="O513" i="1" s="1"/>
  <c r="Q513" i="1" s="1"/>
  <c r="L513" i="1"/>
  <c r="N513" i="1" s="1"/>
  <c r="P513" i="1" s="1"/>
  <c r="R516" i="1" l="1"/>
  <c r="V517" i="1" s="1"/>
  <c r="S516" i="1"/>
  <c r="W517" i="1" s="1"/>
  <c r="T516" i="1"/>
  <c r="X517" i="1" s="1"/>
  <c r="M514" i="1"/>
  <c r="O514" i="1" s="1"/>
  <c r="Q514" i="1" s="1"/>
  <c r="L514" i="1"/>
  <c r="N514" i="1" s="1"/>
  <c r="P514" i="1" s="1"/>
  <c r="T517" i="1" l="1"/>
  <c r="X518" i="1" s="1"/>
  <c r="S517" i="1"/>
  <c r="W518" i="1" s="1"/>
  <c r="R517" i="1"/>
  <c r="V518" i="1" s="1"/>
  <c r="L515" i="1"/>
  <c r="N515" i="1" s="1"/>
  <c r="P515" i="1" s="1"/>
  <c r="M515" i="1"/>
  <c r="O515" i="1" s="1"/>
  <c r="Q515" i="1" s="1"/>
  <c r="R518" i="1" l="1"/>
  <c r="V519" i="1" s="1"/>
  <c r="S518" i="1"/>
  <c r="W519" i="1" s="1"/>
  <c r="T518" i="1"/>
  <c r="X519" i="1" s="1"/>
  <c r="M516" i="1"/>
  <c r="O516" i="1" s="1"/>
  <c r="Q516" i="1" s="1"/>
  <c r="L516" i="1"/>
  <c r="N516" i="1" s="1"/>
  <c r="P516" i="1" s="1"/>
  <c r="T519" i="1" l="1"/>
  <c r="X520" i="1" s="1"/>
  <c r="S519" i="1"/>
  <c r="W520" i="1" s="1"/>
  <c r="R519" i="1"/>
  <c r="V520" i="1" s="1"/>
  <c r="M517" i="1"/>
  <c r="O517" i="1" s="1"/>
  <c r="Q517" i="1" s="1"/>
  <c r="L517" i="1"/>
  <c r="N517" i="1" s="1"/>
  <c r="P517" i="1" s="1"/>
  <c r="R520" i="1" l="1"/>
  <c r="V521" i="1" s="1"/>
  <c r="S520" i="1"/>
  <c r="W521" i="1" s="1"/>
  <c r="T520" i="1"/>
  <c r="X521" i="1" s="1"/>
  <c r="M518" i="1"/>
  <c r="O518" i="1" s="1"/>
  <c r="Q518" i="1" s="1"/>
  <c r="L518" i="1"/>
  <c r="N518" i="1" s="1"/>
  <c r="P518" i="1" s="1"/>
  <c r="T521" i="1" l="1"/>
  <c r="X522" i="1" s="1"/>
  <c r="S521" i="1"/>
  <c r="W522" i="1" s="1"/>
  <c r="R521" i="1"/>
  <c r="V522" i="1" s="1"/>
  <c r="M519" i="1"/>
  <c r="O519" i="1" s="1"/>
  <c r="Q519" i="1" s="1"/>
  <c r="L519" i="1"/>
  <c r="N519" i="1" s="1"/>
  <c r="P519" i="1" s="1"/>
  <c r="R522" i="1" l="1"/>
  <c r="V523" i="1" s="1"/>
  <c r="S522" i="1"/>
  <c r="W523" i="1" s="1"/>
  <c r="T522" i="1"/>
  <c r="X523" i="1" s="1"/>
  <c r="M520" i="1"/>
  <c r="O520" i="1" s="1"/>
  <c r="Q520" i="1" s="1"/>
  <c r="L520" i="1"/>
  <c r="N520" i="1" s="1"/>
  <c r="P520" i="1" s="1"/>
  <c r="T523" i="1" l="1"/>
  <c r="X524" i="1" s="1"/>
  <c r="S523" i="1"/>
  <c r="W524" i="1" s="1"/>
  <c r="R523" i="1"/>
  <c r="V524" i="1" s="1"/>
  <c r="M521" i="1"/>
  <c r="O521" i="1" s="1"/>
  <c r="Q521" i="1" s="1"/>
  <c r="L521" i="1"/>
  <c r="N521" i="1" s="1"/>
  <c r="P521" i="1" s="1"/>
  <c r="R524" i="1" l="1"/>
  <c r="V525" i="1" s="1"/>
  <c r="S524" i="1"/>
  <c r="W525" i="1" s="1"/>
  <c r="T524" i="1"/>
  <c r="X525" i="1" s="1"/>
  <c r="M522" i="1"/>
  <c r="O522" i="1" s="1"/>
  <c r="Q522" i="1" s="1"/>
  <c r="L522" i="1"/>
  <c r="N522" i="1" s="1"/>
  <c r="P522" i="1" s="1"/>
  <c r="T525" i="1" l="1"/>
  <c r="X526" i="1" s="1"/>
  <c r="S525" i="1"/>
  <c r="W526" i="1" s="1"/>
  <c r="R525" i="1"/>
  <c r="V526" i="1" s="1"/>
  <c r="M523" i="1"/>
  <c r="O523" i="1" s="1"/>
  <c r="Q523" i="1" s="1"/>
  <c r="L523" i="1"/>
  <c r="N523" i="1" s="1"/>
  <c r="P523" i="1" s="1"/>
  <c r="R526" i="1" l="1"/>
  <c r="V527" i="1" s="1"/>
  <c r="S526" i="1"/>
  <c r="W527" i="1" s="1"/>
  <c r="T526" i="1"/>
  <c r="X527" i="1" s="1"/>
  <c r="M524" i="1"/>
  <c r="O524" i="1" s="1"/>
  <c r="Q524" i="1" s="1"/>
  <c r="L524" i="1"/>
  <c r="N524" i="1" s="1"/>
  <c r="P524" i="1" s="1"/>
  <c r="T527" i="1" l="1"/>
  <c r="X528" i="1" s="1"/>
  <c r="R527" i="1"/>
  <c r="V528" i="1" s="1"/>
  <c r="S527" i="1"/>
  <c r="W528" i="1" s="1"/>
  <c r="M525" i="1"/>
  <c r="O525" i="1" s="1"/>
  <c r="Q525" i="1" s="1"/>
  <c r="L525" i="1"/>
  <c r="N525" i="1" s="1"/>
  <c r="P525" i="1" s="1"/>
  <c r="S528" i="1" l="1"/>
  <c r="W529" i="1" s="1"/>
  <c r="R528" i="1"/>
  <c r="V529" i="1" s="1"/>
  <c r="T528" i="1"/>
  <c r="X529" i="1" s="1"/>
  <c r="M526" i="1"/>
  <c r="O526" i="1" s="1"/>
  <c r="Q526" i="1" s="1"/>
  <c r="L526" i="1"/>
  <c r="N526" i="1" s="1"/>
  <c r="P526" i="1" s="1"/>
  <c r="T529" i="1" l="1"/>
  <c r="X530" i="1" s="1"/>
  <c r="S529" i="1"/>
  <c r="W530" i="1" s="1"/>
  <c r="R529" i="1"/>
  <c r="V530" i="1" s="1"/>
  <c r="M527" i="1"/>
  <c r="O527" i="1" s="1"/>
  <c r="Q527" i="1" s="1"/>
  <c r="L527" i="1"/>
  <c r="N527" i="1" s="1"/>
  <c r="P527" i="1" s="1"/>
  <c r="R530" i="1" l="1"/>
  <c r="V531" i="1" s="1"/>
  <c r="S530" i="1"/>
  <c r="W531" i="1" s="1"/>
  <c r="T530" i="1"/>
  <c r="X531" i="1" s="1"/>
  <c r="M528" i="1"/>
  <c r="O528" i="1" s="1"/>
  <c r="Q528" i="1" s="1"/>
  <c r="L528" i="1"/>
  <c r="N528" i="1" s="1"/>
  <c r="P528" i="1" s="1"/>
  <c r="T531" i="1" l="1"/>
  <c r="X532" i="1" s="1"/>
  <c r="S531" i="1"/>
  <c r="W532" i="1" s="1"/>
  <c r="R531" i="1"/>
  <c r="V532" i="1" s="1"/>
  <c r="M529" i="1"/>
  <c r="O529" i="1" s="1"/>
  <c r="Q529" i="1" s="1"/>
  <c r="L529" i="1"/>
  <c r="N529" i="1" s="1"/>
  <c r="P529" i="1" s="1"/>
  <c r="R532" i="1" l="1"/>
  <c r="V533" i="1" s="1"/>
  <c r="S532" i="1"/>
  <c r="W533" i="1" s="1"/>
  <c r="T532" i="1"/>
  <c r="X533" i="1" s="1"/>
  <c r="M530" i="1"/>
  <c r="O530" i="1" s="1"/>
  <c r="Q530" i="1" s="1"/>
  <c r="L530" i="1"/>
  <c r="N530" i="1" s="1"/>
  <c r="P530" i="1" s="1"/>
  <c r="T533" i="1" l="1"/>
  <c r="X534" i="1" s="1"/>
  <c r="S533" i="1"/>
  <c r="W534" i="1" s="1"/>
  <c r="R533" i="1"/>
  <c r="V534" i="1" s="1"/>
  <c r="M531" i="1"/>
  <c r="O531" i="1" s="1"/>
  <c r="Q531" i="1" s="1"/>
  <c r="L531" i="1"/>
  <c r="N531" i="1" s="1"/>
  <c r="P531" i="1" s="1"/>
  <c r="S534" i="1" l="1"/>
  <c r="W535" i="1" s="1"/>
  <c r="R534" i="1"/>
  <c r="V535" i="1" s="1"/>
  <c r="T534" i="1"/>
  <c r="X535" i="1" s="1"/>
  <c r="M532" i="1"/>
  <c r="O532" i="1" s="1"/>
  <c r="Q532" i="1" s="1"/>
  <c r="L532" i="1"/>
  <c r="N532" i="1" s="1"/>
  <c r="P532" i="1" s="1"/>
  <c r="T535" i="1" l="1"/>
  <c r="X536" i="1" s="1"/>
  <c r="R535" i="1"/>
  <c r="V536" i="1" s="1"/>
  <c r="S535" i="1"/>
  <c r="W536" i="1" s="1"/>
  <c r="M533" i="1"/>
  <c r="O533" i="1" s="1"/>
  <c r="Q533" i="1" s="1"/>
  <c r="L533" i="1"/>
  <c r="N533" i="1" s="1"/>
  <c r="P533" i="1" s="1"/>
  <c r="S536" i="1" l="1"/>
  <c r="W537" i="1" s="1"/>
  <c r="R536" i="1"/>
  <c r="V537" i="1" s="1"/>
  <c r="T536" i="1"/>
  <c r="X537" i="1" s="1"/>
  <c r="M534" i="1"/>
  <c r="O534" i="1" s="1"/>
  <c r="Q534" i="1" s="1"/>
  <c r="L534" i="1"/>
  <c r="N534" i="1" s="1"/>
  <c r="P534" i="1" s="1"/>
  <c r="T537" i="1" l="1"/>
  <c r="X538" i="1" s="1"/>
  <c r="R537" i="1"/>
  <c r="V538" i="1" s="1"/>
  <c r="S537" i="1"/>
  <c r="W538" i="1" s="1"/>
  <c r="M535" i="1"/>
  <c r="O535" i="1" s="1"/>
  <c r="Q535" i="1" s="1"/>
  <c r="L535" i="1"/>
  <c r="N535" i="1" s="1"/>
  <c r="P535" i="1" s="1"/>
  <c r="S538" i="1" l="1"/>
  <c r="W539" i="1" s="1"/>
  <c r="R538" i="1"/>
  <c r="V539" i="1" s="1"/>
  <c r="T538" i="1"/>
  <c r="X539" i="1" s="1"/>
  <c r="M536" i="1"/>
  <c r="O536" i="1" s="1"/>
  <c r="Q536" i="1" s="1"/>
  <c r="L536" i="1"/>
  <c r="N536" i="1" s="1"/>
  <c r="P536" i="1" s="1"/>
  <c r="T539" i="1" l="1"/>
  <c r="X540" i="1" s="1"/>
  <c r="S539" i="1"/>
  <c r="W540" i="1" s="1"/>
  <c r="R539" i="1"/>
  <c r="V540" i="1" s="1"/>
  <c r="M537" i="1"/>
  <c r="O537" i="1" s="1"/>
  <c r="Q537" i="1" s="1"/>
  <c r="L537" i="1"/>
  <c r="N537" i="1" s="1"/>
  <c r="P537" i="1" s="1"/>
  <c r="S540" i="1" l="1"/>
  <c r="W541" i="1" s="1"/>
  <c r="R540" i="1"/>
  <c r="V541" i="1" s="1"/>
  <c r="T540" i="1"/>
  <c r="X541" i="1" s="1"/>
  <c r="M538" i="1"/>
  <c r="O538" i="1" s="1"/>
  <c r="Q538" i="1" s="1"/>
  <c r="L538" i="1"/>
  <c r="N538" i="1" s="1"/>
  <c r="P538" i="1" s="1"/>
  <c r="R541" i="1" l="1"/>
  <c r="V542" i="1" s="1"/>
  <c r="T541" i="1"/>
  <c r="X542" i="1" s="1"/>
  <c r="S541" i="1"/>
  <c r="W542" i="1" s="1"/>
  <c r="M539" i="1"/>
  <c r="O539" i="1" s="1"/>
  <c r="Q539" i="1" s="1"/>
  <c r="L539" i="1"/>
  <c r="N539" i="1" s="1"/>
  <c r="P539" i="1" s="1"/>
  <c r="S542" i="1" l="1"/>
  <c r="W543" i="1" s="1"/>
  <c r="T542" i="1"/>
  <c r="X543" i="1" s="1"/>
  <c r="R542" i="1"/>
  <c r="V543" i="1" s="1"/>
  <c r="M540" i="1"/>
  <c r="O540" i="1" s="1"/>
  <c r="Q540" i="1" s="1"/>
  <c r="L540" i="1"/>
  <c r="N540" i="1" s="1"/>
  <c r="P540" i="1" s="1"/>
  <c r="R543" i="1" l="1"/>
  <c r="V544" i="1" s="1"/>
  <c r="T543" i="1"/>
  <c r="X544" i="1" s="1"/>
  <c r="S543" i="1"/>
  <c r="W544" i="1" s="1"/>
  <c r="M541" i="1"/>
  <c r="O541" i="1" s="1"/>
  <c r="Q541" i="1" s="1"/>
  <c r="L541" i="1"/>
  <c r="N541" i="1" s="1"/>
  <c r="P541" i="1" s="1"/>
  <c r="T544" i="1" l="1"/>
  <c r="X545" i="1" s="1"/>
  <c r="S544" i="1"/>
  <c r="W545" i="1" s="1"/>
  <c r="R544" i="1"/>
  <c r="V545" i="1" s="1"/>
  <c r="M542" i="1"/>
  <c r="O542" i="1" s="1"/>
  <c r="Q542" i="1" s="1"/>
  <c r="L542" i="1"/>
  <c r="N542" i="1" s="1"/>
  <c r="P542" i="1" s="1"/>
  <c r="R545" i="1" l="1"/>
  <c r="V546" i="1" s="1"/>
  <c r="S545" i="1"/>
  <c r="W546" i="1" s="1"/>
  <c r="T545" i="1"/>
  <c r="X546" i="1" s="1"/>
  <c r="M543" i="1"/>
  <c r="O543" i="1" s="1"/>
  <c r="Q543" i="1" s="1"/>
  <c r="L543" i="1"/>
  <c r="N543" i="1" s="1"/>
  <c r="P543" i="1" s="1"/>
  <c r="S546" i="1" l="1"/>
  <c r="W547" i="1" s="1"/>
  <c r="T546" i="1"/>
  <c r="X547" i="1" s="1"/>
  <c r="R546" i="1"/>
  <c r="V547" i="1" s="1"/>
  <c r="M544" i="1"/>
  <c r="O544" i="1" s="1"/>
  <c r="Q544" i="1" s="1"/>
  <c r="L544" i="1"/>
  <c r="N544" i="1" s="1"/>
  <c r="P544" i="1" s="1"/>
  <c r="R547" i="1" l="1"/>
  <c r="V548" i="1" s="1"/>
  <c r="T547" i="1"/>
  <c r="X548" i="1" s="1"/>
  <c r="S547" i="1"/>
  <c r="W548" i="1" s="1"/>
  <c r="M545" i="1"/>
  <c r="O545" i="1" s="1"/>
  <c r="Q545" i="1" s="1"/>
  <c r="L545" i="1"/>
  <c r="N545" i="1" s="1"/>
  <c r="P545" i="1" s="1"/>
  <c r="S548" i="1" l="1"/>
  <c r="W549" i="1" s="1"/>
  <c r="R548" i="1"/>
  <c r="V549" i="1" s="1"/>
  <c r="T548" i="1"/>
  <c r="X549" i="1" s="1"/>
  <c r="M546" i="1"/>
  <c r="O546" i="1" s="1"/>
  <c r="Q546" i="1" s="1"/>
  <c r="L546" i="1"/>
  <c r="N546" i="1" s="1"/>
  <c r="P546" i="1" s="1"/>
  <c r="T549" i="1" l="1"/>
  <c r="X550" i="1" s="1"/>
  <c r="R549" i="1"/>
  <c r="V550" i="1" s="1"/>
  <c r="S549" i="1"/>
  <c r="W550" i="1" s="1"/>
  <c r="M547" i="1"/>
  <c r="O547" i="1" s="1"/>
  <c r="Q547" i="1" s="1"/>
  <c r="L547" i="1"/>
  <c r="N547" i="1" s="1"/>
  <c r="P547" i="1" s="1"/>
  <c r="S550" i="1" l="1"/>
  <c r="W551" i="1" s="1"/>
  <c r="R550" i="1"/>
  <c r="V551" i="1" s="1"/>
  <c r="T550" i="1"/>
  <c r="X551" i="1" s="1"/>
  <c r="M548" i="1"/>
  <c r="O548" i="1" s="1"/>
  <c r="Q548" i="1" s="1"/>
  <c r="L548" i="1"/>
  <c r="N548" i="1" s="1"/>
  <c r="P548" i="1" s="1"/>
  <c r="R551" i="1" l="1"/>
  <c r="V552" i="1" s="1"/>
  <c r="T551" i="1"/>
  <c r="X552" i="1" s="1"/>
  <c r="S551" i="1"/>
  <c r="W552" i="1" s="1"/>
  <c r="L549" i="1"/>
  <c r="N549" i="1" s="1"/>
  <c r="P549" i="1" s="1"/>
  <c r="M549" i="1"/>
  <c r="O549" i="1" s="1"/>
  <c r="Q549" i="1" s="1"/>
  <c r="S552" i="1" l="1"/>
  <c r="W553" i="1" s="1"/>
  <c r="T552" i="1"/>
  <c r="X553" i="1" s="1"/>
  <c r="R552" i="1"/>
  <c r="V553" i="1" s="1"/>
  <c r="L550" i="1"/>
  <c r="N550" i="1" s="1"/>
  <c r="P550" i="1" s="1"/>
  <c r="M550" i="1"/>
  <c r="O550" i="1" s="1"/>
  <c r="Q550" i="1" s="1"/>
  <c r="R553" i="1" l="1"/>
  <c r="V554" i="1" s="1"/>
  <c r="T553" i="1"/>
  <c r="X554" i="1" s="1"/>
  <c r="S553" i="1"/>
  <c r="W554" i="1" s="1"/>
  <c r="M551" i="1"/>
  <c r="O551" i="1" s="1"/>
  <c r="Q551" i="1" s="1"/>
  <c r="L551" i="1"/>
  <c r="N551" i="1" s="1"/>
  <c r="P551" i="1" s="1"/>
  <c r="S554" i="1" l="1"/>
  <c r="W555" i="1" s="1"/>
  <c r="T554" i="1"/>
  <c r="X555" i="1" s="1"/>
  <c r="R554" i="1"/>
  <c r="V555" i="1" s="1"/>
  <c r="M552" i="1"/>
  <c r="O552" i="1" s="1"/>
  <c r="Q552" i="1" s="1"/>
  <c r="L552" i="1"/>
  <c r="N552" i="1" s="1"/>
  <c r="P552" i="1" s="1"/>
  <c r="R555" i="1" l="1"/>
  <c r="V556" i="1" s="1"/>
  <c r="T555" i="1"/>
  <c r="X556" i="1" s="1"/>
  <c r="S555" i="1"/>
  <c r="W556" i="1" s="1"/>
  <c r="M553" i="1"/>
  <c r="O553" i="1" s="1"/>
  <c r="Q553" i="1" s="1"/>
  <c r="L553" i="1"/>
  <c r="N553" i="1" s="1"/>
  <c r="P553" i="1" s="1"/>
  <c r="S556" i="1" l="1"/>
  <c r="W557" i="1" s="1"/>
  <c r="R556" i="1"/>
  <c r="V557" i="1" s="1"/>
  <c r="T556" i="1"/>
  <c r="X557" i="1" s="1"/>
  <c r="M554" i="1"/>
  <c r="O554" i="1" s="1"/>
  <c r="Q554" i="1" s="1"/>
  <c r="L554" i="1"/>
  <c r="N554" i="1" s="1"/>
  <c r="P554" i="1" s="1"/>
  <c r="T557" i="1" l="1"/>
  <c r="X558" i="1" s="1"/>
  <c r="S557" i="1"/>
  <c r="W558" i="1" s="1"/>
  <c r="R557" i="1"/>
  <c r="V558" i="1" s="1"/>
  <c r="M555" i="1"/>
  <c r="O555" i="1" s="1"/>
  <c r="Q555" i="1" s="1"/>
  <c r="L555" i="1"/>
  <c r="N555" i="1" s="1"/>
  <c r="P555" i="1" s="1"/>
  <c r="R558" i="1" l="1"/>
  <c r="V559" i="1" s="1"/>
  <c r="S558" i="1"/>
  <c r="W559" i="1" s="1"/>
  <c r="T558" i="1"/>
  <c r="X559" i="1" s="1"/>
  <c r="M556" i="1"/>
  <c r="O556" i="1" s="1"/>
  <c r="Q556" i="1" s="1"/>
  <c r="L556" i="1"/>
  <c r="N556" i="1" s="1"/>
  <c r="P556" i="1" s="1"/>
  <c r="T559" i="1" l="1"/>
  <c r="X560" i="1" s="1"/>
  <c r="S559" i="1"/>
  <c r="W560" i="1" s="1"/>
  <c r="R559" i="1"/>
  <c r="V560" i="1" s="1"/>
  <c r="M557" i="1"/>
  <c r="O557" i="1" s="1"/>
  <c r="Q557" i="1" s="1"/>
  <c r="L557" i="1"/>
  <c r="N557" i="1" s="1"/>
  <c r="P557" i="1" s="1"/>
  <c r="S560" i="1" l="1"/>
  <c r="W561" i="1" s="1"/>
  <c r="R560" i="1"/>
  <c r="V561" i="1" s="1"/>
  <c r="T560" i="1"/>
  <c r="X561" i="1" s="1"/>
  <c r="L558" i="1"/>
  <c r="N558" i="1" s="1"/>
  <c r="P558" i="1" s="1"/>
  <c r="M558" i="1"/>
  <c r="O558" i="1" s="1"/>
  <c r="Q558" i="1" s="1"/>
  <c r="T561" i="1" l="1"/>
  <c r="X562" i="1" s="1"/>
  <c r="R561" i="1"/>
  <c r="V562" i="1" s="1"/>
  <c r="S561" i="1"/>
  <c r="W562" i="1" s="1"/>
  <c r="L559" i="1"/>
  <c r="N559" i="1" s="1"/>
  <c r="P559" i="1" s="1"/>
  <c r="M559" i="1"/>
  <c r="O559" i="1" s="1"/>
  <c r="Q559" i="1" s="1"/>
  <c r="S562" i="1" l="1"/>
  <c r="W563" i="1" s="1"/>
  <c r="R562" i="1"/>
  <c r="V563" i="1" s="1"/>
  <c r="T562" i="1"/>
  <c r="X563" i="1" s="1"/>
  <c r="M560" i="1"/>
  <c r="O560" i="1" s="1"/>
  <c r="Q560" i="1" s="1"/>
  <c r="L560" i="1"/>
  <c r="N560" i="1" s="1"/>
  <c r="P560" i="1" s="1"/>
  <c r="R563" i="1" l="1"/>
  <c r="V564" i="1" s="1"/>
  <c r="T563" i="1"/>
  <c r="X564" i="1" s="1"/>
  <c r="S563" i="1"/>
  <c r="W564" i="1" s="1"/>
  <c r="M561" i="1"/>
  <c r="O561" i="1" s="1"/>
  <c r="Q561" i="1" s="1"/>
  <c r="L561" i="1"/>
  <c r="N561" i="1" s="1"/>
  <c r="P561" i="1" s="1"/>
  <c r="S564" i="1" l="1"/>
  <c r="W565" i="1" s="1"/>
  <c r="R564" i="1"/>
  <c r="V565" i="1" s="1"/>
  <c r="T564" i="1"/>
  <c r="X565" i="1" s="1"/>
  <c r="M562" i="1"/>
  <c r="O562" i="1" s="1"/>
  <c r="Q562" i="1" s="1"/>
  <c r="L562" i="1"/>
  <c r="N562" i="1" s="1"/>
  <c r="P562" i="1" s="1"/>
  <c r="T565" i="1" l="1"/>
  <c r="X566" i="1" s="1"/>
  <c r="R565" i="1"/>
  <c r="V566" i="1" s="1"/>
  <c r="S565" i="1"/>
  <c r="W566" i="1" s="1"/>
  <c r="M563" i="1"/>
  <c r="O563" i="1" s="1"/>
  <c r="Q563" i="1" s="1"/>
  <c r="L563" i="1"/>
  <c r="N563" i="1" s="1"/>
  <c r="P563" i="1" s="1"/>
  <c r="S566" i="1" l="1"/>
  <c r="W567" i="1" s="1"/>
  <c r="R566" i="1"/>
  <c r="V567" i="1" s="1"/>
  <c r="T566" i="1"/>
  <c r="X567" i="1" s="1"/>
  <c r="M564" i="1"/>
  <c r="O564" i="1" s="1"/>
  <c r="Q564" i="1" s="1"/>
  <c r="L564" i="1"/>
  <c r="N564" i="1" s="1"/>
  <c r="P564" i="1" s="1"/>
  <c r="T567" i="1" l="1"/>
  <c r="X568" i="1" s="1"/>
  <c r="R567" i="1"/>
  <c r="V568" i="1" s="1"/>
  <c r="S567" i="1"/>
  <c r="W568" i="1" s="1"/>
  <c r="M565" i="1"/>
  <c r="O565" i="1" s="1"/>
  <c r="Q565" i="1" s="1"/>
  <c r="L565" i="1"/>
  <c r="N565" i="1" s="1"/>
  <c r="P565" i="1" s="1"/>
  <c r="S568" i="1" l="1"/>
  <c r="W569" i="1" s="1"/>
  <c r="T568" i="1"/>
  <c r="X569" i="1" s="1"/>
  <c r="R568" i="1"/>
  <c r="V569" i="1" s="1"/>
  <c r="M566" i="1"/>
  <c r="O566" i="1" s="1"/>
  <c r="Q566" i="1" s="1"/>
  <c r="L566" i="1"/>
  <c r="N566" i="1" s="1"/>
  <c r="P566" i="1" s="1"/>
  <c r="R569" i="1" l="1"/>
  <c r="V570" i="1" s="1"/>
  <c r="T569" i="1"/>
  <c r="X570" i="1" s="1"/>
  <c r="S569" i="1"/>
  <c r="W570" i="1" s="1"/>
  <c r="M567" i="1"/>
  <c r="O567" i="1" s="1"/>
  <c r="Q567" i="1" s="1"/>
  <c r="L567" i="1"/>
  <c r="N567" i="1" s="1"/>
  <c r="P567" i="1" s="1"/>
  <c r="S570" i="1" l="1"/>
  <c r="W571" i="1" s="1"/>
  <c r="T570" i="1"/>
  <c r="X571" i="1" s="1"/>
  <c r="R570" i="1"/>
  <c r="V571" i="1" s="1"/>
  <c r="L568" i="1"/>
  <c r="N568" i="1" s="1"/>
  <c r="P568" i="1" s="1"/>
  <c r="M568" i="1"/>
  <c r="O568" i="1" s="1"/>
  <c r="Q568" i="1" s="1"/>
  <c r="R571" i="1" l="1"/>
  <c r="V572" i="1" s="1"/>
  <c r="T571" i="1"/>
  <c r="X572" i="1" s="1"/>
  <c r="S571" i="1"/>
  <c r="W572" i="1" s="1"/>
  <c r="M569" i="1"/>
  <c r="O569" i="1" s="1"/>
  <c r="Q569" i="1" s="1"/>
  <c r="L569" i="1"/>
  <c r="N569" i="1" s="1"/>
  <c r="P569" i="1" s="1"/>
  <c r="S572" i="1" l="1"/>
  <c r="W573" i="1" s="1"/>
  <c r="R572" i="1"/>
  <c r="V573" i="1" s="1"/>
  <c r="T572" i="1"/>
  <c r="X573" i="1" s="1"/>
  <c r="M570" i="1"/>
  <c r="O570" i="1" s="1"/>
  <c r="Q570" i="1" s="1"/>
  <c r="L570" i="1"/>
  <c r="N570" i="1" s="1"/>
  <c r="P570" i="1" s="1"/>
  <c r="R573" i="1" l="1"/>
  <c r="V574" i="1" s="1"/>
  <c r="T573" i="1"/>
  <c r="X574" i="1"/>
  <c r="S573" i="1"/>
  <c r="W574" i="1" s="1"/>
  <c r="M571" i="1"/>
  <c r="O571" i="1" s="1"/>
  <c r="Q571" i="1" s="1"/>
  <c r="L571" i="1"/>
  <c r="N571" i="1" s="1"/>
  <c r="P571" i="1" s="1"/>
  <c r="S574" i="1" l="1"/>
  <c r="W575" i="1" s="1"/>
  <c r="R574" i="1"/>
  <c r="V575" i="1" s="1"/>
  <c r="T574" i="1"/>
  <c r="X575" i="1" s="1"/>
  <c r="M572" i="1"/>
  <c r="O572" i="1" s="1"/>
  <c r="Q572" i="1" s="1"/>
  <c r="L572" i="1"/>
  <c r="N572" i="1" s="1"/>
  <c r="P572" i="1" s="1"/>
  <c r="T575" i="1" l="1"/>
  <c r="X576" i="1" s="1"/>
  <c r="R575" i="1"/>
  <c r="V576" i="1" s="1"/>
  <c r="S575" i="1"/>
  <c r="W576" i="1" s="1"/>
  <c r="M573" i="1"/>
  <c r="O573" i="1" s="1"/>
  <c r="Q573" i="1" s="1"/>
  <c r="L573" i="1"/>
  <c r="N573" i="1" s="1"/>
  <c r="P573" i="1" s="1"/>
  <c r="S576" i="1" l="1"/>
  <c r="W577" i="1" s="1"/>
  <c r="R576" i="1"/>
  <c r="V577" i="1" s="1"/>
  <c r="T576" i="1"/>
  <c r="X577" i="1" s="1"/>
  <c r="M574" i="1"/>
  <c r="O574" i="1" s="1"/>
  <c r="Q574" i="1" s="1"/>
  <c r="L574" i="1"/>
  <c r="N574" i="1" s="1"/>
  <c r="P574" i="1" s="1"/>
  <c r="T577" i="1" l="1"/>
  <c r="X578" i="1" s="1"/>
  <c r="R577" i="1"/>
  <c r="V578" i="1" s="1"/>
  <c r="S577" i="1"/>
  <c r="W578" i="1" s="1"/>
  <c r="M575" i="1"/>
  <c r="O575" i="1" s="1"/>
  <c r="Q575" i="1" s="1"/>
  <c r="L575" i="1"/>
  <c r="N575" i="1" s="1"/>
  <c r="P575" i="1" s="1"/>
  <c r="S578" i="1" l="1"/>
  <c r="W579" i="1" s="1"/>
  <c r="R578" i="1"/>
  <c r="V579" i="1" s="1"/>
  <c r="T578" i="1"/>
  <c r="X579" i="1" s="1"/>
  <c r="L576" i="1"/>
  <c r="N576" i="1" s="1"/>
  <c r="P576" i="1" s="1"/>
  <c r="M576" i="1"/>
  <c r="O576" i="1" s="1"/>
  <c r="Q576" i="1" s="1"/>
  <c r="T579" i="1" l="1"/>
  <c r="X580" i="1" s="1"/>
  <c r="R579" i="1"/>
  <c r="V580" i="1" s="1"/>
  <c r="S579" i="1"/>
  <c r="W580" i="1" s="1"/>
  <c r="M577" i="1"/>
  <c r="O577" i="1" s="1"/>
  <c r="Q577" i="1" s="1"/>
  <c r="L577" i="1"/>
  <c r="N577" i="1" s="1"/>
  <c r="P577" i="1" s="1"/>
  <c r="S580" i="1" l="1"/>
  <c r="W581" i="1" s="1"/>
  <c r="R580" i="1"/>
  <c r="V581" i="1" s="1"/>
  <c r="T580" i="1"/>
  <c r="X581" i="1" s="1"/>
  <c r="M578" i="1"/>
  <c r="O578" i="1" s="1"/>
  <c r="Q578" i="1" s="1"/>
  <c r="L578" i="1"/>
  <c r="N578" i="1" s="1"/>
  <c r="P578" i="1" s="1"/>
  <c r="R581" i="1" l="1"/>
  <c r="V582" i="1" s="1"/>
  <c r="T581" i="1"/>
  <c r="X582" i="1" s="1"/>
  <c r="S581" i="1"/>
  <c r="W582" i="1" s="1"/>
  <c r="M579" i="1"/>
  <c r="O579" i="1" s="1"/>
  <c r="Q579" i="1" s="1"/>
  <c r="L579" i="1"/>
  <c r="N579" i="1" s="1"/>
  <c r="P579" i="1" s="1"/>
  <c r="S582" i="1" l="1"/>
  <c r="W583" i="1" s="1"/>
  <c r="R582" i="1"/>
  <c r="V583" i="1" s="1"/>
  <c r="T582" i="1"/>
  <c r="X583" i="1" s="1"/>
  <c r="M580" i="1"/>
  <c r="O580" i="1" s="1"/>
  <c r="Q580" i="1" s="1"/>
  <c r="L580" i="1"/>
  <c r="N580" i="1" s="1"/>
  <c r="P580" i="1" s="1"/>
  <c r="T583" i="1" l="1"/>
  <c r="X584" i="1" s="1"/>
  <c r="R583" i="1"/>
  <c r="V584" i="1" s="1"/>
  <c r="S583" i="1"/>
  <c r="W584" i="1" s="1"/>
  <c r="M581" i="1"/>
  <c r="O581" i="1" s="1"/>
  <c r="Q581" i="1" s="1"/>
  <c r="L581" i="1"/>
  <c r="N581" i="1" s="1"/>
  <c r="P581" i="1" s="1"/>
  <c r="S584" i="1" l="1"/>
  <c r="W585" i="1" s="1"/>
  <c r="R584" i="1"/>
  <c r="V585" i="1" s="1"/>
  <c r="T584" i="1"/>
  <c r="X585" i="1" s="1"/>
  <c r="M582" i="1"/>
  <c r="O582" i="1" s="1"/>
  <c r="Q582" i="1" s="1"/>
  <c r="L582" i="1"/>
  <c r="N582" i="1" s="1"/>
  <c r="P582" i="1" s="1"/>
  <c r="T585" i="1" l="1"/>
  <c r="X586" i="1" s="1"/>
  <c r="R585" i="1"/>
  <c r="V586" i="1" s="1"/>
  <c r="S585" i="1"/>
  <c r="W586" i="1" s="1"/>
  <c r="M583" i="1"/>
  <c r="O583" i="1" s="1"/>
  <c r="Q583" i="1" s="1"/>
  <c r="L583" i="1"/>
  <c r="N583" i="1" s="1"/>
  <c r="P583" i="1" s="1"/>
  <c r="S586" i="1" l="1"/>
  <c r="W587" i="1" s="1"/>
  <c r="R586" i="1"/>
  <c r="V587" i="1" s="1"/>
  <c r="T586" i="1"/>
  <c r="X587" i="1" s="1"/>
  <c r="M584" i="1"/>
  <c r="O584" i="1" s="1"/>
  <c r="Q584" i="1" s="1"/>
  <c r="L584" i="1"/>
  <c r="N584" i="1" s="1"/>
  <c r="P584" i="1" s="1"/>
  <c r="T587" i="1" l="1"/>
  <c r="X588" i="1" s="1"/>
  <c r="R587" i="1"/>
  <c r="V588" i="1" s="1"/>
  <c r="S587" i="1"/>
  <c r="W588" i="1" s="1"/>
  <c r="L585" i="1"/>
  <c r="N585" i="1" s="1"/>
  <c r="P585" i="1" s="1"/>
  <c r="M585" i="1"/>
  <c r="O585" i="1" s="1"/>
  <c r="Q585" i="1" s="1"/>
  <c r="S588" i="1" l="1"/>
  <c r="W589" i="1" s="1"/>
  <c r="R588" i="1"/>
  <c r="V589" i="1" s="1"/>
  <c r="T588" i="1"/>
  <c r="X589" i="1" s="1"/>
  <c r="L586" i="1"/>
  <c r="N586" i="1" s="1"/>
  <c r="P586" i="1" s="1"/>
  <c r="M586" i="1"/>
  <c r="O586" i="1" s="1"/>
  <c r="Q586" i="1" s="1"/>
  <c r="T589" i="1" l="1"/>
  <c r="X590" i="1" s="1"/>
  <c r="R589" i="1"/>
  <c r="V590" i="1" s="1"/>
  <c r="S589" i="1"/>
  <c r="W590" i="1" s="1"/>
  <c r="M587" i="1"/>
  <c r="O587" i="1" s="1"/>
  <c r="Q587" i="1" s="1"/>
  <c r="L587" i="1"/>
  <c r="N587" i="1" s="1"/>
  <c r="P587" i="1" s="1"/>
  <c r="S590" i="1" l="1"/>
  <c r="W591" i="1" s="1"/>
  <c r="R590" i="1"/>
  <c r="V591" i="1" s="1"/>
  <c r="T590" i="1"/>
  <c r="X591" i="1" s="1"/>
  <c r="M588" i="1"/>
  <c r="O588" i="1" s="1"/>
  <c r="Q588" i="1" s="1"/>
  <c r="L588" i="1"/>
  <c r="N588" i="1" s="1"/>
  <c r="P588" i="1" s="1"/>
  <c r="T591" i="1" l="1"/>
  <c r="X592" i="1" s="1"/>
  <c r="R591" i="1"/>
  <c r="V592" i="1" s="1"/>
  <c r="S591" i="1"/>
  <c r="W592" i="1" s="1"/>
  <c r="M589" i="1"/>
  <c r="O589" i="1" s="1"/>
  <c r="Q589" i="1" s="1"/>
  <c r="L589" i="1"/>
  <c r="N589" i="1" s="1"/>
  <c r="P589" i="1" s="1"/>
  <c r="S592" i="1" l="1"/>
  <c r="W593" i="1" s="1"/>
  <c r="R592" i="1"/>
  <c r="V593" i="1" s="1"/>
  <c r="T592" i="1"/>
  <c r="X593" i="1" s="1"/>
  <c r="M590" i="1"/>
  <c r="O590" i="1" s="1"/>
  <c r="Q590" i="1" s="1"/>
  <c r="L590" i="1"/>
  <c r="N590" i="1" s="1"/>
  <c r="P590" i="1" s="1"/>
  <c r="T593" i="1" l="1"/>
  <c r="X594" i="1" s="1"/>
  <c r="R593" i="1"/>
  <c r="V594" i="1" s="1"/>
  <c r="S593" i="1"/>
  <c r="W594" i="1" s="1"/>
  <c r="M591" i="1"/>
  <c r="O591" i="1" s="1"/>
  <c r="Q591" i="1" s="1"/>
  <c r="L591" i="1"/>
  <c r="N591" i="1" s="1"/>
  <c r="P591" i="1" s="1"/>
  <c r="S594" i="1" l="1"/>
  <c r="W595" i="1" s="1"/>
  <c r="T594" i="1"/>
  <c r="X595" i="1" s="1"/>
  <c r="R594" i="1"/>
  <c r="V595" i="1" s="1"/>
  <c r="M592" i="1"/>
  <c r="O592" i="1" s="1"/>
  <c r="Q592" i="1" s="1"/>
  <c r="L592" i="1"/>
  <c r="N592" i="1" s="1"/>
  <c r="P592" i="1" s="1"/>
  <c r="R595" i="1" l="1"/>
  <c r="V596" i="1" s="1"/>
  <c r="T595" i="1"/>
  <c r="X596" i="1" s="1"/>
  <c r="S595" i="1"/>
  <c r="W596" i="1" s="1"/>
  <c r="M593" i="1"/>
  <c r="O593" i="1" s="1"/>
  <c r="Q593" i="1" s="1"/>
  <c r="L593" i="1"/>
  <c r="N593" i="1" s="1"/>
  <c r="P593" i="1" s="1"/>
  <c r="S596" i="1" l="1"/>
  <c r="W597" i="1" s="1"/>
  <c r="R596" i="1"/>
  <c r="V597" i="1" s="1"/>
  <c r="T596" i="1"/>
  <c r="X597" i="1" s="1"/>
  <c r="M594" i="1"/>
  <c r="O594" i="1" s="1"/>
  <c r="Q594" i="1" s="1"/>
  <c r="L594" i="1"/>
  <c r="N594" i="1" s="1"/>
  <c r="P594" i="1" s="1"/>
  <c r="T597" i="1" l="1"/>
  <c r="X598" i="1"/>
  <c r="R597" i="1"/>
  <c r="V598" i="1" s="1"/>
  <c r="S597" i="1"/>
  <c r="W598" i="1" s="1"/>
  <c r="M595" i="1"/>
  <c r="O595" i="1" s="1"/>
  <c r="Q595" i="1" s="1"/>
  <c r="L595" i="1"/>
  <c r="N595" i="1" s="1"/>
  <c r="P595" i="1" s="1"/>
  <c r="S598" i="1" l="1"/>
  <c r="W599" i="1" s="1"/>
  <c r="R598" i="1"/>
  <c r="V599" i="1" s="1"/>
  <c r="T598" i="1"/>
  <c r="X599" i="1" s="1"/>
  <c r="M596" i="1"/>
  <c r="O596" i="1" s="1"/>
  <c r="Q596" i="1" s="1"/>
  <c r="L596" i="1"/>
  <c r="N596" i="1" s="1"/>
  <c r="P596" i="1" s="1"/>
  <c r="T599" i="1" l="1"/>
  <c r="X600" i="1" s="1"/>
  <c r="R599" i="1"/>
  <c r="V600" i="1" s="1"/>
  <c r="S599" i="1"/>
  <c r="W600" i="1" s="1"/>
  <c r="M597" i="1"/>
  <c r="O597" i="1" s="1"/>
  <c r="Q597" i="1" s="1"/>
  <c r="L597" i="1"/>
  <c r="N597" i="1" s="1"/>
  <c r="P597" i="1" s="1"/>
  <c r="S600" i="1" l="1"/>
  <c r="W601" i="1" s="1"/>
  <c r="R600" i="1"/>
  <c r="V601" i="1" s="1"/>
  <c r="T600" i="1"/>
  <c r="X601" i="1" s="1"/>
  <c r="M598" i="1"/>
  <c r="O598" i="1" s="1"/>
  <c r="Q598" i="1" s="1"/>
  <c r="L598" i="1"/>
  <c r="N598" i="1" s="1"/>
  <c r="P598" i="1" s="1"/>
  <c r="T601" i="1" l="1"/>
  <c r="X602" i="1"/>
  <c r="S601" i="1"/>
  <c r="W602" i="1" s="1"/>
  <c r="R601" i="1"/>
  <c r="V602" i="1" s="1"/>
  <c r="M599" i="1"/>
  <c r="O599" i="1" s="1"/>
  <c r="Q599" i="1" s="1"/>
  <c r="L599" i="1"/>
  <c r="N599" i="1" s="1"/>
  <c r="P599" i="1" s="1"/>
  <c r="R602" i="1" l="1"/>
  <c r="V603" i="1" s="1"/>
  <c r="S602" i="1"/>
  <c r="W603" i="1" s="1"/>
  <c r="T602" i="1"/>
  <c r="X603" i="1" s="1"/>
  <c r="M600" i="1"/>
  <c r="O600" i="1" s="1"/>
  <c r="Q600" i="1" s="1"/>
  <c r="L600" i="1"/>
  <c r="N600" i="1" s="1"/>
  <c r="P600" i="1" s="1"/>
  <c r="T603" i="1" l="1"/>
  <c r="X604" i="1"/>
  <c r="S603" i="1"/>
  <c r="W604" i="1" s="1"/>
  <c r="R603" i="1"/>
  <c r="V604" i="1" s="1"/>
  <c r="M601" i="1"/>
  <c r="O601" i="1" s="1"/>
  <c r="Q601" i="1" s="1"/>
  <c r="L601" i="1"/>
  <c r="N601" i="1" s="1"/>
  <c r="P601" i="1" s="1"/>
  <c r="R604" i="1" l="1"/>
  <c r="V605" i="1" s="1"/>
  <c r="S604" i="1"/>
  <c r="W605" i="1" s="1"/>
  <c r="T604" i="1"/>
  <c r="X605" i="1" s="1"/>
  <c r="M602" i="1"/>
  <c r="O602" i="1" s="1"/>
  <c r="Q602" i="1" s="1"/>
  <c r="L602" i="1"/>
  <c r="N602" i="1" s="1"/>
  <c r="P602" i="1" s="1"/>
  <c r="T605" i="1" l="1"/>
  <c r="X606" i="1"/>
  <c r="S605" i="1"/>
  <c r="W606" i="1" s="1"/>
  <c r="R605" i="1"/>
  <c r="V606" i="1" s="1"/>
  <c r="L603" i="1"/>
  <c r="N603" i="1" s="1"/>
  <c r="P603" i="1" s="1"/>
  <c r="M603" i="1"/>
  <c r="O603" i="1" s="1"/>
  <c r="Q603" i="1" s="1"/>
  <c r="R606" i="1" l="1"/>
  <c r="V607" i="1" s="1"/>
  <c r="S606" i="1"/>
  <c r="W607" i="1" s="1"/>
  <c r="T606" i="1"/>
  <c r="X607" i="1" s="1"/>
  <c r="L604" i="1"/>
  <c r="N604" i="1" s="1"/>
  <c r="P604" i="1" s="1"/>
  <c r="M604" i="1"/>
  <c r="O604" i="1" s="1"/>
  <c r="Q604" i="1" s="1"/>
  <c r="T607" i="1" l="1"/>
  <c r="X608" i="1" s="1"/>
  <c r="S607" i="1"/>
  <c r="W608" i="1" s="1"/>
  <c r="R607" i="1"/>
  <c r="V608" i="1" s="1"/>
  <c r="M605" i="1"/>
  <c r="O605" i="1" s="1"/>
  <c r="Q605" i="1" s="1"/>
  <c r="L605" i="1"/>
  <c r="N605" i="1" s="1"/>
  <c r="P605" i="1" s="1"/>
  <c r="R608" i="1" l="1"/>
  <c r="V609" i="1" s="1"/>
  <c r="S608" i="1"/>
  <c r="W609" i="1" s="1"/>
  <c r="T608" i="1"/>
  <c r="X609" i="1" s="1"/>
  <c r="M606" i="1"/>
  <c r="O606" i="1" s="1"/>
  <c r="Q606" i="1" s="1"/>
  <c r="L606" i="1"/>
  <c r="N606" i="1" s="1"/>
  <c r="P606" i="1" s="1"/>
  <c r="T609" i="1" l="1"/>
  <c r="X610" i="1" s="1"/>
  <c r="R609" i="1"/>
  <c r="V610" i="1" s="1"/>
  <c r="S609" i="1"/>
  <c r="W610" i="1" s="1"/>
  <c r="M607" i="1"/>
  <c r="O607" i="1" s="1"/>
  <c r="Q607" i="1" s="1"/>
  <c r="L607" i="1"/>
  <c r="N607" i="1" s="1"/>
  <c r="P607" i="1" s="1"/>
  <c r="S610" i="1" l="1"/>
  <c r="W611" i="1" s="1"/>
  <c r="R610" i="1"/>
  <c r="V611" i="1" s="1"/>
  <c r="T610" i="1"/>
  <c r="X611" i="1" s="1"/>
  <c r="M608" i="1"/>
  <c r="O608" i="1" s="1"/>
  <c r="Q608" i="1" s="1"/>
  <c r="L608" i="1"/>
  <c r="N608" i="1" s="1"/>
  <c r="P608" i="1" s="1"/>
  <c r="R611" i="1" l="1"/>
  <c r="V612" i="1" s="1"/>
  <c r="T611" i="1"/>
  <c r="X612" i="1" s="1"/>
  <c r="S611" i="1"/>
  <c r="W612" i="1" s="1"/>
  <c r="M609" i="1"/>
  <c r="O609" i="1" s="1"/>
  <c r="Q609" i="1" s="1"/>
  <c r="L609" i="1"/>
  <c r="N609" i="1" s="1"/>
  <c r="P609" i="1" s="1"/>
  <c r="S612" i="1" l="1"/>
  <c r="W613" i="1" s="1"/>
  <c r="T612" i="1"/>
  <c r="X613" i="1" s="1"/>
  <c r="R612" i="1"/>
  <c r="V613" i="1" s="1"/>
  <c r="M610" i="1"/>
  <c r="O610" i="1" s="1"/>
  <c r="Q610" i="1" s="1"/>
  <c r="L610" i="1"/>
  <c r="N610" i="1" s="1"/>
  <c r="P610" i="1" s="1"/>
  <c r="R613" i="1" l="1"/>
  <c r="V614" i="1" s="1"/>
  <c r="T613" i="1"/>
  <c r="X614" i="1" s="1"/>
  <c r="S613" i="1"/>
  <c r="W614" i="1" s="1"/>
  <c r="M611" i="1"/>
  <c r="O611" i="1" s="1"/>
  <c r="Q611" i="1" s="1"/>
  <c r="L611" i="1"/>
  <c r="N611" i="1" s="1"/>
  <c r="P611" i="1" s="1"/>
  <c r="S614" i="1" l="1"/>
  <c r="W615" i="1" s="1"/>
  <c r="R614" i="1"/>
  <c r="V615" i="1" s="1"/>
  <c r="T614" i="1"/>
  <c r="X615" i="1" s="1"/>
  <c r="L612" i="1"/>
  <c r="N612" i="1" s="1"/>
  <c r="P612" i="1" s="1"/>
  <c r="M612" i="1"/>
  <c r="O612" i="1" s="1"/>
  <c r="Q612" i="1" s="1"/>
  <c r="T615" i="1" l="1"/>
  <c r="X616" i="1" s="1"/>
  <c r="R615" i="1"/>
  <c r="V616" i="1" s="1"/>
  <c r="S615" i="1"/>
  <c r="W616" i="1" s="1"/>
  <c r="L613" i="1"/>
  <c r="N613" i="1" s="1"/>
  <c r="P613" i="1" s="1"/>
  <c r="M613" i="1"/>
  <c r="O613" i="1" s="1"/>
  <c r="Q613" i="1" s="1"/>
  <c r="S616" i="1" l="1"/>
  <c r="W617" i="1" s="1"/>
  <c r="R616" i="1"/>
  <c r="V617" i="1" s="1"/>
  <c r="T616" i="1"/>
  <c r="X617" i="1" s="1"/>
  <c r="M614" i="1"/>
  <c r="O614" i="1" s="1"/>
  <c r="Q614" i="1" s="1"/>
  <c r="L614" i="1"/>
  <c r="N614" i="1" s="1"/>
  <c r="P614" i="1" s="1"/>
  <c r="T617" i="1" l="1"/>
  <c r="X618" i="1"/>
  <c r="R617" i="1"/>
  <c r="V618" i="1" s="1"/>
  <c r="S617" i="1"/>
  <c r="W618" i="1" s="1"/>
  <c r="M615" i="1"/>
  <c r="O615" i="1" s="1"/>
  <c r="Q615" i="1" s="1"/>
  <c r="L615" i="1"/>
  <c r="N615" i="1" s="1"/>
  <c r="P615" i="1" s="1"/>
  <c r="S618" i="1" l="1"/>
  <c r="W619" i="1" s="1"/>
  <c r="R618" i="1"/>
  <c r="V619" i="1" s="1"/>
  <c r="T618" i="1"/>
  <c r="X619" i="1" s="1"/>
  <c r="M616" i="1"/>
  <c r="O616" i="1" s="1"/>
  <c r="Q616" i="1" s="1"/>
  <c r="L616" i="1"/>
  <c r="N616" i="1" s="1"/>
  <c r="P616" i="1" s="1"/>
  <c r="T619" i="1" l="1"/>
  <c r="X620" i="1" s="1"/>
  <c r="R619" i="1"/>
  <c r="V620" i="1" s="1"/>
  <c r="S619" i="1"/>
  <c r="W620" i="1" s="1"/>
  <c r="M617" i="1"/>
  <c r="O617" i="1" s="1"/>
  <c r="Q617" i="1" s="1"/>
  <c r="L617" i="1"/>
  <c r="N617" i="1" s="1"/>
  <c r="P617" i="1" s="1"/>
  <c r="S620" i="1" l="1"/>
  <c r="W621" i="1" s="1"/>
  <c r="R620" i="1"/>
  <c r="V621" i="1" s="1"/>
  <c r="T620" i="1"/>
  <c r="X621" i="1" s="1"/>
  <c r="M618" i="1"/>
  <c r="O618" i="1" s="1"/>
  <c r="Q618" i="1" s="1"/>
  <c r="L618" i="1"/>
  <c r="N618" i="1" s="1"/>
  <c r="P618" i="1" s="1"/>
  <c r="T621" i="1" l="1"/>
  <c r="X622" i="1"/>
  <c r="S621" i="1"/>
  <c r="W622" i="1" s="1"/>
  <c r="R621" i="1"/>
  <c r="V622" i="1" s="1"/>
  <c r="M619" i="1"/>
  <c r="O619" i="1" s="1"/>
  <c r="Q619" i="1" s="1"/>
  <c r="L619" i="1"/>
  <c r="N619" i="1" s="1"/>
  <c r="P619" i="1" s="1"/>
  <c r="R622" i="1" l="1"/>
  <c r="V623" i="1" s="1"/>
  <c r="S622" i="1"/>
  <c r="W623" i="1" s="1"/>
  <c r="T622" i="1"/>
  <c r="X623" i="1" s="1"/>
  <c r="M620" i="1"/>
  <c r="O620" i="1" s="1"/>
  <c r="Q620" i="1" s="1"/>
  <c r="L620" i="1"/>
  <c r="N620" i="1" s="1"/>
  <c r="P620" i="1" s="1"/>
  <c r="T623" i="1" l="1"/>
  <c r="X624" i="1" s="1"/>
  <c r="S623" i="1"/>
  <c r="W624" i="1" s="1"/>
  <c r="R623" i="1"/>
  <c r="V624" i="1" s="1"/>
  <c r="M621" i="1"/>
  <c r="O621" i="1" s="1"/>
  <c r="Q621" i="1" s="1"/>
  <c r="L621" i="1"/>
  <c r="N621" i="1" s="1"/>
  <c r="P621" i="1" s="1"/>
  <c r="R624" i="1" l="1"/>
  <c r="V625" i="1" s="1"/>
  <c r="S624" i="1"/>
  <c r="W625" i="1" s="1"/>
  <c r="T624" i="1"/>
  <c r="X625" i="1" s="1"/>
  <c r="L622" i="1"/>
  <c r="N622" i="1" s="1"/>
  <c r="P622" i="1" s="1"/>
  <c r="M622" i="1"/>
  <c r="O622" i="1" s="1"/>
  <c r="Q622" i="1" s="1"/>
  <c r="R625" i="1" l="1"/>
  <c r="V626" i="1" s="1"/>
  <c r="T625" i="1"/>
  <c r="X626" i="1" s="1"/>
  <c r="S625" i="1"/>
  <c r="W626" i="1" s="1"/>
  <c r="M623" i="1"/>
  <c r="O623" i="1" s="1"/>
  <c r="Q623" i="1" s="1"/>
  <c r="L623" i="1"/>
  <c r="N623" i="1" s="1"/>
  <c r="P623" i="1" s="1"/>
  <c r="S626" i="1" l="1"/>
  <c r="W627" i="1" s="1"/>
  <c r="T626" i="1"/>
  <c r="X627" i="1" s="1"/>
  <c r="R626" i="1"/>
  <c r="V627" i="1" s="1"/>
  <c r="M624" i="1"/>
  <c r="O624" i="1" s="1"/>
  <c r="Q624" i="1" s="1"/>
  <c r="L624" i="1"/>
  <c r="N624" i="1" s="1"/>
  <c r="P624" i="1" s="1"/>
  <c r="R627" i="1" l="1"/>
  <c r="V628" i="1" s="1"/>
  <c r="S627" i="1"/>
  <c r="W628" i="1" s="1"/>
  <c r="T627" i="1"/>
  <c r="X628" i="1" s="1"/>
  <c r="M625" i="1"/>
  <c r="O625" i="1" s="1"/>
  <c r="Q625" i="1" s="1"/>
  <c r="L625" i="1"/>
  <c r="N625" i="1" s="1"/>
  <c r="P625" i="1" s="1"/>
  <c r="R628" i="1" l="1"/>
  <c r="V629" i="1" s="1"/>
  <c r="S628" i="1"/>
  <c r="W629" i="1" s="1"/>
  <c r="T628" i="1"/>
  <c r="X629" i="1" s="1"/>
  <c r="M626" i="1"/>
  <c r="O626" i="1" s="1"/>
  <c r="Q626" i="1" s="1"/>
  <c r="L626" i="1"/>
  <c r="N626" i="1" s="1"/>
  <c r="P626" i="1" s="1"/>
  <c r="T629" i="1" l="1"/>
  <c r="X630" i="1" s="1"/>
  <c r="S629" i="1"/>
  <c r="W630" i="1" s="1"/>
  <c r="R629" i="1"/>
  <c r="V630" i="1" s="1"/>
  <c r="M627" i="1"/>
  <c r="O627" i="1" s="1"/>
  <c r="Q627" i="1" s="1"/>
  <c r="L627" i="1"/>
  <c r="N627" i="1" s="1"/>
  <c r="P627" i="1" s="1"/>
  <c r="T630" i="1" l="1"/>
  <c r="X631" i="1" s="1"/>
  <c r="S630" i="1"/>
  <c r="W631" i="1" s="1"/>
  <c r="R630" i="1"/>
  <c r="V631" i="1" s="1"/>
  <c r="M628" i="1"/>
  <c r="O628" i="1" s="1"/>
  <c r="Q628" i="1" s="1"/>
  <c r="L628" i="1"/>
  <c r="N628" i="1" s="1"/>
  <c r="P628" i="1" s="1"/>
  <c r="R631" i="1" l="1"/>
  <c r="V632" i="1" s="1"/>
  <c r="S631" i="1"/>
  <c r="W632" i="1" s="1"/>
  <c r="T631" i="1"/>
  <c r="X632" i="1" s="1"/>
  <c r="M629" i="1"/>
  <c r="O629" i="1" s="1"/>
  <c r="Q629" i="1" s="1"/>
  <c r="L629" i="1"/>
  <c r="N629" i="1" s="1"/>
  <c r="P629" i="1" s="1"/>
  <c r="T632" i="1" l="1"/>
  <c r="X633" i="1" s="1"/>
  <c r="S632" i="1"/>
  <c r="W633" i="1" s="1"/>
  <c r="R632" i="1"/>
  <c r="V633" i="1" s="1"/>
  <c r="L630" i="1"/>
  <c r="N630" i="1" s="1"/>
  <c r="P630" i="1" s="1"/>
  <c r="M630" i="1"/>
  <c r="O630" i="1" s="1"/>
  <c r="Q630" i="1" s="1"/>
  <c r="R633" i="1" l="1"/>
  <c r="V634" i="1" s="1"/>
  <c r="S633" i="1"/>
  <c r="W634" i="1" s="1"/>
  <c r="T633" i="1"/>
  <c r="X634" i="1" s="1"/>
  <c r="M631" i="1"/>
  <c r="O631" i="1" s="1"/>
  <c r="Q631" i="1" s="1"/>
  <c r="L631" i="1"/>
  <c r="N631" i="1" s="1"/>
  <c r="P631" i="1" s="1"/>
  <c r="T634" i="1" l="1"/>
  <c r="X635" i="1" s="1"/>
  <c r="S634" i="1"/>
  <c r="W635" i="1" s="1"/>
  <c r="R634" i="1"/>
  <c r="V635" i="1" s="1"/>
  <c r="M632" i="1"/>
  <c r="O632" i="1" s="1"/>
  <c r="Q632" i="1" s="1"/>
  <c r="L632" i="1"/>
  <c r="N632" i="1" s="1"/>
  <c r="P632" i="1" s="1"/>
  <c r="S635" i="1" l="1"/>
  <c r="W636" i="1" s="1"/>
  <c r="T635" i="1"/>
  <c r="X636" i="1" s="1"/>
  <c r="R635" i="1"/>
  <c r="V636" i="1" s="1"/>
  <c r="M633" i="1"/>
  <c r="O633" i="1" s="1"/>
  <c r="Q633" i="1" s="1"/>
  <c r="L633" i="1"/>
  <c r="N633" i="1" s="1"/>
  <c r="P633" i="1" s="1"/>
  <c r="R636" i="1" l="1"/>
  <c r="V637" i="1" s="1"/>
  <c r="S636" i="1"/>
  <c r="W637" i="1" s="1"/>
  <c r="T636" i="1"/>
  <c r="X637" i="1" s="1"/>
  <c r="M634" i="1"/>
  <c r="O634" i="1" s="1"/>
  <c r="Q634" i="1" s="1"/>
  <c r="L634" i="1"/>
  <c r="N634" i="1" s="1"/>
  <c r="P634" i="1" s="1"/>
  <c r="T637" i="1" l="1"/>
  <c r="X638" i="1" s="1"/>
  <c r="S637" i="1"/>
  <c r="W638" i="1" s="1"/>
  <c r="R637" i="1"/>
  <c r="V638" i="1" s="1"/>
  <c r="M635" i="1"/>
  <c r="O635" i="1" s="1"/>
  <c r="Q635" i="1" s="1"/>
  <c r="L635" i="1"/>
  <c r="N635" i="1" s="1"/>
  <c r="P635" i="1" s="1"/>
  <c r="T638" i="1" l="1"/>
  <c r="X639" i="1" s="1"/>
  <c r="R638" i="1"/>
  <c r="V639" i="1" s="1"/>
  <c r="S638" i="1"/>
  <c r="W639" i="1" s="1"/>
  <c r="M636" i="1"/>
  <c r="O636" i="1" s="1"/>
  <c r="Q636" i="1" s="1"/>
  <c r="L636" i="1"/>
  <c r="N636" i="1" s="1"/>
  <c r="P636" i="1" s="1"/>
  <c r="T639" i="1" l="1"/>
  <c r="X640" i="1" s="1"/>
  <c r="R639" i="1"/>
  <c r="V640" i="1" s="1"/>
  <c r="S639" i="1"/>
  <c r="W640" i="1" s="1"/>
  <c r="M637" i="1"/>
  <c r="O637" i="1" s="1"/>
  <c r="Q637" i="1" s="1"/>
  <c r="L637" i="1"/>
  <c r="N637" i="1" s="1"/>
  <c r="P637" i="1" s="1"/>
  <c r="S640" i="1" l="1"/>
  <c r="W641" i="1" s="1"/>
  <c r="R640" i="1"/>
  <c r="V641" i="1" s="1"/>
  <c r="T640" i="1"/>
  <c r="X641" i="1" s="1"/>
  <c r="M638" i="1"/>
  <c r="O638" i="1" s="1"/>
  <c r="Q638" i="1" s="1"/>
  <c r="L638" i="1"/>
  <c r="N638" i="1" s="1"/>
  <c r="P638" i="1" s="1"/>
  <c r="R641" i="1" l="1"/>
  <c r="V642" i="1" s="1"/>
  <c r="T641" i="1"/>
  <c r="X642" i="1" s="1"/>
  <c r="S641" i="1"/>
  <c r="W642" i="1" s="1"/>
  <c r="L639" i="1"/>
  <c r="N639" i="1" s="1"/>
  <c r="P639" i="1" s="1"/>
  <c r="M639" i="1"/>
  <c r="O639" i="1" s="1"/>
  <c r="Q639" i="1" s="1"/>
  <c r="R642" i="1" l="1"/>
  <c r="V643" i="1" s="1"/>
  <c r="S642" i="1"/>
  <c r="W643" i="1"/>
  <c r="T642" i="1"/>
  <c r="X643" i="1" s="1"/>
  <c r="L640" i="1"/>
  <c r="N640" i="1" s="1"/>
  <c r="P640" i="1" s="1"/>
  <c r="M640" i="1"/>
  <c r="O640" i="1" s="1"/>
  <c r="Q640" i="1" s="1"/>
  <c r="T643" i="1" l="1"/>
  <c r="X644" i="1" s="1"/>
  <c r="R643" i="1"/>
  <c r="V644" i="1" s="1"/>
  <c r="S643" i="1"/>
  <c r="W644" i="1" s="1"/>
  <c r="M641" i="1"/>
  <c r="O641" i="1" s="1"/>
  <c r="Q641" i="1" s="1"/>
  <c r="L641" i="1"/>
  <c r="N641" i="1" s="1"/>
  <c r="P641" i="1" s="1"/>
  <c r="T644" i="1" l="1"/>
  <c r="X645" i="1" s="1"/>
  <c r="S644" i="1"/>
  <c r="W645" i="1" s="1"/>
  <c r="R644" i="1"/>
  <c r="V645" i="1" s="1"/>
  <c r="M642" i="1"/>
  <c r="O642" i="1" s="1"/>
  <c r="Q642" i="1" s="1"/>
  <c r="L642" i="1"/>
  <c r="N642" i="1" s="1"/>
  <c r="P642" i="1" s="1"/>
  <c r="R645" i="1" l="1"/>
  <c r="V646" i="1" s="1"/>
  <c r="S645" i="1"/>
  <c r="W646" i="1" s="1"/>
  <c r="T645" i="1"/>
  <c r="X646" i="1" s="1"/>
  <c r="M643" i="1"/>
  <c r="O643" i="1" s="1"/>
  <c r="Q643" i="1" s="1"/>
  <c r="L643" i="1"/>
  <c r="N643" i="1" s="1"/>
  <c r="P643" i="1" s="1"/>
  <c r="S646" i="1" l="1"/>
  <c r="W647" i="1" s="1"/>
  <c r="T646" i="1"/>
  <c r="X647" i="1" s="1"/>
  <c r="R646" i="1"/>
  <c r="V647" i="1" s="1"/>
  <c r="M644" i="1"/>
  <c r="O644" i="1" s="1"/>
  <c r="Q644" i="1" s="1"/>
  <c r="L644" i="1"/>
  <c r="N644" i="1" s="1"/>
  <c r="P644" i="1" s="1"/>
  <c r="R647" i="1" l="1"/>
  <c r="V648" i="1" s="1"/>
  <c r="S647" i="1"/>
  <c r="W648" i="1" s="1"/>
  <c r="T647" i="1"/>
  <c r="X648" i="1" s="1"/>
  <c r="M645" i="1"/>
  <c r="O645" i="1" s="1"/>
  <c r="Q645" i="1" s="1"/>
  <c r="L645" i="1"/>
  <c r="N645" i="1" s="1"/>
  <c r="P645" i="1" s="1"/>
  <c r="R648" i="1" l="1"/>
  <c r="V649" i="1" s="1"/>
  <c r="S648" i="1"/>
  <c r="W649" i="1" s="1"/>
  <c r="T648" i="1"/>
  <c r="X649" i="1" s="1"/>
  <c r="M646" i="1"/>
  <c r="O646" i="1" s="1"/>
  <c r="Q646" i="1" s="1"/>
  <c r="L646" i="1"/>
  <c r="N646" i="1" s="1"/>
  <c r="P646" i="1" s="1"/>
  <c r="T649" i="1" l="1"/>
  <c r="X650" i="1"/>
  <c r="S649" i="1"/>
  <c r="W650" i="1" s="1"/>
  <c r="R649" i="1"/>
  <c r="V650" i="1" s="1"/>
  <c r="M647" i="1"/>
  <c r="O647" i="1" s="1"/>
  <c r="Q647" i="1" s="1"/>
  <c r="L647" i="1"/>
  <c r="N647" i="1" s="1"/>
  <c r="P647" i="1" s="1"/>
  <c r="R650" i="1" l="1"/>
  <c r="V651" i="1" s="1"/>
  <c r="S650" i="1"/>
  <c r="W651" i="1" s="1"/>
  <c r="T650" i="1"/>
  <c r="X651" i="1" s="1"/>
  <c r="M648" i="1"/>
  <c r="O648" i="1" s="1"/>
  <c r="Q648" i="1" s="1"/>
  <c r="L648" i="1"/>
  <c r="N648" i="1" s="1"/>
  <c r="P648" i="1" s="1"/>
  <c r="R651" i="1" l="1"/>
  <c r="V652" i="1" s="1"/>
  <c r="T651" i="1"/>
  <c r="X652" i="1" s="1"/>
  <c r="S651" i="1"/>
  <c r="W652" i="1" s="1"/>
  <c r="M649" i="1"/>
  <c r="O649" i="1" s="1"/>
  <c r="Q649" i="1" s="1"/>
  <c r="L649" i="1"/>
  <c r="N649" i="1" s="1"/>
  <c r="P649" i="1" s="1"/>
  <c r="S652" i="1" l="1"/>
  <c r="W653" i="1" s="1"/>
  <c r="R652" i="1"/>
  <c r="V653" i="1" s="1"/>
  <c r="T652" i="1"/>
  <c r="X653" i="1" s="1"/>
  <c r="M650" i="1"/>
  <c r="O650" i="1" s="1"/>
  <c r="Q650" i="1" s="1"/>
  <c r="L650" i="1"/>
  <c r="N650" i="1" s="1"/>
  <c r="P650" i="1" s="1"/>
  <c r="T653" i="1" l="1"/>
  <c r="X654" i="1" s="1"/>
  <c r="R653" i="1"/>
  <c r="V654" i="1" s="1"/>
  <c r="S653" i="1"/>
  <c r="W654" i="1" s="1"/>
  <c r="M651" i="1"/>
  <c r="O651" i="1" s="1"/>
  <c r="Q651" i="1" s="1"/>
  <c r="L651" i="1"/>
  <c r="N651" i="1" s="1"/>
  <c r="P651" i="1" s="1"/>
  <c r="T654" i="1" l="1"/>
  <c r="X655" i="1" s="1"/>
  <c r="S654" i="1"/>
  <c r="W655" i="1" s="1"/>
  <c r="R654" i="1"/>
  <c r="V655" i="1" s="1"/>
  <c r="M652" i="1"/>
  <c r="O652" i="1" s="1"/>
  <c r="Q652" i="1" s="1"/>
  <c r="L652" i="1"/>
  <c r="N652" i="1" s="1"/>
  <c r="P652" i="1" s="1"/>
  <c r="R655" i="1" l="1"/>
  <c r="V656" i="1" s="1"/>
  <c r="T655" i="1"/>
  <c r="X656" i="1" s="1"/>
  <c r="S655" i="1"/>
  <c r="W656" i="1" s="1"/>
  <c r="M653" i="1"/>
  <c r="O653" i="1" s="1"/>
  <c r="Q653" i="1" s="1"/>
  <c r="L653" i="1"/>
  <c r="N653" i="1" s="1"/>
  <c r="P653" i="1" s="1"/>
  <c r="S656" i="1" l="1"/>
  <c r="W657" i="1" s="1"/>
  <c r="T656" i="1"/>
  <c r="X657" i="1" s="1"/>
  <c r="R656" i="1"/>
  <c r="V657" i="1" s="1"/>
  <c r="M654" i="1"/>
  <c r="O654" i="1" s="1"/>
  <c r="Q654" i="1" s="1"/>
  <c r="L654" i="1"/>
  <c r="N654" i="1" s="1"/>
  <c r="P654" i="1" s="1"/>
  <c r="S657" i="1" l="1"/>
  <c r="W658" i="1" s="1"/>
  <c r="R657" i="1"/>
  <c r="V658" i="1" s="1"/>
  <c r="T657" i="1"/>
  <c r="X658" i="1" s="1"/>
  <c r="M655" i="1"/>
  <c r="O655" i="1" s="1"/>
  <c r="Q655" i="1" s="1"/>
  <c r="L655" i="1"/>
  <c r="N655" i="1" s="1"/>
  <c r="P655" i="1" s="1"/>
  <c r="T658" i="1" l="1"/>
  <c r="X659" i="1" s="1"/>
  <c r="R658" i="1"/>
  <c r="V659" i="1" s="1"/>
  <c r="S658" i="1"/>
  <c r="W659" i="1" s="1"/>
  <c r="M656" i="1"/>
  <c r="O656" i="1" s="1"/>
  <c r="Q656" i="1" s="1"/>
  <c r="L656" i="1"/>
  <c r="N656" i="1" s="1"/>
  <c r="P656" i="1" s="1"/>
  <c r="T659" i="1" l="1"/>
  <c r="X660" i="1" s="1"/>
  <c r="S659" i="1"/>
  <c r="W660" i="1" s="1"/>
  <c r="R659" i="1"/>
  <c r="V660" i="1" s="1"/>
  <c r="M657" i="1"/>
  <c r="O657" i="1" s="1"/>
  <c r="Q657" i="1" s="1"/>
  <c r="L657" i="1"/>
  <c r="N657" i="1" s="1"/>
  <c r="P657" i="1" s="1"/>
  <c r="T660" i="1" l="1"/>
  <c r="X661" i="1" s="1"/>
  <c r="R660" i="1"/>
  <c r="V661" i="1" s="1"/>
  <c r="S660" i="1"/>
  <c r="W661" i="1" s="1"/>
  <c r="M658" i="1"/>
  <c r="O658" i="1" s="1"/>
  <c r="Q658" i="1" s="1"/>
  <c r="L658" i="1"/>
  <c r="N658" i="1" s="1"/>
  <c r="P658" i="1" s="1"/>
  <c r="S661" i="1" l="1"/>
  <c r="W662" i="1" s="1"/>
  <c r="R661" i="1"/>
  <c r="V662" i="1" s="1"/>
  <c r="T661" i="1"/>
  <c r="X662" i="1" s="1"/>
  <c r="M659" i="1"/>
  <c r="O659" i="1" s="1"/>
  <c r="Q659" i="1" s="1"/>
  <c r="L659" i="1"/>
  <c r="N659" i="1" s="1"/>
  <c r="P659" i="1" s="1"/>
  <c r="T662" i="1" l="1"/>
  <c r="X663" i="1" s="1"/>
  <c r="R662" i="1"/>
  <c r="V663" i="1" s="1"/>
  <c r="S662" i="1"/>
  <c r="W663" i="1" s="1"/>
  <c r="M660" i="1"/>
  <c r="O660" i="1" s="1"/>
  <c r="Q660" i="1" s="1"/>
  <c r="L660" i="1"/>
  <c r="N660" i="1" s="1"/>
  <c r="P660" i="1" s="1"/>
  <c r="S663" i="1" l="1"/>
  <c r="W664" i="1" s="1"/>
  <c r="R663" i="1"/>
  <c r="V664" i="1" s="1"/>
  <c r="T663" i="1"/>
  <c r="X664" i="1" s="1"/>
  <c r="M661" i="1"/>
  <c r="O661" i="1" s="1"/>
  <c r="Q661" i="1" s="1"/>
  <c r="L661" i="1"/>
  <c r="N661" i="1" s="1"/>
  <c r="P661" i="1" s="1"/>
  <c r="T664" i="1" l="1"/>
  <c r="X665" i="1" s="1"/>
  <c r="S664" i="1"/>
  <c r="W665" i="1" s="1"/>
  <c r="R664" i="1"/>
  <c r="V665" i="1" s="1"/>
  <c r="M662" i="1"/>
  <c r="O662" i="1" s="1"/>
  <c r="Q662" i="1" s="1"/>
  <c r="L662" i="1"/>
  <c r="N662" i="1" s="1"/>
  <c r="P662" i="1" s="1"/>
  <c r="R665" i="1" l="1"/>
  <c r="V666" i="1" s="1"/>
  <c r="S665" i="1"/>
  <c r="W666" i="1" s="1"/>
  <c r="T665" i="1"/>
  <c r="X666" i="1" s="1"/>
  <c r="M663" i="1"/>
  <c r="O663" i="1" s="1"/>
  <c r="Q663" i="1" s="1"/>
  <c r="L663" i="1"/>
  <c r="N663" i="1" s="1"/>
  <c r="P663" i="1" s="1"/>
  <c r="T666" i="1" l="1"/>
  <c r="X667" i="1" s="1"/>
  <c r="S666" i="1"/>
  <c r="W667" i="1" s="1"/>
  <c r="R666" i="1"/>
  <c r="V667" i="1" s="1"/>
  <c r="L664" i="1"/>
  <c r="N664" i="1" s="1"/>
  <c r="P664" i="1" s="1"/>
  <c r="M664" i="1"/>
  <c r="O664" i="1" s="1"/>
  <c r="Q664" i="1" s="1"/>
  <c r="R667" i="1" l="1"/>
  <c r="V668" i="1" s="1"/>
  <c r="T667" i="1"/>
  <c r="X668" i="1" s="1"/>
  <c r="S667" i="1"/>
  <c r="W668" i="1" s="1"/>
  <c r="M665" i="1"/>
  <c r="O665" i="1" s="1"/>
  <c r="Q665" i="1" s="1"/>
  <c r="L665" i="1"/>
  <c r="N665" i="1" s="1"/>
  <c r="P665" i="1" s="1"/>
  <c r="S668" i="1" l="1"/>
  <c r="W669" i="1" s="1"/>
  <c r="T668" i="1"/>
  <c r="X669" i="1" s="1"/>
  <c r="R668" i="1"/>
  <c r="V669" i="1" s="1"/>
  <c r="M666" i="1"/>
  <c r="O666" i="1" s="1"/>
  <c r="Q666" i="1" s="1"/>
  <c r="L666" i="1"/>
  <c r="N666" i="1" s="1"/>
  <c r="P666" i="1" s="1"/>
  <c r="R669" i="1" l="1"/>
  <c r="V670" i="1" s="1"/>
  <c r="T669" i="1"/>
  <c r="X670" i="1" s="1"/>
  <c r="S669" i="1"/>
  <c r="W670" i="1" s="1"/>
  <c r="M667" i="1"/>
  <c r="O667" i="1" s="1"/>
  <c r="Q667" i="1" s="1"/>
  <c r="L667" i="1"/>
  <c r="N667" i="1" s="1"/>
  <c r="P667" i="1" s="1"/>
  <c r="S670" i="1" l="1"/>
  <c r="W671" i="1" s="1"/>
  <c r="R670" i="1"/>
  <c r="V671" i="1" s="1"/>
  <c r="T670" i="1"/>
  <c r="X671" i="1" s="1"/>
  <c r="M668" i="1"/>
  <c r="O668" i="1" s="1"/>
  <c r="Q668" i="1" s="1"/>
  <c r="L668" i="1"/>
  <c r="N668" i="1" s="1"/>
  <c r="P668" i="1" s="1"/>
  <c r="T671" i="1" l="1"/>
  <c r="X672" i="1" s="1"/>
  <c r="R671" i="1"/>
  <c r="V672" i="1" s="1"/>
  <c r="S671" i="1"/>
  <c r="W672" i="1" s="1"/>
  <c r="M669" i="1"/>
  <c r="O669" i="1" s="1"/>
  <c r="Q669" i="1" s="1"/>
  <c r="L669" i="1"/>
  <c r="N669" i="1" s="1"/>
  <c r="P669" i="1" s="1"/>
  <c r="S672" i="1" l="1"/>
  <c r="W673" i="1" s="1"/>
  <c r="R672" i="1"/>
  <c r="V673" i="1" s="1"/>
  <c r="T672" i="1"/>
  <c r="X673" i="1" s="1"/>
  <c r="M670" i="1"/>
  <c r="O670" i="1" s="1"/>
  <c r="Q670" i="1" s="1"/>
  <c r="L670" i="1"/>
  <c r="N670" i="1" s="1"/>
  <c r="P670" i="1" s="1"/>
  <c r="T673" i="1" l="1"/>
  <c r="X674" i="1" s="1"/>
  <c r="R673" i="1"/>
  <c r="V674" i="1" s="1"/>
  <c r="S673" i="1"/>
  <c r="W674" i="1" s="1"/>
  <c r="M671" i="1"/>
  <c r="O671" i="1" s="1"/>
  <c r="Q671" i="1" s="1"/>
  <c r="L671" i="1"/>
  <c r="N671" i="1" s="1"/>
  <c r="P671" i="1" s="1"/>
  <c r="S674" i="1" l="1"/>
  <c r="W675" i="1" s="1"/>
  <c r="R674" i="1"/>
  <c r="V675" i="1" s="1"/>
  <c r="T674" i="1"/>
  <c r="X675" i="1" s="1"/>
  <c r="M672" i="1"/>
  <c r="O672" i="1" s="1"/>
  <c r="Q672" i="1" s="1"/>
  <c r="L672" i="1"/>
  <c r="N672" i="1" s="1"/>
  <c r="P672" i="1" s="1"/>
  <c r="T675" i="1" l="1"/>
  <c r="X676" i="1" s="1"/>
  <c r="R675" i="1"/>
  <c r="V676" i="1" s="1"/>
  <c r="S675" i="1"/>
  <c r="W676" i="1" s="1"/>
  <c r="M673" i="1"/>
  <c r="O673" i="1" s="1"/>
  <c r="Q673" i="1" s="1"/>
  <c r="L673" i="1"/>
  <c r="N673" i="1" s="1"/>
  <c r="P673" i="1" s="1"/>
  <c r="S676" i="1" l="1"/>
  <c r="W677" i="1" s="1"/>
  <c r="R676" i="1"/>
  <c r="V677" i="1" s="1"/>
  <c r="T676" i="1"/>
  <c r="X677" i="1" s="1"/>
  <c r="M674" i="1"/>
  <c r="O674" i="1" s="1"/>
  <c r="Q674" i="1" s="1"/>
  <c r="L674" i="1"/>
  <c r="N674" i="1" s="1"/>
  <c r="P674" i="1" s="1"/>
  <c r="T677" i="1" l="1"/>
  <c r="X678" i="1" s="1"/>
  <c r="R677" i="1"/>
  <c r="V678" i="1" s="1"/>
  <c r="S677" i="1"/>
  <c r="W678" i="1" s="1"/>
  <c r="M675" i="1"/>
  <c r="O675" i="1" s="1"/>
  <c r="Q675" i="1" s="1"/>
  <c r="L675" i="1"/>
  <c r="N675" i="1" s="1"/>
  <c r="P675" i="1" s="1"/>
  <c r="S678" i="1" l="1"/>
  <c r="W679" i="1" s="1"/>
  <c r="R678" i="1"/>
  <c r="V679" i="1" s="1"/>
  <c r="T678" i="1"/>
  <c r="X679" i="1" s="1"/>
  <c r="M676" i="1"/>
  <c r="O676" i="1" s="1"/>
  <c r="Q676" i="1" s="1"/>
  <c r="L676" i="1"/>
  <c r="N676" i="1" s="1"/>
  <c r="P676" i="1" s="1"/>
  <c r="T679" i="1" l="1"/>
  <c r="X680" i="1" s="1"/>
  <c r="R679" i="1"/>
  <c r="V680" i="1" s="1"/>
  <c r="S679" i="1"/>
  <c r="W680" i="1" s="1"/>
  <c r="M677" i="1"/>
  <c r="O677" i="1" s="1"/>
  <c r="Q677" i="1" s="1"/>
  <c r="L677" i="1"/>
  <c r="N677" i="1" s="1"/>
  <c r="P677" i="1" s="1"/>
  <c r="T680" i="1" l="1"/>
  <c r="X681" i="1" s="1"/>
  <c r="S680" i="1"/>
  <c r="W681" i="1" s="1"/>
  <c r="R680" i="1"/>
  <c r="V681" i="1" s="1"/>
  <c r="M678" i="1"/>
  <c r="O678" i="1" s="1"/>
  <c r="Q678" i="1" s="1"/>
  <c r="L678" i="1"/>
  <c r="N678" i="1" s="1"/>
  <c r="P678" i="1" s="1"/>
  <c r="R681" i="1" l="1"/>
  <c r="V682" i="1" s="1"/>
  <c r="S681" i="1"/>
  <c r="W682" i="1" s="1"/>
  <c r="T681" i="1"/>
  <c r="X682" i="1" s="1"/>
  <c r="M679" i="1"/>
  <c r="O679" i="1" s="1"/>
  <c r="Q679" i="1" s="1"/>
  <c r="L679" i="1"/>
  <c r="N679" i="1" s="1"/>
  <c r="P679" i="1" s="1"/>
  <c r="S682" i="1" l="1"/>
  <c r="W683" i="1" s="1"/>
  <c r="R682" i="1"/>
  <c r="V683" i="1" s="1"/>
  <c r="T682" i="1"/>
  <c r="X683" i="1" s="1"/>
  <c r="M680" i="1"/>
  <c r="O680" i="1" s="1"/>
  <c r="Q680" i="1" s="1"/>
  <c r="L680" i="1"/>
  <c r="N680" i="1" s="1"/>
  <c r="P680" i="1" s="1"/>
  <c r="T683" i="1" l="1"/>
  <c r="X684" i="1" s="1"/>
  <c r="S683" i="1"/>
  <c r="W684" i="1" s="1"/>
  <c r="R683" i="1"/>
  <c r="V684" i="1" s="1"/>
  <c r="M681" i="1"/>
  <c r="O681" i="1" s="1"/>
  <c r="Q681" i="1" s="1"/>
  <c r="L681" i="1"/>
  <c r="N681" i="1" s="1"/>
  <c r="P681" i="1" s="1"/>
  <c r="T684" i="1" l="1"/>
  <c r="X685" i="1" s="1"/>
  <c r="R684" i="1"/>
  <c r="V685" i="1" s="1"/>
  <c r="S684" i="1"/>
  <c r="W685" i="1" s="1"/>
  <c r="M682" i="1"/>
  <c r="O682" i="1" s="1"/>
  <c r="Q682" i="1" s="1"/>
  <c r="L682" i="1"/>
  <c r="N682" i="1" s="1"/>
  <c r="P682" i="1" s="1"/>
  <c r="S685" i="1" l="1"/>
  <c r="W686" i="1" s="1"/>
  <c r="R685" i="1"/>
  <c r="V686" i="1" s="1"/>
  <c r="T685" i="1"/>
  <c r="X686" i="1" s="1"/>
  <c r="M683" i="1"/>
  <c r="O683" i="1" s="1"/>
  <c r="Q683" i="1" s="1"/>
  <c r="L683" i="1"/>
  <c r="N683" i="1" s="1"/>
  <c r="P683" i="1" s="1"/>
  <c r="T686" i="1" l="1"/>
  <c r="X687" i="1" s="1"/>
  <c r="R686" i="1"/>
  <c r="V687" i="1" s="1"/>
  <c r="S686" i="1"/>
  <c r="W687" i="1" s="1"/>
  <c r="M684" i="1"/>
  <c r="O684" i="1" s="1"/>
  <c r="Q684" i="1" s="1"/>
  <c r="L684" i="1"/>
  <c r="N684" i="1" s="1"/>
  <c r="P684" i="1" s="1"/>
  <c r="S687" i="1" l="1"/>
  <c r="W688" i="1" s="1"/>
  <c r="R687" i="1"/>
  <c r="V688" i="1" s="1"/>
  <c r="T687" i="1"/>
  <c r="X688" i="1" s="1"/>
  <c r="L685" i="1"/>
  <c r="N685" i="1" s="1"/>
  <c r="P685" i="1" s="1"/>
  <c r="M685" i="1"/>
  <c r="O685" i="1" s="1"/>
  <c r="Q685" i="1" s="1"/>
  <c r="T688" i="1" l="1"/>
  <c r="X689" i="1" s="1"/>
  <c r="R688" i="1"/>
  <c r="V689" i="1"/>
  <c r="S688" i="1"/>
  <c r="W689" i="1" s="1"/>
  <c r="M686" i="1"/>
  <c r="O686" i="1" s="1"/>
  <c r="Q686" i="1" s="1"/>
  <c r="L686" i="1"/>
  <c r="N686" i="1" s="1"/>
  <c r="P686" i="1" s="1"/>
  <c r="T689" i="1" l="1"/>
  <c r="X690" i="1" s="1"/>
  <c r="S689" i="1"/>
  <c r="W690" i="1" s="1"/>
  <c r="R689" i="1"/>
  <c r="V690" i="1" s="1"/>
  <c r="M687" i="1"/>
  <c r="O687" i="1" s="1"/>
  <c r="Q687" i="1" s="1"/>
  <c r="L687" i="1"/>
  <c r="N687" i="1" s="1"/>
  <c r="P687" i="1" s="1"/>
  <c r="S690" i="1" l="1"/>
  <c r="W691" i="1" s="1"/>
  <c r="T690" i="1"/>
  <c r="X691" i="1" s="1"/>
  <c r="R690" i="1"/>
  <c r="V691" i="1" s="1"/>
  <c r="M688" i="1"/>
  <c r="O688" i="1" s="1"/>
  <c r="Q688" i="1" s="1"/>
  <c r="L688" i="1"/>
  <c r="N688" i="1" s="1"/>
  <c r="P688" i="1" s="1"/>
  <c r="T691" i="1" l="1"/>
  <c r="X692" i="1" s="1"/>
  <c r="R691" i="1"/>
  <c r="V692" i="1" s="1"/>
  <c r="S691" i="1"/>
  <c r="W692" i="1" s="1"/>
  <c r="M689" i="1"/>
  <c r="O689" i="1" s="1"/>
  <c r="Q689" i="1" s="1"/>
  <c r="L689" i="1"/>
  <c r="N689" i="1" s="1"/>
  <c r="P689" i="1" s="1"/>
  <c r="S692" i="1" l="1"/>
  <c r="W693" i="1" s="1"/>
  <c r="R692" i="1"/>
  <c r="V693" i="1" s="1"/>
  <c r="T692" i="1"/>
  <c r="X693" i="1" s="1"/>
  <c r="M690" i="1"/>
  <c r="O690" i="1" s="1"/>
  <c r="Q690" i="1" s="1"/>
  <c r="L690" i="1"/>
  <c r="N690" i="1" s="1"/>
  <c r="P690" i="1" s="1"/>
  <c r="T693" i="1" l="1"/>
  <c r="X694" i="1" s="1"/>
  <c r="R693" i="1"/>
  <c r="V694" i="1" s="1"/>
  <c r="S693" i="1"/>
  <c r="W694" i="1" s="1"/>
  <c r="M691" i="1"/>
  <c r="O691" i="1" s="1"/>
  <c r="Q691" i="1" s="1"/>
  <c r="L691" i="1"/>
  <c r="N691" i="1" s="1"/>
  <c r="P691" i="1" s="1"/>
  <c r="R694" i="1" l="1"/>
  <c r="V695" i="1" s="1"/>
  <c r="S694" i="1"/>
  <c r="W695" i="1" s="1"/>
  <c r="T694" i="1"/>
  <c r="X695" i="1" s="1"/>
  <c r="M692" i="1"/>
  <c r="O692" i="1" s="1"/>
  <c r="Q692" i="1" s="1"/>
  <c r="L692" i="1"/>
  <c r="N692" i="1" s="1"/>
  <c r="P692" i="1" s="1"/>
  <c r="S695" i="1" l="1"/>
  <c r="W696" i="1" s="1"/>
  <c r="T695" i="1"/>
  <c r="X696" i="1" s="1"/>
  <c r="R695" i="1"/>
  <c r="V696" i="1" s="1"/>
  <c r="M693" i="1"/>
  <c r="O693" i="1" s="1"/>
  <c r="Q693" i="1" s="1"/>
  <c r="L693" i="1"/>
  <c r="N693" i="1" s="1"/>
  <c r="P693" i="1" s="1"/>
  <c r="R696" i="1" l="1"/>
  <c r="V697" i="1" s="1"/>
  <c r="S696" i="1"/>
  <c r="W697" i="1" s="1"/>
  <c r="T696" i="1"/>
  <c r="X697" i="1" s="1"/>
  <c r="M694" i="1"/>
  <c r="O694" i="1" s="1"/>
  <c r="Q694" i="1" s="1"/>
  <c r="L694" i="1"/>
  <c r="N694" i="1" s="1"/>
  <c r="P694" i="1" s="1"/>
  <c r="S697" i="1" l="1"/>
  <c r="W698" i="1" s="1"/>
  <c r="T697" i="1"/>
  <c r="X698" i="1" s="1"/>
  <c r="R697" i="1"/>
  <c r="V698" i="1" s="1"/>
  <c r="M695" i="1"/>
  <c r="O695" i="1" s="1"/>
  <c r="Q695" i="1" s="1"/>
  <c r="L695" i="1"/>
  <c r="N695" i="1" s="1"/>
  <c r="P695" i="1" s="1"/>
  <c r="R698" i="1" l="1"/>
  <c r="V699" i="1" s="1"/>
  <c r="S698" i="1"/>
  <c r="W699" i="1" s="1"/>
  <c r="T698" i="1"/>
  <c r="X699" i="1" s="1"/>
  <c r="M696" i="1"/>
  <c r="O696" i="1" s="1"/>
  <c r="Q696" i="1" s="1"/>
  <c r="L696" i="1"/>
  <c r="N696" i="1" s="1"/>
  <c r="P696" i="1" s="1"/>
  <c r="S699" i="1" l="1"/>
  <c r="W700" i="1" s="1"/>
  <c r="T699" i="1"/>
  <c r="X700" i="1" s="1"/>
  <c r="R699" i="1"/>
  <c r="V700" i="1" s="1"/>
  <c r="M697" i="1"/>
  <c r="O697" i="1" s="1"/>
  <c r="Q697" i="1" s="1"/>
  <c r="L697" i="1"/>
  <c r="N697" i="1" s="1"/>
  <c r="P697" i="1" s="1"/>
  <c r="R700" i="1" l="1"/>
  <c r="V701" i="1" s="1"/>
  <c r="S700" i="1"/>
  <c r="W701" i="1" s="1"/>
  <c r="T700" i="1"/>
  <c r="X701" i="1" s="1"/>
  <c r="M698" i="1"/>
  <c r="O698" i="1" s="1"/>
  <c r="Q698" i="1" s="1"/>
  <c r="L698" i="1"/>
  <c r="N698" i="1" s="1"/>
  <c r="P698" i="1" s="1"/>
  <c r="T701" i="1" l="1"/>
  <c r="X702" i="1"/>
  <c r="S701" i="1"/>
  <c r="W702" i="1" s="1"/>
  <c r="R701" i="1"/>
  <c r="V702" i="1" s="1"/>
  <c r="M699" i="1"/>
  <c r="O699" i="1" s="1"/>
  <c r="Q699" i="1" s="1"/>
  <c r="L699" i="1"/>
  <c r="N699" i="1" s="1"/>
  <c r="P699" i="1" s="1"/>
  <c r="R702" i="1" l="1"/>
  <c r="V703" i="1" s="1"/>
  <c r="S702" i="1"/>
  <c r="W703" i="1" s="1"/>
  <c r="T702" i="1"/>
  <c r="X703" i="1" s="1"/>
  <c r="L700" i="1"/>
  <c r="N700" i="1" s="1"/>
  <c r="P700" i="1" s="1"/>
  <c r="M700" i="1"/>
  <c r="O700" i="1" s="1"/>
  <c r="Q700" i="1" s="1"/>
  <c r="R703" i="1" l="1"/>
  <c r="V704" i="1" s="1"/>
  <c r="T703" i="1"/>
  <c r="X704" i="1" s="1"/>
  <c r="S703" i="1"/>
  <c r="W704" i="1" s="1"/>
  <c r="M701" i="1"/>
  <c r="O701" i="1" s="1"/>
  <c r="Q701" i="1" s="1"/>
  <c r="L701" i="1"/>
  <c r="N701" i="1" s="1"/>
  <c r="P701" i="1" s="1"/>
  <c r="R704" i="1" l="1"/>
  <c r="V705" i="1" s="1"/>
  <c r="S704" i="1"/>
  <c r="W705" i="1" s="1"/>
  <c r="T704" i="1"/>
  <c r="X705" i="1" s="1"/>
  <c r="M702" i="1"/>
  <c r="O702" i="1" s="1"/>
  <c r="Q702" i="1" s="1"/>
  <c r="L702" i="1"/>
  <c r="N702" i="1" s="1"/>
  <c r="P702" i="1" s="1"/>
  <c r="T705" i="1" l="1"/>
  <c r="X706" i="1" s="1"/>
  <c r="S705" i="1"/>
  <c r="W706" i="1" s="1"/>
  <c r="R705" i="1"/>
  <c r="V706" i="1" s="1"/>
  <c r="M703" i="1"/>
  <c r="O703" i="1" s="1"/>
  <c r="Q703" i="1" s="1"/>
  <c r="L703" i="1"/>
  <c r="N703" i="1" s="1"/>
  <c r="P703" i="1" s="1"/>
  <c r="T706" i="1" l="1"/>
  <c r="X707" i="1" s="1"/>
  <c r="R706" i="1"/>
  <c r="V707" i="1" s="1"/>
  <c r="S706" i="1"/>
  <c r="W707" i="1" s="1"/>
  <c r="M704" i="1"/>
  <c r="O704" i="1" s="1"/>
  <c r="Q704" i="1" s="1"/>
  <c r="L704" i="1"/>
  <c r="N704" i="1" s="1"/>
  <c r="P704" i="1" s="1"/>
  <c r="S707" i="1" l="1"/>
  <c r="W708" i="1" s="1"/>
  <c r="R707" i="1"/>
  <c r="V708" i="1" s="1"/>
  <c r="T707" i="1"/>
  <c r="X708" i="1" s="1"/>
  <c r="M705" i="1"/>
  <c r="O705" i="1" s="1"/>
  <c r="Q705" i="1" s="1"/>
  <c r="L705" i="1"/>
  <c r="N705" i="1" s="1"/>
  <c r="P705" i="1" s="1"/>
  <c r="S708" i="1" l="1"/>
  <c r="W709" i="1" s="1"/>
  <c r="T708" i="1"/>
  <c r="X709" i="1" s="1"/>
  <c r="R708" i="1"/>
  <c r="V709" i="1" s="1"/>
  <c r="L706" i="1"/>
  <c r="N706" i="1" s="1"/>
  <c r="P706" i="1" s="1"/>
  <c r="M706" i="1"/>
  <c r="O706" i="1" s="1"/>
  <c r="Q706" i="1" s="1"/>
  <c r="R709" i="1" l="1"/>
  <c r="V710" i="1" s="1"/>
  <c r="T709" i="1"/>
  <c r="X710" i="1" s="1"/>
  <c r="S709" i="1"/>
  <c r="W710" i="1" s="1"/>
  <c r="M707" i="1"/>
  <c r="O707" i="1" s="1"/>
  <c r="Q707" i="1" s="1"/>
  <c r="L707" i="1"/>
  <c r="N707" i="1" s="1"/>
  <c r="P707" i="1" s="1"/>
  <c r="S710" i="1" l="1"/>
  <c r="W711" i="1" s="1"/>
  <c r="T710" i="1"/>
  <c r="X711" i="1" s="1"/>
  <c r="R710" i="1"/>
  <c r="V711" i="1" s="1"/>
  <c r="M708" i="1"/>
  <c r="O708" i="1" s="1"/>
  <c r="Q708" i="1" s="1"/>
  <c r="L708" i="1"/>
  <c r="N708" i="1" s="1"/>
  <c r="P708" i="1" s="1"/>
  <c r="R711" i="1" l="1"/>
  <c r="V712" i="1" s="1"/>
  <c r="T711" i="1"/>
  <c r="X712" i="1" s="1"/>
  <c r="S711" i="1"/>
  <c r="W712" i="1" s="1"/>
  <c r="M709" i="1"/>
  <c r="O709" i="1" s="1"/>
  <c r="Q709" i="1" s="1"/>
  <c r="L709" i="1"/>
  <c r="N709" i="1" s="1"/>
  <c r="P709" i="1" s="1"/>
  <c r="S712" i="1" l="1"/>
  <c r="W713" i="1" s="1"/>
  <c r="R712" i="1"/>
  <c r="V713" i="1" s="1"/>
  <c r="T712" i="1"/>
  <c r="X713" i="1" s="1"/>
  <c r="M710" i="1"/>
  <c r="O710" i="1" s="1"/>
  <c r="Q710" i="1" s="1"/>
  <c r="L710" i="1"/>
  <c r="N710" i="1" s="1"/>
  <c r="P710" i="1" s="1"/>
  <c r="T713" i="1" l="1"/>
  <c r="X714" i="1" s="1"/>
  <c r="R713" i="1"/>
  <c r="V714" i="1" s="1"/>
  <c r="S713" i="1"/>
  <c r="W714" i="1" s="1"/>
  <c r="M711" i="1"/>
  <c r="O711" i="1" s="1"/>
  <c r="Q711" i="1" s="1"/>
  <c r="L711" i="1"/>
  <c r="N711" i="1" s="1"/>
  <c r="P711" i="1" s="1"/>
  <c r="S714" i="1" l="1"/>
  <c r="W715" i="1" s="1"/>
  <c r="R714" i="1"/>
  <c r="V715" i="1" s="1"/>
  <c r="T714" i="1"/>
  <c r="X715" i="1" s="1"/>
  <c r="M712" i="1"/>
  <c r="O712" i="1" s="1"/>
  <c r="Q712" i="1" s="1"/>
  <c r="L712" i="1"/>
  <c r="N712" i="1" s="1"/>
  <c r="P712" i="1" s="1"/>
  <c r="S715" i="1" l="1"/>
  <c r="W716" i="1" s="1"/>
  <c r="T715" i="1"/>
  <c r="X716" i="1" s="1"/>
  <c r="R715" i="1"/>
  <c r="V716" i="1" s="1"/>
  <c r="M713" i="1"/>
  <c r="O713" i="1" s="1"/>
  <c r="Q713" i="1" s="1"/>
  <c r="L713" i="1"/>
  <c r="N713" i="1" s="1"/>
  <c r="P713" i="1" s="1"/>
  <c r="S716" i="1" l="1"/>
  <c r="W717" i="1" s="1"/>
  <c r="R716" i="1"/>
  <c r="V717" i="1" s="1"/>
  <c r="T716" i="1"/>
  <c r="X717" i="1" s="1"/>
  <c r="M714" i="1"/>
  <c r="O714" i="1" s="1"/>
  <c r="Q714" i="1" s="1"/>
  <c r="L714" i="1"/>
  <c r="N714" i="1" s="1"/>
  <c r="P714" i="1" s="1"/>
  <c r="T717" i="1" l="1"/>
  <c r="X718" i="1" s="1"/>
  <c r="R717" i="1"/>
  <c r="V718" i="1" s="1"/>
  <c r="S717" i="1"/>
  <c r="W718" i="1" s="1"/>
  <c r="M715" i="1"/>
  <c r="O715" i="1" s="1"/>
  <c r="Q715" i="1" s="1"/>
  <c r="L715" i="1"/>
  <c r="N715" i="1" s="1"/>
  <c r="P715" i="1" s="1"/>
  <c r="T718" i="1" l="1"/>
  <c r="X719" i="1" s="1"/>
  <c r="S718" i="1"/>
  <c r="W719" i="1" s="1"/>
  <c r="R718" i="1"/>
  <c r="V719" i="1" s="1"/>
  <c r="M716" i="1"/>
  <c r="O716" i="1" s="1"/>
  <c r="Q716" i="1" s="1"/>
  <c r="L716" i="1"/>
  <c r="N716" i="1" s="1"/>
  <c r="P716" i="1" s="1"/>
  <c r="T719" i="1" l="1"/>
  <c r="X720" i="1" s="1"/>
  <c r="R719" i="1"/>
  <c r="V720" i="1" s="1"/>
  <c r="S719" i="1"/>
  <c r="W720" i="1" s="1"/>
  <c r="M717" i="1"/>
  <c r="O717" i="1" s="1"/>
  <c r="Q717" i="1" s="1"/>
  <c r="L717" i="1"/>
  <c r="N717" i="1" s="1"/>
  <c r="P717" i="1" s="1"/>
  <c r="T720" i="1" l="1"/>
  <c r="X721" i="1" s="1"/>
  <c r="R720" i="1"/>
  <c r="V721" i="1" s="1"/>
  <c r="S720" i="1"/>
  <c r="W721" i="1" s="1"/>
  <c r="M718" i="1"/>
  <c r="O718" i="1" s="1"/>
  <c r="Q718" i="1" s="1"/>
  <c r="L718" i="1"/>
  <c r="N718" i="1" s="1"/>
  <c r="P718" i="1" s="1"/>
  <c r="T721" i="1" l="1"/>
  <c r="X722" i="1" s="1"/>
  <c r="R721" i="1"/>
  <c r="V722" i="1" s="1"/>
  <c r="S721" i="1"/>
  <c r="W722" i="1" s="1"/>
  <c r="M719" i="1"/>
  <c r="O719" i="1" s="1"/>
  <c r="Q719" i="1" s="1"/>
  <c r="L719" i="1"/>
  <c r="N719" i="1" s="1"/>
  <c r="P719" i="1" s="1"/>
  <c r="S722" i="1" l="1"/>
  <c r="W723" i="1" s="1"/>
  <c r="R722" i="1"/>
  <c r="V723" i="1" s="1"/>
  <c r="T722" i="1"/>
  <c r="X723" i="1" s="1"/>
  <c r="M720" i="1"/>
  <c r="O720" i="1" s="1"/>
  <c r="Q720" i="1" s="1"/>
  <c r="L720" i="1"/>
  <c r="N720" i="1" s="1"/>
  <c r="P720" i="1" s="1"/>
  <c r="S723" i="1" l="1"/>
  <c r="W724" i="1" s="1"/>
  <c r="T723" i="1"/>
  <c r="X724" i="1" s="1"/>
  <c r="R723" i="1"/>
  <c r="V724" i="1" s="1"/>
  <c r="M721" i="1"/>
  <c r="O721" i="1" s="1"/>
  <c r="Q721" i="1" s="1"/>
  <c r="L721" i="1"/>
  <c r="N721" i="1" s="1"/>
  <c r="P721" i="1" s="1"/>
  <c r="R724" i="1" l="1"/>
  <c r="V725" i="1" s="1"/>
  <c r="T724" i="1"/>
  <c r="X725" i="1" s="1"/>
  <c r="S724" i="1"/>
  <c r="W725" i="1" s="1"/>
  <c r="M722" i="1"/>
  <c r="O722" i="1" s="1"/>
  <c r="Q722" i="1" s="1"/>
  <c r="L722" i="1"/>
  <c r="N722" i="1" s="1"/>
  <c r="P722" i="1" s="1"/>
  <c r="R725" i="1" l="1"/>
  <c r="V726" i="1" s="1"/>
  <c r="S725" i="1"/>
  <c r="W726" i="1" s="1"/>
  <c r="T725" i="1"/>
  <c r="X726" i="1" s="1"/>
  <c r="M723" i="1"/>
  <c r="O723" i="1" s="1"/>
  <c r="Q723" i="1" s="1"/>
  <c r="L723" i="1"/>
  <c r="N723" i="1" s="1"/>
  <c r="P723" i="1" s="1"/>
  <c r="R726" i="1" l="1"/>
  <c r="V727" i="1" s="1"/>
  <c r="S726" i="1"/>
  <c r="W727" i="1" s="1"/>
  <c r="T726" i="1"/>
  <c r="X727" i="1" s="1"/>
  <c r="M724" i="1"/>
  <c r="O724" i="1" s="1"/>
  <c r="Q724" i="1" s="1"/>
  <c r="L724" i="1"/>
  <c r="N724" i="1" s="1"/>
  <c r="P724" i="1" s="1"/>
  <c r="T727" i="1" l="1"/>
  <c r="X728" i="1" s="1"/>
  <c r="S727" i="1"/>
  <c r="W728" i="1" s="1"/>
  <c r="R727" i="1"/>
  <c r="V728" i="1" s="1"/>
  <c r="L725" i="1"/>
  <c r="N725" i="1" s="1"/>
  <c r="P725" i="1" s="1"/>
  <c r="M725" i="1"/>
  <c r="O725" i="1" s="1"/>
  <c r="Q725" i="1" s="1"/>
  <c r="T728" i="1" l="1"/>
  <c r="X729" i="1" s="1"/>
  <c r="R728" i="1"/>
  <c r="V729" i="1" s="1"/>
  <c r="S728" i="1"/>
  <c r="W729" i="1" s="1"/>
  <c r="M726" i="1"/>
  <c r="O726" i="1" s="1"/>
  <c r="Q726" i="1" s="1"/>
  <c r="L726" i="1"/>
  <c r="N726" i="1" s="1"/>
  <c r="P726" i="1" s="1"/>
  <c r="T729" i="1" l="1"/>
  <c r="X730" i="1" s="1"/>
  <c r="S729" i="1"/>
  <c r="W730" i="1" s="1"/>
  <c r="R729" i="1"/>
  <c r="V730" i="1" s="1"/>
  <c r="M727" i="1"/>
  <c r="O727" i="1" s="1"/>
  <c r="Q727" i="1" s="1"/>
  <c r="L727" i="1"/>
  <c r="N727" i="1" s="1"/>
  <c r="P727" i="1" s="1"/>
  <c r="T730" i="1" l="1"/>
  <c r="X731" i="1" s="1"/>
  <c r="R730" i="1"/>
  <c r="V731" i="1" s="1"/>
  <c r="S730" i="1"/>
  <c r="W731" i="1" s="1"/>
  <c r="M728" i="1"/>
  <c r="O728" i="1" s="1"/>
  <c r="Q728" i="1" s="1"/>
  <c r="L728" i="1"/>
  <c r="N728" i="1" s="1"/>
  <c r="P728" i="1" s="1"/>
  <c r="S731" i="1" l="1"/>
  <c r="W732" i="1" s="1"/>
  <c r="R731" i="1"/>
  <c r="V732" i="1" s="1"/>
  <c r="T731" i="1"/>
  <c r="X732" i="1" s="1"/>
  <c r="M729" i="1"/>
  <c r="O729" i="1" s="1"/>
  <c r="Q729" i="1" s="1"/>
  <c r="L729" i="1"/>
  <c r="N729" i="1" s="1"/>
  <c r="P729" i="1" s="1"/>
  <c r="T732" i="1" l="1"/>
  <c r="X733" i="1" s="1"/>
  <c r="R732" i="1"/>
  <c r="V733" i="1" s="1"/>
  <c r="S732" i="1"/>
  <c r="W733" i="1" s="1"/>
  <c r="M730" i="1"/>
  <c r="O730" i="1" s="1"/>
  <c r="Q730" i="1" s="1"/>
  <c r="L730" i="1"/>
  <c r="N730" i="1" s="1"/>
  <c r="P730" i="1" s="1"/>
  <c r="T733" i="1" l="1"/>
  <c r="X734" i="1" s="1"/>
  <c r="S733" i="1"/>
  <c r="W734" i="1" s="1"/>
  <c r="R733" i="1"/>
  <c r="V734" i="1" s="1"/>
  <c r="M731" i="1"/>
  <c r="O731" i="1" s="1"/>
  <c r="Q731" i="1" s="1"/>
  <c r="L731" i="1"/>
  <c r="N731" i="1" s="1"/>
  <c r="P731" i="1" s="1"/>
  <c r="T734" i="1" l="1"/>
  <c r="X735" i="1" s="1"/>
  <c r="R734" i="1"/>
  <c r="V735" i="1" s="1"/>
  <c r="S734" i="1"/>
  <c r="W735" i="1" s="1"/>
  <c r="M732" i="1"/>
  <c r="O732" i="1" s="1"/>
  <c r="Q732" i="1" s="1"/>
  <c r="L732" i="1"/>
  <c r="N732" i="1" s="1"/>
  <c r="P732" i="1" s="1"/>
  <c r="T735" i="1" l="1"/>
  <c r="X736" i="1" s="1"/>
  <c r="R735" i="1"/>
  <c r="V736" i="1" s="1"/>
  <c r="S735" i="1"/>
  <c r="W736" i="1" s="1"/>
  <c r="M733" i="1"/>
  <c r="O733" i="1" s="1"/>
  <c r="Q733" i="1" s="1"/>
  <c r="L733" i="1"/>
  <c r="N733" i="1" s="1"/>
  <c r="P733" i="1" s="1"/>
  <c r="T736" i="1" l="1"/>
  <c r="X737" i="1" s="1"/>
  <c r="S736" i="1"/>
  <c r="W737" i="1" s="1"/>
  <c r="R736" i="1"/>
  <c r="V737" i="1" s="1"/>
  <c r="M734" i="1"/>
  <c r="O734" i="1" s="1"/>
  <c r="Q734" i="1" s="1"/>
  <c r="L734" i="1"/>
  <c r="N734" i="1" s="1"/>
  <c r="P734" i="1" s="1"/>
  <c r="R737" i="1" l="1"/>
  <c r="V738" i="1" s="1"/>
  <c r="S737" i="1"/>
  <c r="W738" i="1" s="1"/>
  <c r="T737" i="1"/>
  <c r="X738" i="1" s="1"/>
  <c r="M735" i="1"/>
  <c r="O735" i="1" s="1"/>
  <c r="Q735" i="1" s="1"/>
  <c r="L735" i="1"/>
  <c r="N735" i="1" s="1"/>
  <c r="P735" i="1" s="1"/>
  <c r="T738" i="1" l="1"/>
  <c r="X739" i="1" s="1"/>
  <c r="S738" i="1"/>
  <c r="W739" i="1" s="1"/>
  <c r="R738" i="1"/>
  <c r="V739" i="1" s="1"/>
  <c r="M736" i="1"/>
  <c r="O736" i="1" s="1"/>
  <c r="Q736" i="1" s="1"/>
  <c r="L736" i="1"/>
  <c r="N736" i="1" s="1"/>
  <c r="P736" i="1" s="1"/>
  <c r="T739" i="1" l="1"/>
  <c r="X740" i="1" s="1"/>
  <c r="R739" i="1"/>
  <c r="V740" i="1" s="1"/>
  <c r="S739" i="1"/>
  <c r="W740" i="1" s="1"/>
  <c r="M737" i="1"/>
  <c r="O737" i="1" s="1"/>
  <c r="Q737" i="1" s="1"/>
  <c r="L737" i="1"/>
  <c r="N737" i="1" s="1"/>
  <c r="P737" i="1" s="1"/>
  <c r="T740" i="1" l="1"/>
  <c r="X741" i="1" s="1"/>
  <c r="S740" i="1"/>
  <c r="W741" i="1" s="1"/>
  <c r="R740" i="1"/>
  <c r="V741" i="1" s="1"/>
  <c r="M738" i="1"/>
  <c r="O738" i="1" s="1"/>
  <c r="Q738" i="1" s="1"/>
  <c r="L738" i="1"/>
  <c r="N738" i="1" s="1"/>
  <c r="P738" i="1" s="1"/>
  <c r="R741" i="1" l="1"/>
  <c r="V742" i="1" s="1"/>
  <c r="S741" i="1"/>
  <c r="W742" i="1" s="1"/>
  <c r="T741" i="1"/>
  <c r="X742" i="1" s="1"/>
  <c r="M739" i="1"/>
  <c r="O739" i="1" s="1"/>
  <c r="Q739" i="1" s="1"/>
  <c r="L739" i="1"/>
  <c r="N739" i="1" s="1"/>
  <c r="P739" i="1" s="1"/>
  <c r="S742" i="1" l="1"/>
  <c r="W743" i="1" s="1"/>
  <c r="R742" i="1"/>
  <c r="V743" i="1" s="1"/>
  <c r="T742" i="1"/>
  <c r="X743" i="1" s="1"/>
  <c r="M740" i="1"/>
  <c r="O740" i="1" s="1"/>
  <c r="Q740" i="1" s="1"/>
  <c r="L740" i="1"/>
  <c r="N740" i="1" s="1"/>
  <c r="P740" i="1" s="1"/>
  <c r="T743" i="1" l="1"/>
  <c r="X744" i="1" s="1"/>
  <c r="R743" i="1"/>
  <c r="V744" i="1" s="1"/>
  <c r="S743" i="1"/>
  <c r="W744" i="1" s="1"/>
  <c r="M741" i="1"/>
  <c r="O741" i="1" s="1"/>
  <c r="Q741" i="1" s="1"/>
  <c r="L741" i="1"/>
  <c r="N741" i="1" s="1"/>
  <c r="P741" i="1" s="1"/>
  <c r="T744" i="1" l="1"/>
  <c r="X745" i="1" s="1"/>
  <c r="S744" i="1"/>
  <c r="W745" i="1" s="1"/>
  <c r="R744" i="1"/>
  <c r="V745" i="1" s="1"/>
  <c r="M742" i="1"/>
  <c r="O742" i="1" s="1"/>
  <c r="Q742" i="1" s="1"/>
  <c r="L742" i="1"/>
  <c r="N742" i="1" s="1"/>
  <c r="P742" i="1" s="1"/>
  <c r="R745" i="1" l="1"/>
  <c r="V746" i="1" s="1"/>
  <c r="S745" i="1"/>
  <c r="W746" i="1" s="1"/>
  <c r="T745" i="1"/>
  <c r="X746" i="1" s="1"/>
  <c r="M743" i="1"/>
  <c r="O743" i="1" s="1"/>
  <c r="Q743" i="1" s="1"/>
  <c r="L743" i="1"/>
  <c r="N743" i="1" s="1"/>
  <c r="P743" i="1" s="1"/>
  <c r="S746" i="1" l="1"/>
  <c r="W747" i="1" s="1"/>
  <c r="R746" i="1"/>
  <c r="V747" i="1" s="1"/>
  <c r="T746" i="1"/>
  <c r="X747" i="1" s="1"/>
  <c r="M744" i="1"/>
  <c r="O744" i="1" s="1"/>
  <c r="Q744" i="1" s="1"/>
  <c r="L744" i="1"/>
  <c r="N744" i="1" s="1"/>
  <c r="P744" i="1" s="1"/>
  <c r="T747" i="1" l="1"/>
  <c r="X748" i="1" s="1"/>
  <c r="R747" i="1"/>
  <c r="V748" i="1" s="1"/>
  <c r="S747" i="1"/>
  <c r="W748" i="1" s="1"/>
  <c r="M745" i="1"/>
  <c r="O745" i="1" s="1"/>
  <c r="Q745" i="1" s="1"/>
  <c r="L745" i="1"/>
  <c r="N745" i="1" s="1"/>
  <c r="P745" i="1" s="1"/>
  <c r="T748" i="1" l="1"/>
  <c r="X749" i="1" s="1"/>
  <c r="S748" i="1"/>
  <c r="W749" i="1" s="1"/>
  <c r="R748" i="1"/>
  <c r="V749" i="1" s="1"/>
  <c r="M746" i="1"/>
  <c r="O746" i="1" s="1"/>
  <c r="Q746" i="1" s="1"/>
  <c r="L746" i="1"/>
  <c r="N746" i="1" s="1"/>
  <c r="P746" i="1" s="1"/>
  <c r="R749" i="1" l="1"/>
  <c r="V750" i="1" s="1"/>
  <c r="S749" i="1"/>
  <c r="W750" i="1" s="1"/>
  <c r="T749" i="1"/>
  <c r="X750" i="1" s="1"/>
  <c r="M747" i="1"/>
  <c r="O747" i="1" s="1"/>
  <c r="Q747" i="1" s="1"/>
  <c r="L747" i="1"/>
  <c r="N747" i="1" s="1"/>
  <c r="P747" i="1" s="1"/>
  <c r="S750" i="1" l="1"/>
  <c r="W751" i="1" s="1"/>
  <c r="R750" i="1"/>
  <c r="V751" i="1" s="1"/>
  <c r="T750" i="1"/>
  <c r="X751" i="1" s="1"/>
  <c r="M748" i="1"/>
  <c r="O748" i="1" s="1"/>
  <c r="Q748" i="1" s="1"/>
  <c r="L748" i="1"/>
  <c r="N748" i="1" s="1"/>
  <c r="P748" i="1" s="1"/>
  <c r="S751" i="1" l="1"/>
  <c r="W752" i="1" s="1"/>
  <c r="T751" i="1"/>
  <c r="X752" i="1" s="1"/>
  <c r="R751" i="1"/>
  <c r="V752" i="1" s="1"/>
  <c r="M749" i="1"/>
  <c r="O749" i="1" s="1"/>
  <c r="Q749" i="1" s="1"/>
  <c r="L749" i="1"/>
  <c r="N749" i="1" s="1"/>
  <c r="P749" i="1" s="1"/>
  <c r="R752" i="1" l="1"/>
  <c r="V753" i="1" s="1"/>
  <c r="T752" i="1"/>
  <c r="X753" i="1" s="1"/>
  <c r="S752" i="1"/>
  <c r="W753" i="1" s="1"/>
  <c r="M750" i="1"/>
  <c r="O750" i="1" s="1"/>
  <c r="Q750" i="1" s="1"/>
  <c r="L750" i="1"/>
  <c r="N750" i="1" s="1"/>
  <c r="P750" i="1" s="1"/>
  <c r="S753" i="1" l="1"/>
  <c r="W754" i="1" s="1"/>
  <c r="T753" i="1"/>
  <c r="X754" i="1" s="1"/>
  <c r="R753" i="1"/>
  <c r="V754" i="1" s="1"/>
  <c r="M751" i="1"/>
  <c r="O751" i="1" s="1"/>
  <c r="Q751" i="1" s="1"/>
  <c r="L751" i="1"/>
  <c r="N751" i="1" s="1"/>
  <c r="P751" i="1" s="1"/>
  <c r="T754" i="1" l="1"/>
  <c r="X755" i="1" s="1"/>
  <c r="S754" i="1"/>
  <c r="W755" i="1" s="1"/>
  <c r="R754" i="1"/>
  <c r="V755" i="1" s="1"/>
  <c r="M752" i="1"/>
  <c r="O752" i="1" s="1"/>
  <c r="Q752" i="1" s="1"/>
  <c r="L752" i="1"/>
  <c r="N752" i="1" s="1"/>
  <c r="P752" i="1" s="1"/>
  <c r="R755" i="1" l="1"/>
  <c r="V756" i="1" s="1"/>
  <c r="S755" i="1"/>
  <c r="W756" i="1" s="1"/>
  <c r="T755" i="1"/>
  <c r="X756" i="1" s="1"/>
  <c r="M753" i="1"/>
  <c r="O753" i="1" s="1"/>
  <c r="Q753" i="1" s="1"/>
  <c r="L753" i="1"/>
  <c r="N753" i="1" s="1"/>
  <c r="P753" i="1" s="1"/>
  <c r="R756" i="1" l="1"/>
  <c r="V757" i="1" s="1"/>
  <c r="S756" i="1"/>
  <c r="W757" i="1" s="1"/>
  <c r="T756" i="1"/>
  <c r="X757" i="1" s="1"/>
  <c r="M754" i="1"/>
  <c r="O754" i="1" s="1"/>
  <c r="Q754" i="1" s="1"/>
  <c r="L754" i="1"/>
  <c r="N754" i="1" s="1"/>
  <c r="P754" i="1" s="1"/>
  <c r="T757" i="1" l="1"/>
  <c r="X758" i="1" s="1"/>
  <c r="S757" i="1"/>
  <c r="W758" i="1" s="1"/>
  <c r="R757" i="1"/>
  <c r="V758" i="1" s="1"/>
  <c r="M755" i="1"/>
  <c r="O755" i="1" s="1"/>
  <c r="Q755" i="1" s="1"/>
  <c r="L755" i="1"/>
  <c r="N755" i="1" s="1"/>
  <c r="P755" i="1" s="1"/>
  <c r="T758" i="1" l="1"/>
  <c r="X759" i="1" s="1"/>
  <c r="R758" i="1"/>
  <c r="V759" i="1" s="1"/>
  <c r="S758" i="1"/>
  <c r="W759" i="1" s="1"/>
  <c r="M756" i="1"/>
  <c r="O756" i="1" s="1"/>
  <c r="Q756" i="1" s="1"/>
  <c r="L756" i="1"/>
  <c r="N756" i="1" s="1"/>
  <c r="P756" i="1" s="1"/>
  <c r="S759" i="1" l="1"/>
  <c r="W760" i="1" s="1"/>
  <c r="R759" i="1"/>
  <c r="V760" i="1" s="1"/>
  <c r="T759" i="1"/>
  <c r="X760" i="1" s="1"/>
  <c r="M757" i="1"/>
  <c r="O757" i="1" s="1"/>
  <c r="Q757" i="1" s="1"/>
  <c r="L757" i="1"/>
  <c r="N757" i="1" s="1"/>
  <c r="P757" i="1" s="1"/>
  <c r="R760" i="1" l="1"/>
  <c r="V761" i="1" s="1"/>
  <c r="T760" i="1"/>
  <c r="X761" i="1" s="1"/>
  <c r="S760" i="1"/>
  <c r="W761" i="1" s="1"/>
  <c r="M758" i="1"/>
  <c r="O758" i="1" s="1"/>
  <c r="Q758" i="1" s="1"/>
  <c r="L758" i="1"/>
  <c r="N758" i="1" s="1"/>
  <c r="P758" i="1" s="1"/>
  <c r="S761" i="1" l="1"/>
  <c r="W762" i="1" s="1"/>
  <c r="T761" i="1"/>
  <c r="X762" i="1" s="1"/>
  <c r="R761" i="1"/>
  <c r="V762" i="1" s="1"/>
  <c r="M759" i="1"/>
  <c r="O759" i="1" s="1"/>
  <c r="Q759" i="1" s="1"/>
  <c r="L759" i="1"/>
  <c r="N759" i="1" s="1"/>
  <c r="P759" i="1" s="1"/>
  <c r="R762" i="1" l="1"/>
  <c r="V763" i="1" s="1"/>
  <c r="T762" i="1"/>
  <c r="X763" i="1" s="1"/>
  <c r="S762" i="1"/>
  <c r="W763" i="1" s="1"/>
  <c r="M760" i="1"/>
  <c r="O760" i="1" s="1"/>
  <c r="Q760" i="1" s="1"/>
  <c r="L760" i="1"/>
  <c r="N760" i="1" s="1"/>
  <c r="P760" i="1" s="1"/>
  <c r="R763" i="1" l="1"/>
  <c r="V764" i="1" s="1"/>
  <c r="T763" i="1"/>
  <c r="X764" i="1" s="1"/>
  <c r="S763" i="1"/>
  <c r="W764" i="1" s="1"/>
  <c r="L761" i="1"/>
  <c r="N761" i="1" s="1"/>
  <c r="P761" i="1" s="1"/>
  <c r="M761" i="1"/>
  <c r="O761" i="1" s="1"/>
  <c r="Q761" i="1" s="1"/>
  <c r="S764" i="1" l="1"/>
  <c r="W765" i="1" s="1"/>
  <c r="R764" i="1"/>
  <c r="V765" i="1" s="1"/>
  <c r="T764" i="1"/>
  <c r="X765" i="1" s="1"/>
  <c r="M762" i="1"/>
  <c r="O762" i="1" s="1"/>
  <c r="Q762" i="1" s="1"/>
  <c r="L762" i="1"/>
  <c r="N762" i="1" s="1"/>
  <c r="P762" i="1" s="1"/>
  <c r="T765" i="1" l="1"/>
  <c r="X766" i="1" s="1"/>
  <c r="R765" i="1"/>
  <c r="V766" i="1" s="1"/>
  <c r="S765" i="1"/>
  <c r="W766" i="1" s="1"/>
  <c r="M763" i="1"/>
  <c r="O763" i="1" s="1"/>
  <c r="Q763" i="1" s="1"/>
  <c r="L763" i="1"/>
  <c r="N763" i="1" s="1"/>
  <c r="P763" i="1" s="1"/>
  <c r="T766" i="1" l="1"/>
  <c r="X767" i="1" s="1"/>
  <c r="S766" i="1"/>
  <c r="W767" i="1" s="1"/>
  <c r="R766" i="1"/>
  <c r="V767" i="1" s="1"/>
  <c r="M764" i="1"/>
  <c r="O764" i="1" s="1"/>
  <c r="Q764" i="1" s="1"/>
  <c r="L764" i="1"/>
  <c r="N764" i="1" s="1"/>
  <c r="P764" i="1" s="1"/>
  <c r="R767" i="1" l="1"/>
  <c r="V768" i="1" s="1"/>
  <c r="S767" i="1"/>
  <c r="W768" i="1" s="1"/>
  <c r="T767" i="1"/>
  <c r="X768" i="1" s="1"/>
  <c r="M765" i="1"/>
  <c r="O765" i="1" s="1"/>
  <c r="Q765" i="1" s="1"/>
  <c r="L765" i="1"/>
  <c r="N765" i="1" s="1"/>
  <c r="P765" i="1" s="1"/>
  <c r="S768" i="1" l="1"/>
  <c r="W769" i="1" s="1"/>
  <c r="R768" i="1"/>
  <c r="V769" i="1" s="1"/>
  <c r="T768" i="1"/>
  <c r="X769" i="1" s="1"/>
  <c r="M766" i="1"/>
  <c r="O766" i="1" s="1"/>
  <c r="Q766" i="1" s="1"/>
  <c r="L766" i="1"/>
  <c r="N766" i="1" s="1"/>
  <c r="P766" i="1" s="1"/>
  <c r="S769" i="1" l="1"/>
  <c r="W770" i="1" s="1"/>
  <c r="R769" i="1"/>
  <c r="V770" i="1" s="1"/>
  <c r="T769" i="1"/>
  <c r="X770" i="1" s="1"/>
  <c r="M767" i="1"/>
  <c r="O767" i="1" s="1"/>
  <c r="Q767" i="1" s="1"/>
  <c r="L767" i="1"/>
  <c r="N767" i="1" s="1"/>
  <c r="P767" i="1" s="1"/>
  <c r="T770" i="1" l="1"/>
  <c r="X771" i="1" s="1"/>
  <c r="R770" i="1"/>
  <c r="V771" i="1" s="1"/>
  <c r="S770" i="1"/>
  <c r="W771" i="1" s="1"/>
  <c r="M768" i="1"/>
  <c r="O768" i="1" s="1"/>
  <c r="Q768" i="1" s="1"/>
  <c r="L768" i="1"/>
  <c r="N768" i="1" s="1"/>
  <c r="P768" i="1" s="1"/>
  <c r="T771" i="1" l="1"/>
  <c r="X772" i="1" s="1"/>
  <c r="S771" i="1"/>
  <c r="W772" i="1" s="1"/>
  <c r="R771" i="1"/>
  <c r="V772" i="1" s="1"/>
  <c r="M769" i="1"/>
  <c r="O769" i="1" s="1"/>
  <c r="Q769" i="1" s="1"/>
  <c r="L769" i="1"/>
  <c r="N769" i="1" s="1"/>
  <c r="P769" i="1" s="1"/>
  <c r="R772" i="1" l="1"/>
  <c r="V773" i="1" s="1"/>
  <c r="S772" i="1"/>
  <c r="W773" i="1" s="1"/>
  <c r="T772" i="1"/>
  <c r="X773" i="1" s="1"/>
  <c r="M770" i="1"/>
  <c r="O770" i="1" s="1"/>
  <c r="Q770" i="1" s="1"/>
  <c r="L770" i="1"/>
  <c r="N770" i="1" s="1"/>
  <c r="P770" i="1" s="1"/>
  <c r="R773" i="1" l="1"/>
  <c r="V774" i="1" s="1"/>
  <c r="T773" i="1"/>
  <c r="X774" i="1" s="1"/>
  <c r="S773" i="1"/>
  <c r="W774" i="1" s="1"/>
  <c r="M771" i="1"/>
  <c r="O771" i="1" s="1"/>
  <c r="Q771" i="1" s="1"/>
  <c r="L771" i="1"/>
  <c r="N771" i="1" s="1"/>
  <c r="P771" i="1" s="1"/>
  <c r="R774" i="1" l="1"/>
  <c r="V775" i="1" s="1"/>
  <c r="S774" i="1"/>
  <c r="W775" i="1" s="1"/>
  <c r="T774" i="1"/>
  <c r="X775" i="1" s="1"/>
  <c r="M772" i="1"/>
  <c r="O772" i="1" s="1"/>
  <c r="Q772" i="1" s="1"/>
  <c r="L772" i="1"/>
  <c r="N772" i="1" s="1"/>
  <c r="P772" i="1" s="1"/>
  <c r="T775" i="1" l="1"/>
  <c r="X776" i="1" s="1"/>
  <c r="S775" i="1"/>
  <c r="W776" i="1" s="1"/>
  <c r="R775" i="1"/>
  <c r="V776" i="1" s="1"/>
  <c r="M773" i="1"/>
  <c r="O773" i="1" s="1"/>
  <c r="Q773" i="1" s="1"/>
  <c r="L773" i="1"/>
  <c r="N773" i="1" s="1"/>
  <c r="P773" i="1" s="1"/>
  <c r="T776" i="1" l="1"/>
  <c r="X777" i="1" s="1"/>
  <c r="R776" i="1"/>
  <c r="V777" i="1" s="1"/>
  <c r="S776" i="1"/>
  <c r="W777" i="1" s="1"/>
  <c r="M774" i="1"/>
  <c r="O774" i="1" s="1"/>
  <c r="Q774" i="1" s="1"/>
  <c r="L774" i="1"/>
  <c r="N774" i="1" s="1"/>
  <c r="P774" i="1" s="1"/>
  <c r="S777" i="1" l="1"/>
  <c r="W778" i="1" s="1"/>
  <c r="T777" i="1"/>
  <c r="X778" i="1" s="1"/>
  <c r="R777" i="1"/>
  <c r="V778" i="1" s="1"/>
  <c r="M775" i="1"/>
  <c r="O775" i="1" s="1"/>
  <c r="Q775" i="1" s="1"/>
  <c r="L775" i="1"/>
  <c r="N775" i="1" s="1"/>
  <c r="P775" i="1" s="1"/>
  <c r="R778" i="1" l="1"/>
  <c r="V779" i="1" s="1"/>
  <c r="S778" i="1"/>
  <c r="W779" i="1" s="1"/>
  <c r="T778" i="1"/>
  <c r="X779" i="1" s="1"/>
  <c r="M776" i="1"/>
  <c r="O776" i="1" s="1"/>
  <c r="Q776" i="1" s="1"/>
  <c r="L776" i="1"/>
  <c r="N776" i="1" s="1"/>
  <c r="P776" i="1" s="1"/>
  <c r="T779" i="1" l="1"/>
  <c r="X780" i="1" s="1"/>
  <c r="S779" i="1"/>
  <c r="W780" i="1" s="1"/>
  <c r="R779" i="1"/>
  <c r="V780" i="1" s="1"/>
  <c r="M777" i="1"/>
  <c r="O777" i="1" s="1"/>
  <c r="Q777" i="1" s="1"/>
  <c r="L777" i="1"/>
  <c r="N777" i="1" s="1"/>
  <c r="P777" i="1" s="1"/>
  <c r="T780" i="1" l="1"/>
  <c r="X781" i="1" s="1"/>
  <c r="R780" i="1"/>
  <c r="V781" i="1" s="1"/>
  <c r="S780" i="1"/>
  <c r="W781" i="1" s="1"/>
  <c r="M778" i="1"/>
  <c r="O778" i="1" s="1"/>
  <c r="Q778" i="1" s="1"/>
  <c r="L778" i="1"/>
  <c r="N778" i="1" s="1"/>
  <c r="P778" i="1" s="1"/>
  <c r="S781" i="1" l="1"/>
  <c r="W782" i="1" s="1"/>
  <c r="T781" i="1"/>
  <c r="X782" i="1" s="1"/>
  <c r="R781" i="1"/>
  <c r="V782" i="1" s="1"/>
  <c r="M779" i="1"/>
  <c r="O779" i="1" s="1"/>
  <c r="Q779" i="1" s="1"/>
  <c r="L779" i="1"/>
  <c r="N779" i="1" s="1"/>
  <c r="P779" i="1" s="1"/>
  <c r="R782" i="1" l="1"/>
  <c r="V783" i="1" s="1"/>
  <c r="T782" i="1"/>
  <c r="X783" i="1" s="1"/>
  <c r="S782" i="1"/>
  <c r="W783" i="1" s="1"/>
  <c r="M780" i="1"/>
  <c r="O780" i="1" s="1"/>
  <c r="Q780" i="1" s="1"/>
  <c r="L780" i="1"/>
  <c r="N780" i="1" s="1"/>
  <c r="P780" i="1" s="1"/>
  <c r="R783" i="1" l="1"/>
  <c r="V784" i="1" s="1"/>
  <c r="S783" i="1"/>
  <c r="W784" i="1" s="1"/>
  <c r="T783" i="1"/>
  <c r="X784" i="1" s="1"/>
  <c r="M781" i="1"/>
  <c r="O781" i="1" s="1"/>
  <c r="Q781" i="1" s="1"/>
  <c r="L781" i="1"/>
  <c r="N781" i="1" s="1"/>
  <c r="P781" i="1" s="1"/>
  <c r="T784" i="1" l="1"/>
  <c r="X785" i="1" s="1"/>
  <c r="S784" i="1"/>
  <c r="W785" i="1" s="1"/>
  <c r="R784" i="1"/>
  <c r="V785" i="1" s="1"/>
  <c r="M782" i="1"/>
  <c r="O782" i="1" s="1"/>
  <c r="Q782" i="1" s="1"/>
  <c r="L782" i="1"/>
  <c r="N782" i="1" s="1"/>
  <c r="P782" i="1" s="1"/>
  <c r="R785" i="1" l="1"/>
  <c r="V786" i="1" s="1"/>
  <c r="S785" i="1"/>
  <c r="W786" i="1" s="1"/>
  <c r="T785" i="1"/>
  <c r="X786" i="1" s="1"/>
  <c r="M783" i="1"/>
  <c r="O783" i="1" s="1"/>
  <c r="Q783" i="1" s="1"/>
  <c r="L783" i="1"/>
  <c r="N783" i="1" s="1"/>
  <c r="P783" i="1" s="1"/>
  <c r="R786" i="1" l="1"/>
  <c r="V787" i="1" s="1"/>
  <c r="T786" i="1"/>
  <c r="X787" i="1" s="1"/>
  <c r="S786" i="1"/>
  <c r="W787" i="1" s="1"/>
  <c r="M784" i="1"/>
  <c r="O784" i="1" s="1"/>
  <c r="Q784" i="1" s="1"/>
  <c r="L784" i="1"/>
  <c r="N784" i="1" s="1"/>
  <c r="P784" i="1" s="1"/>
  <c r="S787" i="1" l="1"/>
  <c r="W788" i="1" s="1"/>
  <c r="T787" i="1"/>
  <c r="X788" i="1" s="1"/>
  <c r="R787" i="1"/>
  <c r="V788" i="1" s="1"/>
  <c r="M785" i="1"/>
  <c r="O785" i="1" s="1"/>
  <c r="Q785" i="1" s="1"/>
  <c r="L785" i="1"/>
  <c r="N785" i="1" s="1"/>
  <c r="P785" i="1" s="1"/>
  <c r="S788" i="1" l="1"/>
  <c r="W789" i="1" s="1"/>
  <c r="R788" i="1"/>
  <c r="V789" i="1" s="1"/>
  <c r="T788" i="1"/>
  <c r="X789" i="1" s="1"/>
  <c r="M786" i="1"/>
  <c r="O786" i="1" s="1"/>
  <c r="Q786" i="1" s="1"/>
  <c r="L786" i="1"/>
  <c r="N786" i="1" s="1"/>
  <c r="P786" i="1" s="1"/>
  <c r="T789" i="1" l="1"/>
  <c r="X790" i="1" s="1"/>
  <c r="S789" i="1"/>
  <c r="W790" i="1" s="1"/>
  <c r="R789" i="1"/>
  <c r="V790" i="1" s="1"/>
  <c r="M787" i="1"/>
  <c r="O787" i="1" s="1"/>
  <c r="Q787" i="1" s="1"/>
  <c r="L787" i="1"/>
  <c r="N787" i="1" s="1"/>
  <c r="P787" i="1" s="1"/>
  <c r="T790" i="1" l="1"/>
  <c r="X791" i="1" s="1"/>
  <c r="R790" i="1"/>
  <c r="V791" i="1" s="1"/>
  <c r="S790" i="1"/>
  <c r="W791" i="1" s="1"/>
  <c r="M788" i="1"/>
  <c r="O788" i="1" s="1"/>
  <c r="Q788" i="1" s="1"/>
  <c r="L788" i="1"/>
  <c r="N788" i="1" s="1"/>
  <c r="P788" i="1" s="1"/>
  <c r="S791" i="1" l="1"/>
  <c r="W792" i="1" s="1"/>
  <c r="R791" i="1"/>
  <c r="V792" i="1" s="1"/>
  <c r="T791" i="1"/>
  <c r="X792" i="1" s="1"/>
  <c r="M789" i="1"/>
  <c r="O789" i="1" s="1"/>
  <c r="Q789" i="1" s="1"/>
  <c r="L789" i="1"/>
  <c r="N789" i="1" s="1"/>
  <c r="P789" i="1" s="1"/>
  <c r="T792" i="1" l="1"/>
  <c r="X793" i="1" s="1"/>
  <c r="S792" i="1"/>
  <c r="W793" i="1" s="1"/>
  <c r="R792" i="1"/>
  <c r="V793" i="1" s="1"/>
  <c r="M790" i="1"/>
  <c r="O790" i="1" s="1"/>
  <c r="Q790" i="1" s="1"/>
  <c r="L790" i="1"/>
  <c r="N790" i="1" s="1"/>
  <c r="P790" i="1" s="1"/>
  <c r="R793" i="1" l="1"/>
  <c r="V794" i="1" s="1"/>
  <c r="S793" i="1"/>
  <c r="W794" i="1" s="1"/>
  <c r="T793" i="1"/>
  <c r="X794" i="1" s="1"/>
  <c r="M791" i="1"/>
  <c r="O791" i="1" s="1"/>
  <c r="Q791" i="1" s="1"/>
  <c r="L791" i="1"/>
  <c r="N791" i="1" s="1"/>
  <c r="P791" i="1" s="1"/>
  <c r="S794" i="1" l="1"/>
  <c r="W795" i="1" s="1"/>
  <c r="R794" i="1"/>
  <c r="V795" i="1" s="1"/>
  <c r="T794" i="1"/>
  <c r="X795" i="1" s="1"/>
  <c r="M792" i="1"/>
  <c r="O792" i="1" s="1"/>
  <c r="Q792" i="1" s="1"/>
  <c r="L792" i="1"/>
  <c r="N792" i="1" s="1"/>
  <c r="P792" i="1" s="1"/>
  <c r="T795" i="1" l="1"/>
  <c r="X796" i="1" s="1"/>
  <c r="R795" i="1"/>
  <c r="V796" i="1" s="1"/>
  <c r="S795" i="1"/>
  <c r="W796" i="1" s="1"/>
  <c r="M793" i="1"/>
  <c r="O793" i="1" s="1"/>
  <c r="Q793" i="1" s="1"/>
  <c r="L793" i="1"/>
  <c r="N793" i="1" s="1"/>
  <c r="P793" i="1" s="1"/>
  <c r="T796" i="1" l="1"/>
  <c r="X797" i="1" s="1"/>
  <c r="S796" i="1"/>
  <c r="W797" i="1" s="1"/>
  <c r="R796" i="1"/>
  <c r="V797" i="1" s="1"/>
  <c r="M794" i="1"/>
  <c r="O794" i="1" s="1"/>
  <c r="Q794" i="1" s="1"/>
  <c r="L794" i="1"/>
  <c r="N794" i="1" s="1"/>
  <c r="P794" i="1" s="1"/>
  <c r="S797" i="1" l="1"/>
  <c r="W798" i="1" s="1"/>
  <c r="T797" i="1"/>
  <c r="X798" i="1" s="1"/>
  <c r="R797" i="1"/>
  <c r="V798" i="1" s="1"/>
  <c r="M795" i="1"/>
  <c r="O795" i="1" s="1"/>
  <c r="Q795" i="1" s="1"/>
  <c r="L795" i="1"/>
  <c r="N795" i="1" s="1"/>
  <c r="P795" i="1" s="1"/>
  <c r="R798" i="1" l="1"/>
  <c r="V799" i="1" s="1"/>
  <c r="S798" i="1"/>
  <c r="W799" i="1" s="1"/>
  <c r="T798" i="1"/>
  <c r="X799" i="1" s="1"/>
  <c r="M796" i="1"/>
  <c r="O796" i="1" s="1"/>
  <c r="Q796" i="1" s="1"/>
  <c r="L796" i="1"/>
  <c r="N796" i="1" s="1"/>
  <c r="P796" i="1" s="1"/>
  <c r="R799" i="1" l="1"/>
  <c r="V800" i="1" s="1"/>
  <c r="T799" i="1"/>
  <c r="X800" i="1" s="1"/>
  <c r="S799" i="1"/>
  <c r="W800" i="1" s="1"/>
  <c r="M797" i="1"/>
  <c r="O797" i="1" s="1"/>
  <c r="Q797" i="1" s="1"/>
  <c r="L797" i="1"/>
  <c r="N797" i="1" s="1"/>
  <c r="P797" i="1" s="1"/>
  <c r="S800" i="1" l="1"/>
  <c r="W801" i="1" s="1"/>
  <c r="R800" i="1"/>
  <c r="V801" i="1" s="1"/>
  <c r="T800" i="1"/>
  <c r="X801" i="1" s="1"/>
  <c r="M798" i="1"/>
  <c r="O798" i="1" s="1"/>
  <c r="Q798" i="1" s="1"/>
  <c r="L798" i="1"/>
  <c r="N798" i="1" s="1"/>
  <c r="P798" i="1" s="1"/>
  <c r="S801" i="1" l="1"/>
  <c r="W802" i="1" s="1"/>
  <c r="R801" i="1"/>
  <c r="V802" i="1" s="1"/>
  <c r="T801" i="1"/>
  <c r="X802" i="1" s="1"/>
  <c r="M799" i="1"/>
  <c r="O799" i="1" s="1"/>
  <c r="Q799" i="1" s="1"/>
  <c r="L799" i="1"/>
  <c r="N799" i="1" s="1"/>
  <c r="P799" i="1" s="1"/>
  <c r="T802" i="1" l="1"/>
  <c r="X803" i="1" s="1"/>
  <c r="S802" i="1"/>
  <c r="W803" i="1" s="1"/>
  <c r="R802" i="1"/>
  <c r="V803" i="1" s="1"/>
  <c r="M800" i="1"/>
  <c r="O800" i="1" s="1"/>
  <c r="Q800" i="1" s="1"/>
  <c r="L800" i="1"/>
  <c r="N800" i="1" s="1"/>
  <c r="P800" i="1" s="1"/>
  <c r="R803" i="1" l="1"/>
  <c r="V804" i="1" s="1"/>
  <c r="S803" i="1"/>
  <c r="W804" i="1" s="1"/>
  <c r="T803" i="1"/>
  <c r="X804" i="1" s="1"/>
  <c r="M801" i="1"/>
  <c r="O801" i="1" s="1"/>
  <c r="Q801" i="1" s="1"/>
  <c r="L801" i="1"/>
  <c r="N801" i="1" s="1"/>
  <c r="P801" i="1" s="1"/>
  <c r="R804" i="1" l="1"/>
  <c r="V805" i="1" s="1"/>
  <c r="S804" i="1"/>
  <c r="W805" i="1" s="1"/>
  <c r="T804" i="1"/>
  <c r="X805" i="1" s="1"/>
  <c r="M802" i="1"/>
  <c r="O802" i="1" s="1"/>
  <c r="Q802" i="1" s="1"/>
  <c r="L802" i="1"/>
  <c r="N802" i="1" s="1"/>
  <c r="P802" i="1" s="1"/>
  <c r="T805" i="1" l="1"/>
  <c r="X806" i="1" s="1"/>
  <c r="S805" i="1"/>
  <c r="W806" i="1" s="1"/>
  <c r="R805" i="1"/>
  <c r="V806" i="1" s="1"/>
  <c r="M803" i="1"/>
  <c r="O803" i="1" s="1"/>
  <c r="Q803" i="1" s="1"/>
  <c r="L803" i="1"/>
  <c r="N803" i="1" s="1"/>
  <c r="P803" i="1" s="1"/>
  <c r="T806" i="1" l="1"/>
  <c r="X807" i="1" s="1"/>
  <c r="R806" i="1"/>
  <c r="V807" i="1" s="1"/>
  <c r="S806" i="1"/>
  <c r="W807" i="1" s="1"/>
  <c r="M804" i="1"/>
  <c r="O804" i="1" s="1"/>
  <c r="Q804" i="1" s="1"/>
  <c r="L804" i="1"/>
  <c r="N804" i="1" s="1"/>
  <c r="P804" i="1" s="1"/>
  <c r="S807" i="1" l="1"/>
  <c r="W808" i="1" s="1"/>
  <c r="R807" i="1"/>
  <c r="V808" i="1" s="1"/>
  <c r="T807" i="1"/>
  <c r="X808" i="1" s="1"/>
  <c r="M805" i="1"/>
  <c r="O805" i="1" s="1"/>
  <c r="Q805" i="1" s="1"/>
  <c r="L805" i="1"/>
  <c r="N805" i="1" s="1"/>
  <c r="P805" i="1" s="1"/>
  <c r="S808" i="1" l="1"/>
  <c r="W809" i="1" s="1"/>
  <c r="T808" i="1"/>
  <c r="X809" i="1" s="1"/>
  <c r="R808" i="1"/>
  <c r="V809" i="1" s="1"/>
  <c r="M806" i="1"/>
  <c r="O806" i="1" s="1"/>
  <c r="Q806" i="1" s="1"/>
  <c r="L806" i="1"/>
  <c r="N806" i="1" s="1"/>
  <c r="P806" i="1" s="1"/>
  <c r="R809" i="1" l="1"/>
  <c r="V810" i="1" s="1"/>
  <c r="T809" i="1"/>
  <c r="X810" i="1" s="1"/>
  <c r="S809" i="1"/>
  <c r="W810" i="1" s="1"/>
  <c r="M807" i="1"/>
  <c r="O807" i="1" s="1"/>
  <c r="Q807" i="1" s="1"/>
  <c r="L807" i="1"/>
  <c r="N807" i="1" s="1"/>
  <c r="P807" i="1" s="1"/>
  <c r="R810" i="1" l="1"/>
  <c r="V811" i="1" s="1"/>
  <c r="S810" i="1"/>
  <c r="W811" i="1" s="1"/>
  <c r="T810" i="1"/>
  <c r="X811" i="1" s="1"/>
  <c r="M808" i="1"/>
  <c r="O808" i="1" s="1"/>
  <c r="Q808" i="1" s="1"/>
  <c r="L808" i="1"/>
  <c r="N808" i="1" s="1"/>
  <c r="P808" i="1" s="1"/>
  <c r="R811" i="1" l="1"/>
  <c r="V812" i="1" s="1"/>
  <c r="T811" i="1"/>
  <c r="X812" i="1" s="1"/>
  <c r="S811" i="1"/>
  <c r="W812" i="1" s="1"/>
  <c r="M809" i="1"/>
  <c r="O809" i="1" s="1"/>
  <c r="Q809" i="1" s="1"/>
  <c r="L809" i="1"/>
  <c r="N809" i="1" s="1"/>
  <c r="P809" i="1" s="1"/>
  <c r="S812" i="1" l="1"/>
  <c r="W813" i="1" s="1"/>
  <c r="R812" i="1"/>
  <c r="V813" i="1" s="1"/>
  <c r="T812" i="1"/>
  <c r="X813" i="1" s="1"/>
  <c r="M810" i="1"/>
  <c r="O810" i="1" s="1"/>
  <c r="Q810" i="1" s="1"/>
  <c r="L810" i="1"/>
  <c r="N810" i="1" s="1"/>
  <c r="P810" i="1" s="1"/>
  <c r="T813" i="1" l="1"/>
  <c r="X814" i="1" s="1"/>
  <c r="R813" i="1"/>
  <c r="V814" i="1" s="1"/>
  <c r="S813" i="1"/>
  <c r="W814" i="1" s="1"/>
  <c r="M811" i="1"/>
  <c r="O811" i="1" s="1"/>
  <c r="Q811" i="1" s="1"/>
  <c r="L811" i="1"/>
  <c r="N811" i="1" s="1"/>
  <c r="P811" i="1" s="1"/>
  <c r="T814" i="1" l="1"/>
  <c r="X815" i="1" s="1"/>
  <c r="S814" i="1"/>
  <c r="W815" i="1" s="1"/>
  <c r="R814" i="1"/>
  <c r="V815" i="1" s="1"/>
  <c r="M812" i="1"/>
  <c r="O812" i="1" s="1"/>
  <c r="Q812" i="1" s="1"/>
  <c r="L812" i="1"/>
  <c r="N812" i="1" s="1"/>
  <c r="P812" i="1" s="1"/>
  <c r="R815" i="1" l="1"/>
  <c r="V816" i="1" s="1"/>
  <c r="S815" i="1"/>
  <c r="W816" i="1" s="1"/>
  <c r="T815" i="1"/>
  <c r="X816" i="1" s="1"/>
  <c r="M813" i="1"/>
  <c r="O813" i="1" s="1"/>
  <c r="Q813" i="1" s="1"/>
  <c r="L813" i="1"/>
  <c r="N813" i="1" s="1"/>
  <c r="P813" i="1" s="1"/>
  <c r="S816" i="1" l="1"/>
  <c r="W817" i="1" s="1"/>
  <c r="T816" i="1"/>
  <c r="X817" i="1" s="1"/>
  <c r="R816" i="1"/>
  <c r="V817" i="1" s="1"/>
  <c r="M814" i="1"/>
  <c r="O814" i="1" s="1"/>
  <c r="Q814" i="1" s="1"/>
  <c r="L814" i="1"/>
  <c r="N814" i="1" s="1"/>
  <c r="P814" i="1" s="1"/>
  <c r="S817" i="1" l="1"/>
  <c r="W818" i="1" s="1"/>
  <c r="R817" i="1"/>
  <c r="V818" i="1" s="1"/>
  <c r="T817" i="1"/>
  <c r="X818" i="1" s="1"/>
  <c r="L815" i="1"/>
  <c r="N815" i="1" s="1"/>
  <c r="P815" i="1" s="1"/>
  <c r="M815" i="1"/>
  <c r="O815" i="1" s="1"/>
  <c r="Q815" i="1" s="1"/>
  <c r="T818" i="1" l="1"/>
  <c r="X819" i="1" s="1"/>
  <c r="S818" i="1"/>
  <c r="W819" i="1" s="1"/>
  <c r="R818" i="1"/>
  <c r="V819" i="1" s="1"/>
  <c r="M816" i="1"/>
  <c r="O816" i="1" s="1"/>
  <c r="Q816" i="1" s="1"/>
  <c r="L816" i="1"/>
  <c r="N816" i="1" s="1"/>
  <c r="P816" i="1" s="1"/>
  <c r="R819" i="1" l="1"/>
  <c r="V820" i="1" s="1"/>
  <c r="T819" i="1"/>
  <c r="X820" i="1" s="1"/>
  <c r="S819" i="1"/>
  <c r="W820" i="1" s="1"/>
  <c r="M817" i="1"/>
  <c r="O817" i="1" s="1"/>
  <c r="Q817" i="1" s="1"/>
  <c r="L817" i="1"/>
  <c r="N817" i="1" s="1"/>
  <c r="P817" i="1" s="1"/>
  <c r="S820" i="1" l="1"/>
  <c r="W821" i="1" s="1"/>
  <c r="R820" i="1"/>
  <c r="V821" i="1" s="1"/>
  <c r="T820" i="1"/>
  <c r="X821" i="1" s="1"/>
  <c r="M818" i="1"/>
  <c r="O818" i="1" s="1"/>
  <c r="Q818" i="1" s="1"/>
  <c r="L818" i="1"/>
  <c r="N818" i="1" s="1"/>
  <c r="P818" i="1" s="1"/>
  <c r="S821" i="1" l="1"/>
  <c r="W822" i="1" s="1"/>
  <c r="T821" i="1"/>
  <c r="X822" i="1" s="1"/>
  <c r="R821" i="1"/>
  <c r="V822" i="1" s="1"/>
  <c r="M819" i="1"/>
  <c r="O819" i="1" s="1"/>
  <c r="Q819" i="1" s="1"/>
  <c r="L819" i="1"/>
  <c r="N819" i="1" s="1"/>
  <c r="P819" i="1" s="1"/>
  <c r="R822" i="1" l="1"/>
  <c r="V823" i="1" s="1"/>
  <c r="T822" i="1"/>
  <c r="X823" i="1" s="1"/>
  <c r="S822" i="1"/>
  <c r="W823" i="1" s="1"/>
  <c r="M820" i="1"/>
  <c r="O820" i="1" s="1"/>
  <c r="Q820" i="1" s="1"/>
  <c r="L820" i="1"/>
  <c r="N820" i="1" s="1"/>
  <c r="P820" i="1" s="1"/>
  <c r="R823" i="1" l="1"/>
  <c r="V824" i="1" s="1"/>
  <c r="S823" i="1"/>
  <c r="W824" i="1" s="1"/>
  <c r="T823" i="1"/>
  <c r="X824" i="1" s="1"/>
  <c r="M821" i="1"/>
  <c r="O821" i="1" s="1"/>
  <c r="Q821" i="1" s="1"/>
  <c r="L821" i="1"/>
  <c r="N821" i="1" s="1"/>
  <c r="P821" i="1" s="1"/>
  <c r="R824" i="1" l="1"/>
  <c r="V825" i="1" s="1"/>
  <c r="T824" i="1"/>
  <c r="X825" i="1" s="1"/>
  <c r="S824" i="1"/>
  <c r="W825" i="1" s="1"/>
  <c r="M822" i="1"/>
  <c r="O822" i="1" s="1"/>
  <c r="Q822" i="1" s="1"/>
  <c r="L822" i="1"/>
  <c r="N822" i="1" s="1"/>
  <c r="P822" i="1" s="1"/>
  <c r="T825" i="1" l="1"/>
  <c r="X826" i="1" s="1"/>
  <c r="S825" i="1"/>
  <c r="W826" i="1" s="1"/>
  <c r="R825" i="1"/>
  <c r="V826" i="1" s="1"/>
  <c r="M823" i="1"/>
  <c r="O823" i="1" s="1"/>
  <c r="Q823" i="1" s="1"/>
  <c r="L823" i="1"/>
  <c r="N823" i="1" s="1"/>
  <c r="P823" i="1" s="1"/>
  <c r="T826" i="1" l="1"/>
  <c r="X827" i="1" s="1"/>
  <c r="R826" i="1"/>
  <c r="V827" i="1" s="1"/>
  <c r="S826" i="1"/>
  <c r="W827" i="1" s="1"/>
  <c r="M824" i="1"/>
  <c r="O824" i="1" s="1"/>
  <c r="Q824" i="1" s="1"/>
  <c r="L824" i="1"/>
  <c r="N824" i="1" s="1"/>
  <c r="P824" i="1" s="1"/>
  <c r="S827" i="1" l="1"/>
  <c r="W828" i="1" s="1"/>
  <c r="R827" i="1"/>
  <c r="V828" i="1" s="1"/>
  <c r="T827" i="1"/>
  <c r="X828" i="1" s="1"/>
  <c r="M825" i="1"/>
  <c r="O825" i="1" s="1"/>
  <c r="Q825" i="1" s="1"/>
  <c r="L825" i="1"/>
  <c r="N825" i="1" s="1"/>
  <c r="P825" i="1" s="1"/>
  <c r="R828" i="1" l="1"/>
  <c r="V829" i="1" s="1"/>
  <c r="S828" i="1"/>
  <c r="W829" i="1" s="1"/>
  <c r="T828" i="1"/>
  <c r="X829" i="1" s="1"/>
  <c r="M826" i="1"/>
  <c r="O826" i="1" s="1"/>
  <c r="Q826" i="1" s="1"/>
  <c r="L826" i="1"/>
  <c r="N826" i="1" s="1"/>
  <c r="P826" i="1" s="1"/>
  <c r="R829" i="1" l="1"/>
  <c r="V830" i="1" s="1"/>
  <c r="T829" i="1"/>
  <c r="X830" i="1" s="1"/>
  <c r="S829" i="1"/>
  <c r="W830" i="1" s="1"/>
  <c r="M827" i="1"/>
  <c r="O827" i="1" s="1"/>
  <c r="Q827" i="1" s="1"/>
  <c r="L827" i="1"/>
  <c r="N827" i="1" s="1"/>
  <c r="P827" i="1" s="1"/>
  <c r="S830" i="1" l="1"/>
  <c r="W831" i="1" s="1"/>
  <c r="R830" i="1"/>
  <c r="V831" i="1" s="1"/>
  <c r="T830" i="1"/>
  <c r="X831" i="1" s="1"/>
  <c r="M828" i="1"/>
  <c r="O828" i="1" s="1"/>
  <c r="Q828" i="1" s="1"/>
  <c r="L828" i="1"/>
  <c r="N828" i="1" s="1"/>
  <c r="P828" i="1" s="1"/>
  <c r="R831" i="1" l="1"/>
  <c r="V832" i="1" s="1"/>
  <c r="T831" i="1"/>
  <c r="X832" i="1" s="1"/>
  <c r="S831" i="1"/>
  <c r="W832" i="1" s="1"/>
  <c r="M829" i="1"/>
  <c r="O829" i="1" s="1"/>
  <c r="Q829" i="1" s="1"/>
  <c r="L829" i="1"/>
  <c r="N829" i="1" s="1"/>
  <c r="P829" i="1" s="1"/>
  <c r="S832" i="1" l="1"/>
  <c r="W833" i="1" s="1"/>
  <c r="R832" i="1"/>
  <c r="V833" i="1" s="1"/>
  <c r="T832" i="1"/>
  <c r="X833" i="1" s="1"/>
  <c r="M830" i="1"/>
  <c r="O830" i="1" s="1"/>
  <c r="Q830" i="1" s="1"/>
  <c r="L830" i="1"/>
  <c r="N830" i="1" s="1"/>
  <c r="P830" i="1" s="1"/>
  <c r="S833" i="1" l="1"/>
  <c r="W834" i="1" s="1"/>
  <c r="R833" i="1"/>
  <c r="V834" i="1" s="1"/>
  <c r="T833" i="1"/>
  <c r="X834" i="1" s="1"/>
  <c r="M831" i="1"/>
  <c r="O831" i="1" s="1"/>
  <c r="Q831" i="1" s="1"/>
  <c r="L831" i="1"/>
  <c r="N831" i="1" s="1"/>
  <c r="P831" i="1" s="1"/>
  <c r="T834" i="1" l="1"/>
  <c r="X835" i="1" s="1"/>
  <c r="R834" i="1"/>
  <c r="V835" i="1" s="1"/>
  <c r="S834" i="1"/>
  <c r="W835" i="1" s="1"/>
  <c r="M832" i="1"/>
  <c r="O832" i="1" s="1"/>
  <c r="Q832" i="1" s="1"/>
  <c r="L832" i="1"/>
  <c r="N832" i="1" s="1"/>
  <c r="P832" i="1" s="1"/>
  <c r="S835" i="1" l="1"/>
  <c r="W836" i="1" s="1"/>
  <c r="R835" i="1"/>
  <c r="V836" i="1" s="1"/>
  <c r="T835" i="1"/>
  <c r="X836" i="1" s="1"/>
  <c r="L833" i="1"/>
  <c r="N833" i="1" s="1"/>
  <c r="P833" i="1" s="1"/>
  <c r="M833" i="1"/>
  <c r="O833" i="1" s="1"/>
  <c r="Q833" i="1" s="1"/>
  <c r="T836" i="1" l="1"/>
  <c r="X837" i="1" s="1"/>
  <c r="S836" i="1"/>
  <c r="W837" i="1" s="1"/>
  <c r="R836" i="1"/>
  <c r="V837" i="1" s="1"/>
  <c r="M834" i="1"/>
  <c r="O834" i="1" s="1"/>
  <c r="Q834" i="1" s="1"/>
  <c r="L834" i="1"/>
  <c r="N834" i="1" s="1"/>
  <c r="P834" i="1" s="1"/>
  <c r="R837" i="1" l="1"/>
  <c r="V838" i="1" s="1"/>
  <c r="S837" i="1"/>
  <c r="W838" i="1" s="1"/>
  <c r="T837" i="1"/>
  <c r="X838" i="1" s="1"/>
  <c r="M835" i="1"/>
  <c r="O835" i="1" s="1"/>
  <c r="Q835" i="1" s="1"/>
  <c r="L835" i="1"/>
  <c r="N835" i="1" s="1"/>
  <c r="P835" i="1" s="1"/>
  <c r="T838" i="1" l="1"/>
  <c r="X839" i="1" s="1"/>
  <c r="S838" i="1"/>
  <c r="W839" i="1" s="1"/>
  <c r="R838" i="1"/>
  <c r="V839" i="1" s="1"/>
  <c r="M836" i="1"/>
  <c r="O836" i="1" s="1"/>
  <c r="Q836" i="1" s="1"/>
  <c r="L836" i="1"/>
  <c r="N836" i="1" s="1"/>
  <c r="P836" i="1" s="1"/>
  <c r="T839" i="1" l="1"/>
  <c r="X840" i="1" s="1"/>
  <c r="R839" i="1"/>
  <c r="V840" i="1" s="1"/>
  <c r="S839" i="1"/>
  <c r="W840" i="1" s="1"/>
  <c r="M837" i="1"/>
  <c r="O837" i="1" s="1"/>
  <c r="Q837" i="1" s="1"/>
  <c r="L837" i="1"/>
  <c r="N837" i="1" s="1"/>
  <c r="P837" i="1" s="1"/>
  <c r="T840" i="1" l="1"/>
  <c r="X841" i="1" s="1"/>
  <c r="S840" i="1"/>
  <c r="W841" i="1" s="1"/>
  <c r="R840" i="1"/>
  <c r="V841" i="1" s="1"/>
  <c r="M838" i="1"/>
  <c r="O838" i="1" s="1"/>
  <c r="Q838" i="1" s="1"/>
  <c r="L838" i="1"/>
  <c r="N838" i="1" s="1"/>
  <c r="P838" i="1" s="1"/>
  <c r="R841" i="1" l="1"/>
  <c r="V842" i="1" s="1"/>
  <c r="S841" i="1"/>
  <c r="W842" i="1" s="1"/>
  <c r="T841" i="1"/>
  <c r="X842" i="1" s="1"/>
  <c r="M839" i="1"/>
  <c r="O839" i="1" s="1"/>
  <c r="Q839" i="1" s="1"/>
  <c r="L839" i="1"/>
  <c r="N839" i="1" s="1"/>
  <c r="P839" i="1" s="1"/>
  <c r="T842" i="1" l="1"/>
  <c r="X843" i="1" s="1"/>
  <c r="S842" i="1"/>
  <c r="W843" i="1" s="1"/>
  <c r="R842" i="1"/>
  <c r="V843" i="1" s="1"/>
  <c r="M840" i="1"/>
  <c r="O840" i="1" s="1"/>
  <c r="Q840" i="1" s="1"/>
  <c r="L840" i="1"/>
  <c r="N840" i="1" s="1"/>
  <c r="P840" i="1" s="1"/>
  <c r="R843" i="1" l="1"/>
  <c r="V844" i="1" s="1"/>
  <c r="S843" i="1"/>
  <c r="W844" i="1" s="1"/>
  <c r="T843" i="1"/>
  <c r="X844" i="1" s="1"/>
  <c r="M841" i="1"/>
  <c r="O841" i="1" s="1"/>
  <c r="Q841" i="1" s="1"/>
  <c r="L841" i="1"/>
  <c r="N841" i="1" s="1"/>
  <c r="P841" i="1" s="1"/>
  <c r="R844" i="1" l="1"/>
  <c r="V845" i="1" s="1"/>
  <c r="S844" i="1"/>
  <c r="W845" i="1" s="1"/>
  <c r="T844" i="1"/>
  <c r="X845" i="1" s="1"/>
  <c r="M842" i="1"/>
  <c r="O842" i="1" s="1"/>
  <c r="Q842" i="1" s="1"/>
  <c r="L842" i="1"/>
  <c r="N842" i="1" s="1"/>
  <c r="P842" i="1" s="1"/>
  <c r="T845" i="1" l="1"/>
  <c r="X846" i="1" s="1"/>
  <c r="S845" i="1"/>
  <c r="W846" i="1" s="1"/>
  <c r="R845" i="1"/>
  <c r="V846" i="1" s="1"/>
  <c r="M843" i="1"/>
  <c r="O843" i="1" s="1"/>
  <c r="Q843" i="1" s="1"/>
  <c r="L843" i="1"/>
  <c r="N843" i="1" s="1"/>
  <c r="P843" i="1" s="1"/>
  <c r="T846" i="1" l="1"/>
  <c r="X847" i="1" s="1"/>
  <c r="R846" i="1"/>
  <c r="V847" i="1" s="1"/>
  <c r="S846" i="1"/>
  <c r="W847" i="1" s="1"/>
  <c r="M844" i="1"/>
  <c r="O844" i="1" s="1"/>
  <c r="Q844" i="1" s="1"/>
  <c r="L844" i="1"/>
  <c r="N844" i="1" s="1"/>
  <c r="P844" i="1" s="1"/>
  <c r="S847" i="1" l="1"/>
  <c r="W848" i="1" s="1"/>
  <c r="R847" i="1"/>
  <c r="V848" i="1" s="1"/>
  <c r="T847" i="1"/>
  <c r="X848" i="1" s="1"/>
  <c r="M845" i="1"/>
  <c r="O845" i="1" s="1"/>
  <c r="Q845" i="1" s="1"/>
  <c r="L845" i="1"/>
  <c r="N845" i="1" s="1"/>
  <c r="P845" i="1" s="1"/>
  <c r="T848" i="1" l="1"/>
  <c r="X849" i="1" s="1"/>
  <c r="R848" i="1"/>
  <c r="V849" i="1" s="1"/>
  <c r="S848" i="1"/>
  <c r="W849" i="1" s="1"/>
  <c r="M846" i="1"/>
  <c r="O846" i="1" s="1"/>
  <c r="Q846" i="1" s="1"/>
  <c r="L846" i="1"/>
  <c r="N846" i="1" s="1"/>
  <c r="P846" i="1" s="1"/>
  <c r="S849" i="1" l="1"/>
  <c r="W850" i="1" s="1"/>
  <c r="R849" i="1"/>
  <c r="V850" i="1" s="1"/>
  <c r="T849" i="1"/>
  <c r="X850" i="1" s="1"/>
  <c r="M847" i="1"/>
  <c r="O847" i="1" s="1"/>
  <c r="Q847" i="1" s="1"/>
  <c r="L847" i="1"/>
  <c r="N847" i="1" s="1"/>
  <c r="P847" i="1" s="1"/>
  <c r="T850" i="1" l="1"/>
  <c r="X851" i="1" s="1"/>
  <c r="R850" i="1"/>
  <c r="V851" i="1"/>
  <c r="S850" i="1"/>
  <c r="W851" i="1" s="1"/>
  <c r="M848" i="1"/>
  <c r="O848" i="1" s="1"/>
  <c r="Q848" i="1" s="1"/>
  <c r="L848" i="1"/>
  <c r="N848" i="1" s="1"/>
  <c r="P848" i="1" s="1"/>
  <c r="S851" i="1" l="1"/>
  <c r="W852" i="1" s="1"/>
  <c r="T851" i="1"/>
  <c r="X852" i="1" s="1"/>
  <c r="R851" i="1"/>
  <c r="V852" i="1" s="1"/>
  <c r="M849" i="1"/>
  <c r="O849" i="1" s="1"/>
  <c r="Q849" i="1" s="1"/>
  <c r="L849" i="1"/>
  <c r="N849" i="1" s="1"/>
  <c r="P849" i="1" s="1"/>
  <c r="R852" i="1" l="1"/>
  <c r="V853" i="1" s="1"/>
  <c r="S852" i="1"/>
  <c r="W853" i="1" s="1"/>
  <c r="T852" i="1"/>
  <c r="X853" i="1" s="1"/>
  <c r="M850" i="1"/>
  <c r="O850" i="1" s="1"/>
  <c r="Q850" i="1" s="1"/>
  <c r="L850" i="1"/>
  <c r="N850" i="1" s="1"/>
  <c r="P850" i="1" s="1"/>
  <c r="S853" i="1" l="1"/>
  <c r="W854" i="1" s="1"/>
  <c r="T853" i="1"/>
  <c r="X854" i="1"/>
  <c r="R853" i="1"/>
  <c r="V854" i="1" s="1"/>
  <c r="L851" i="1"/>
  <c r="N851" i="1" s="1"/>
  <c r="P851" i="1" s="1"/>
  <c r="M851" i="1"/>
  <c r="O851" i="1" s="1"/>
  <c r="Q851" i="1" s="1"/>
  <c r="R854" i="1" l="1"/>
  <c r="V855" i="1" s="1"/>
  <c r="S854" i="1"/>
  <c r="W855" i="1" s="1"/>
  <c r="T854" i="1"/>
  <c r="X855" i="1" s="1"/>
  <c r="M852" i="1"/>
  <c r="O852" i="1" s="1"/>
  <c r="Q852" i="1" s="1"/>
  <c r="L852" i="1"/>
  <c r="N852" i="1" s="1"/>
  <c r="P852" i="1" s="1"/>
  <c r="T855" i="1" l="1"/>
  <c r="X856" i="1" s="1"/>
  <c r="S855" i="1"/>
  <c r="W856" i="1" s="1"/>
  <c r="R855" i="1"/>
  <c r="V856" i="1" s="1"/>
  <c r="M853" i="1"/>
  <c r="O853" i="1" s="1"/>
  <c r="Q853" i="1" s="1"/>
  <c r="L853" i="1"/>
  <c r="N853" i="1" s="1"/>
  <c r="P853" i="1" s="1"/>
  <c r="T856" i="1" l="1"/>
  <c r="X857" i="1" s="1"/>
  <c r="S856" i="1"/>
  <c r="W857" i="1" s="1"/>
  <c r="R856" i="1"/>
  <c r="V857" i="1" s="1"/>
  <c r="M854" i="1"/>
  <c r="O854" i="1" s="1"/>
  <c r="Q854" i="1" s="1"/>
  <c r="L854" i="1"/>
  <c r="N854" i="1" s="1"/>
  <c r="P854" i="1" s="1"/>
  <c r="S857" i="1" l="1"/>
  <c r="W858" i="1" s="1"/>
  <c r="T857" i="1"/>
  <c r="X858" i="1" s="1"/>
  <c r="R857" i="1"/>
  <c r="V858" i="1" s="1"/>
  <c r="M855" i="1"/>
  <c r="O855" i="1" s="1"/>
  <c r="Q855" i="1" s="1"/>
  <c r="L855" i="1"/>
  <c r="N855" i="1" s="1"/>
  <c r="P855" i="1" s="1"/>
  <c r="R858" i="1" l="1"/>
  <c r="V859" i="1" s="1"/>
  <c r="S858" i="1"/>
  <c r="W859" i="1" s="1"/>
  <c r="T858" i="1"/>
  <c r="X859" i="1" s="1"/>
  <c r="M856" i="1"/>
  <c r="O856" i="1" s="1"/>
  <c r="Q856" i="1" s="1"/>
  <c r="L856" i="1"/>
  <c r="N856" i="1" s="1"/>
  <c r="P856" i="1" s="1"/>
  <c r="T859" i="1" l="1"/>
  <c r="X860" i="1" s="1"/>
  <c r="S859" i="1"/>
  <c r="W860" i="1" s="1"/>
  <c r="R859" i="1"/>
  <c r="V860" i="1" s="1"/>
  <c r="M857" i="1"/>
  <c r="O857" i="1" s="1"/>
  <c r="Q857" i="1" s="1"/>
  <c r="L857" i="1"/>
  <c r="N857" i="1" s="1"/>
  <c r="P857" i="1" s="1"/>
  <c r="R860" i="1" l="1"/>
  <c r="V861" i="1" s="1"/>
  <c r="S860" i="1"/>
  <c r="W861" i="1" s="1"/>
  <c r="T860" i="1"/>
  <c r="X861" i="1" s="1"/>
  <c r="M858" i="1"/>
  <c r="O858" i="1" s="1"/>
  <c r="Q858" i="1" s="1"/>
  <c r="L858" i="1"/>
  <c r="N858" i="1" s="1"/>
  <c r="P858" i="1" s="1"/>
  <c r="T861" i="1" l="1"/>
  <c r="X862" i="1" s="1"/>
  <c r="R861" i="1"/>
  <c r="V862" i="1" s="1"/>
  <c r="S861" i="1"/>
  <c r="W862" i="1" s="1"/>
  <c r="M859" i="1"/>
  <c r="O859" i="1" s="1"/>
  <c r="Q859" i="1" s="1"/>
  <c r="L859" i="1"/>
  <c r="N859" i="1" s="1"/>
  <c r="P859" i="1" s="1"/>
  <c r="T862" i="1" l="1"/>
  <c r="X863" i="1" s="1"/>
  <c r="S862" i="1"/>
  <c r="W863" i="1" s="1"/>
  <c r="R862" i="1"/>
  <c r="V863" i="1" s="1"/>
  <c r="M860" i="1"/>
  <c r="O860" i="1" s="1"/>
  <c r="Q860" i="1" s="1"/>
  <c r="L860" i="1"/>
  <c r="N860" i="1" s="1"/>
  <c r="P860" i="1" s="1"/>
  <c r="T863" i="1" l="1"/>
  <c r="X864" i="1" s="1"/>
  <c r="R863" i="1"/>
  <c r="V864" i="1" s="1"/>
  <c r="S863" i="1"/>
  <c r="W864" i="1" s="1"/>
  <c r="M861" i="1"/>
  <c r="O861" i="1" s="1"/>
  <c r="Q861" i="1" s="1"/>
  <c r="L861" i="1"/>
  <c r="N861" i="1" s="1"/>
  <c r="P861" i="1" s="1"/>
  <c r="T864" i="1" l="1"/>
  <c r="X865" i="1" s="1"/>
  <c r="S864" i="1"/>
  <c r="W865" i="1" s="1"/>
  <c r="R864" i="1"/>
  <c r="V865" i="1" s="1"/>
  <c r="M862" i="1"/>
  <c r="O862" i="1" s="1"/>
  <c r="Q862" i="1" s="1"/>
  <c r="L862" i="1"/>
  <c r="N862" i="1" s="1"/>
  <c r="P862" i="1" s="1"/>
  <c r="S865" i="1" l="1"/>
  <c r="W866" i="1" s="1"/>
  <c r="T865" i="1"/>
  <c r="X866" i="1" s="1"/>
  <c r="R865" i="1"/>
  <c r="V866" i="1" s="1"/>
  <c r="M863" i="1"/>
  <c r="O863" i="1" s="1"/>
  <c r="Q863" i="1" s="1"/>
  <c r="L863" i="1"/>
  <c r="N863" i="1" s="1"/>
  <c r="P863" i="1" s="1"/>
  <c r="R866" i="1" l="1"/>
  <c r="V867" i="1" s="1"/>
  <c r="T866" i="1"/>
  <c r="X867" i="1" s="1"/>
  <c r="S866" i="1"/>
  <c r="W867" i="1" s="1"/>
  <c r="M864" i="1"/>
  <c r="O864" i="1" s="1"/>
  <c r="Q864" i="1" s="1"/>
  <c r="L864" i="1"/>
  <c r="N864" i="1" s="1"/>
  <c r="P864" i="1" s="1"/>
  <c r="S867" i="1" l="1"/>
  <c r="W868" i="1" s="1"/>
  <c r="T867" i="1"/>
  <c r="X868" i="1" s="1"/>
  <c r="R867" i="1"/>
  <c r="V868" i="1" s="1"/>
  <c r="M865" i="1"/>
  <c r="O865" i="1" s="1"/>
  <c r="Q865" i="1" s="1"/>
  <c r="L865" i="1"/>
  <c r="N865" i="1" s="1"/>
  <c r="P865" i="1" s="1"/>
  <c r="R868" i="1" l="1"/>
  <c r="V869" i="1" s="1"/>
  <c r="S868" i="1"/>
  <c r="W869" i="1" s="1"/>
  <c r="T868" i="1"/>
  <c r="X869" i="1" s="1"/>
  <c r="M866" i="1"/>
  <c r="O866" i="1" s="1"/>
  <c r="Q866" i="1" s="1"/>
  <c r="L866" i="1"/>
  <c r="N866" i="1" s="1"/>
  <c r="P866" i="1" s="1"/>
  <c r="T869" i="1" l="1"/>
  <c r="X870" i="1" s="1"/>
  <c r="S869" i="1"/>
  <c r="W870" i="1" s="1"/>
  <c r="R869" i="1"/>
  <c r="V870" i="1" s="1"/>
  <c r="M867" i="1"/>
  <c r="O867" i="1" s="1"/>
  <c r="Q867" i="1" s="1"/>
  <c r="L867" i="1"/>
  <c r="N867" i="1" s="1"/>
  <c r="P867" i="1" s="1"/>
  <c r="R870" i="1" l="1"/>
  <c r="V871" i="1" s="1"/>
  <c r="S870" i="1"/>
  <c r="W871" i="1" s="1"/>
  <c r="T870" i="1"/>
  <c r="X871" i="1" s="1"/>
  <c r="M868" i="1"/>
  <c r="O868" i="1" s="1"/>
  <c r="Q868" i="1" s="1"/>
  <c r="L868" i="1"/>
  <c r="N868" i="1" s="1"/>
  <c r="P868" i="1" s="1"/>
  <c r="T871" i="1" l="1"/>
  <c r="X872" i="1" s="1"/>
  <c r="S871" i="1"/>
  <c r="W872" i="1" s="1"/>
  <c r="R871" i="1"/>
  <c r="V872" i="1" s="1"/>
  <c r="M869" i="1"/>
  <c r="O869" i="1" s="1"/>
  <c r="Q869" i="1" s="1"/>
  <c r="L869" i="1"/>
  <c r="N869" i="1" s="1"/>
  <c r="P869" i="1" s="1"/>
  <c r="T872" i="1" l="1"/>
  <c r="X873" i="1" s="1"/>
  <c r="R872" i="1"/>
  <c r="V873" i="1" s="1"/>
  <c r="S872" i="1"/>
  <c r="W873" i="1" s="1"/>
  <c r="M870" i="1"/>
  <c r="O870" i="1" s="1"/>
  <c r="Q870" i="1" s="1"/>
  <c r="L870" i="1"/>
  <c r="N870" i="1" s="1"/>
  <c r="P870" i="1" s="1"/>
  <c r="S873" i="1" l="1"/>
  <c r="W874" i="1" s="1"/>
  <c r="R873" i="1"/>
  <c r="V874" i="1" s="1"/>
  <c r="T873" i="1"/>
  <c r="X874" i="1" s="1"/>
  <c r="M871" i="1"/>
  <c r="O871" i="1" s="1"/>
  <c r="Q871" i="1" s="1"/>
  <c r="L871" i="1"/>
  <c r="N871" i="1" s="1"/>
  <c r="P871" i="1" s="1"/>
  <c r="R874" i="1" l="1"/>
  <c r="V875" i="1" s="1"/>
  <c r="S874" i="1"/>
  <c r="W875" i="1" s="1"/>
  <c r="T874" i="1"/>
  <c r="X875" i="1" s="1"/>
  <c r="M872" i="1"/>
  <c r="O872" i="1" s="1"/>
  <c r="Q872" i="1" s="1"/>
  <c r="L872" i="1"/>
  <c r="N872" i="1" s="1"/>
  <c r="P872" i="1" s="1"/>
  <c r="R875" i="1" l="1"/>
  <c r="V876" i="1" s="1"/>
  <c r="T875" i="1"/>
  <c r="X876" i="1"/>
  <c r="S875" i="1"/>
  <c r="W876" i="1" s="1"/>
  <c r="M873" i="1"/>
  <c r="O873" i="1" s="1"/>
  <c r="Q873" i="1" s="1"/>
  <c r="L873" i="1"/>
  <c r="N873" i="1" s="1"/>
  <c r="P873" i="1" s="1"/>
  <c r="R876" i="1" l="1"/>
  <c r="V877" i="1" s="1"/>
  <c r="S876" i="1"/>
  <c r="W877" i="1" s="1"/>
  <c r="T876" i="1"/>
  <c r="X877" i="1" s="1"/>
  <c r="M874" i="1"/>
  <c r="O874" i="1" s="1"/>
  <c r="Q874" i="1" s="1"/>
  <c r="L874" i="1"/>
  <c r="N874" i="1" s="1"/>
  <c r="P874" i="1" s="1"/>
  <c r="T877" i="1" l="1"/>
  <c r="X878" i="1" s="1"/>
  <c r="S877" i="1"/>
  <c r="W878" i="1" s="1"/>
  <c r="R877" i="1"/>
  <c r="V878" i="1" s="1"/>
  <c r="M875" i="1"/>
  <c r="O875" i="1" s="1"/>
  <c r="Q875" i="1" s="1"/>
  <c r="L875" i="1"/>
  <c r="N875" i="1" s="1"/>
  <c r="P875" i="1" s="1"/>
  <c r="T878" i="1" l="1"/>
  <c r="X879" i="1" s="1"/>
  <c r="R878" i="1"/>
  <c r="V879" i="1" s="1"/>
  <c r="S878" i="1"/>
  <c r="W879" i="1" s="1"/>
  <c r="M876" i="1"/>
  <c r="O876" i="1" s="1"/>
  <c r="Q876" i="1" s="1"/>
  <c r="L876" i="1"/>
  <c r="N876" i="1" s="1"/>
  <c r="P876" i="1" s="1"/>
  <c r="T879" i="1" l="1"/>
  <c r="X880" i="1" s="1"/>
  <c r="S879" i="1"/>
  <c r="W880" i="1" s="1"/>
  <c r="R879" i="1"/>
  <c r="V880" i="1" s="1"/>
  <c r="M877" i="1"/>
  <c r="O877" i="1" s="1"/>
  <c r="Q877" i="1" s="1"/>
  <c r="L877" i="1"/>
  <c r="N877" i="1" s="1"/>
  <c r="P877" i="1" s="1"/>
  <c r="R880" i="1" l="1"/>
  <c r="V881" i="1" s="1"/>
  <c r="S880" i="1"/>
  <c r="W881" i="1" s="1"/>
  <c r="T880" i="1"/>
  <c r="X881" i="1" s="1"/>
  <c r="M878" i="1"/>
  <c r="O878" i="1" s="1"/>
  <c r="Q878" i="1" s="1"/>
  <c r="L878" i="1"/>
  <c r="N878" i="1" s="1"/>
  <c r="P878" i="1" s="1"/>
  <c r="T881" i="1" l="1"/>
  <c r="X882" i="1" s="1"/>
  <c r="R881" i="1"/>
  <c r="V882" i="1" s="1"/>
  <c r="S881" i="1"/>
  <c r="W882" i="1" s="1"/>
  <c r="M879" i="1"/>
  <c r="O879" i="1" s="1"/>
  <c r="Q879" i="1" s="1"/>
  <c r="L879" i="1"/>
  <c r="N879" i="1" s="1"/>
  <c r="P879" i="1" s="1"/>
  <c r="S882" i="1" l="1"/>
  <c r="W883" i="1" s="1"/>
  <c r="R882" i="1"/>
  <c r="V883" i="1" s="1"/>
  <c r="T882" i="1"/>
  <c r="X883" i="1" s="1"/>
  <c r="M880" i="1"/>
  <c r="O880" i="1" s="1"/>
  <c r="Q880" i="1" s="1"/>
  <c r="L880" i="1"/>
  <c r="N880" i="1" s="1"/>
  <c r="P880" i="1" s="1"/>
  <c r="T883" i="1" l="1"/>
  <c r="X884" i="1" s="1"/>
  <c r="R883" i="1"/>
  <c r="V884" i="1" s="1"/>
  <c r="S883" i="1"/>
  <c r="W884" i="1" s="1"/>
  <c r="M881" i="1"/>
  <c r="O881" i="1" s="1"/>
  <c r="Q881" i="1" s="1"/>
  <c r="L881" i="1"/>
  <c r="N881" i="1" s="1"/>
  <c r="P881" i="1" s="1"/>
  <c r="T884" i="1" l="1"/>
  <c r="X885" i="1" s="1"/>
  <c r="S884" i="1"/>
  <c r="W885" i="1" s="1"/>
  <c r="R884" i="1"/>
  <c r="V885" i="1" s="1"/>
  <c r="M882" i="1"/>
  <c r="O882" i="1" s="1"/>
  <c r="Q882" i="1" s="1"/>
  <c r="L882" i="1"/>
  <c r="N882" i="1" s="1"/>
  <c r="P882" i="1" s="1"/>
  <c r="R885" i="1" l="1"/>
  <c r="V886" i="1" s="1"/>
  <c r="S885" i="1"/>
  <c r="W886" i="1" s="1"/>
  <c r="T885" i="1"/>
  <c r="X886" i="1" s="1"/>
  <c r="M883" i="1"/>
  <c r="O883" i="1" s="1"/>
  <c r="Q883" i="1" s="1"/>
  <c r="L883" i="1"/>
  <c r="N883" i="1" s="1"/>
  <c r="P883" i="1" s="1"/>
  <c r="R886" i="1" l="1"/>
  <c r="V887" i="1" s="1"/>
  <c r="T886" i="1"/>
  <c r="X887" i="1" s="1"/>
  <c r="S886" i="1"/>
  <c r="W887" i="1" s="1"/>
  <c r="M884" i="1"/>
  <c r="O884" i="1" s="1"/>
  <c r="Q884" i="1" s="1"/>
  <c r="L884" i="1"/>
  <c r="N884" i="1" s="1"/>
  <c r="P884" i="1" s="1"/>
  <c r="S887" i="1" l="1"/>
  <c r="W888" i="1" s="1"/>
  <c r="T887" i="1"/>
  <c r="X888" i="1" s="1"/>
  <c r="R887" i="1"/>
  <c r="V888" i="1" s="1"/>
  <c r="M885" i="1"/>
  <c r="O885" i="1" s="1"/>
  <c r="Q885" i="1" s="1"/>
  <c r="L885" i="1"/>
  <c r="N885" i="1" s="1"/>
  <c r="P885" i="1" s="1"/>
  <c r="S888" i="1" l="1"/>
  <c r="W889" i="1" s="1"/>
  <c r="R888" i="1"/>
  <c r="V889" i="1" s="1"/>
  <c r="T888" i="1"/>
  <c r="X889" i="1" s="1"/>
  <c r="M886" i="1"/>
  <c r="O886" i="1" s="1"/>
  <c r="Q886" i="1" s="1"/>
  <c r="L886" i="1"/>
  <c r="N886" i="1" s="1"/>
  <c r="P886" i="1" s="1"/>
  <c r="R889" i="1" l="1"/>
  <c r="V890" i="1" s="1"/>
  <c r="S889" i="1"/>
  <c r="W890" i="1" s="1"/>
  <c r="T889" i="1"/>
  <c r="X890" i="1" s="1"/>
  <c r="L887" i="1"/>
  <c r="N887" i="1" s="1"/>
  <c r="P887" i="1" s="1"/>
  <c r="M887" i="1"/>
  <c r="O887" i="1" s="1"/>
  <c r="Q887" i="1" s="1"/>
  <c r="T890" i="1" l="1"/>
  <c r="X891" i="1" s="1"/>
  <c r="S890" i="1"/>
  <c r="W891" i="1" s="1"/>
  <c r="R890" i="1"/>
  <c r="V891" i="1" s="1"/>
  <c r="M888" i="1"/>
  <c r="O888" i="1" s="1"/>
  <c r="Q888" i="1" s="1"/>
  <c r="L888" i="1"/>
  <c r="N888" i="1" s="1"/>
  <c r="P888" i="1" s="1"/>
  <c r="R891" i="1" l="1"/>
  <c r="V892" i="1" s="1"/>
  <c r="S891" i="1"/>
  <c r="W892" i="1" s="1"/>
  <c r="T891" i="1"/>
  <c r="X892" i="1" s="1"/>
  <c r="M889" i="1"/>
  <c r="O889" i="1" s="1"/>
  <c r="Q889" i="1" s="1"/>
  <c r="L889" i="1"/>
  <c r="N889" i="1" s="1"/>
  <c r="P889" i="1" s="1"/>
  <c r="T892" i="1" l="1"/>
  <c r="X893" i="1" s="1"/>
  <c r="S892" i="1"/>
  <c r="W893" i="1" s="1"/>
  <c r="R892" i="1"/>
  <c r="V893" i="1" s="1"/>
  <c r="M890" i="1"/>
  <c r="O890" i="1" s="1"/>
  <c r="Q890" i="1" s="1"/>
  <c r="L890" i="1"/>
  <c r="N890" i="1" s="1"/>
  <c r="P890" i="1" s="1"/>
  <c r="R893" i="1" l="1"/>
  <c r="V894" i="1" s="1"/>
  <c r="S893" i="1"/>
  <c r="W894" i="1" s="1"/>
  <c r="T893" i="1"/>
  <c r="X894" i="1" s="1"/>
  <c r="M891" i="1"/>
  <c r="O891" i="1" s="1"/>
  <c r="Q891" i="1" s="1"/>
  <c r="L891" i="1"/>
  <c r="N891" i="1" s="1"/>
  <c r="P891" i="1" s="1"/>
  <c r="S894" i="1" l="1"/>
  <c r="W895" i="1" s="1"/>
  <c r="T894" i="1"/>
  <c r="X895" i="1" s="1"/>
  <c r="R894" i="1"/>
  <c r="V895" i="1" s="1"/>
  <c r="M892" i="1"/>
  <c r="O892" i="1" s="1"/>
  <c r="Q892" i="1" s="1"/>
  <c r="L892" i="1"/>
  <c r="N892" i="1" s="1"/>
  <c r="P892" i="1" s="1"/>
  <c r="S895" i="1" l="1"/>
  <c r="W896" i="1" s="1"/>
  <c r="T895" i="1"/>
  <c r="X896" i="1" s="1"/>
  <c r="R895" i="1"/>
  <c r="V896" i="1" s="1"/>
  <c r="M893" i="1"/>
  <c r="O893" i="1" s="1"/>
  <c r="Q893" i="1" s="1"/>
  <c r="L893" i="1"/>
  <c r="N893" i="1" s="1"/>
  <c r="P893" i="1" s="1"/>
  <c r="S896" i="1" l="1"/>
  <c r="W897" i="1" s="1"/>
  <c r="R896" i="1"/>
  <c r="V897" i="1" s="1"/>
  <c r="T896" i="1"/>
  <c r="X897" i="1" s="1"/>
  <c r="M894" i="1"/>
  <c r="O894" i="1" s="1"/>
  <c r="Q894" i="1" s="1"/>
  <c r="L894" i="1"/>
  <c r="N894" i="1" s="1"/>
  <c r="P894" i="1" s="1"/>
  <c r="T897" i="1" l="1"/>
  <c r="X898" i="1" s="1"/>
  <c r="R897" i="1"/>
  <c r="V898" i="1" s="1"/>
  <c r="S897" i="1"/>
  <c r="W898" i="1" s="1"/>
  <c r="M895" i="1"/>
  <c r="O895" i="1" s="1"/>
  <c r="Q895" i="1" s="1"/>
  <c r="L895" i="1"/>
  <c r="N895" i="1" s="1"/>
  <c r="P895" i="1" s="1"/>
  <c r="S898" i="1" l="1"/>
  <c r="W899" i="1" s="1"/>
  <c r="R898" i="1"/>
  <c r="V899" i="1" s="1"/>
  <c r="T898" i="1"/>
  <c r="X899" i="1" s="1"/>
  <c r="L896" i="1"/>
  <c r="N896" i="1" s="1"/>
  <c r="P896" i="1" s="1"/>
  <c r="M896" i="1"/>
  <c r="O896" i="1" s="1"/>
  <c r="Q896" i="1" s="1"/>
  <c r="S899" i="1" l="1"/>
  <c r="W900" i="1" s="1"/>
  <c r="R899" i="1"/>
  <c r="V900" i="1" s="1"/>
  <c r="T899" i="1"/>
  <c r="X900" i="1" s="1"/>
  <c r="M897" i="1"/>
  <c r="O897" i="1" s="1"/>
  <c r="Q897" i="1" s="1"/>
  <c r="L897" i="1"/>
  <c r="N897" i="1" s="1"/>
  <c r="P897" i="1" s="1"/>
  <c r="T900" i="1" l="1"/>
  <c r="X901" i="1" s="1"/>
  <c r="S900" i="1"/>
  <c r="W901" i="1" s="1"/>
  <c r="R900" i="1"/>
  <c r="V901" i="1" s="1"/>
  <c r="M898" i="1"/>
  <c r="O898" i="1" s="1"/>
  <c r="Q898" i="1" s="1"/>
  <c r="L898" i="1"/>
  <c r="N898" i="1" s="1"/>
  <c r="P898" i="1" s="1"/>
  <c r="R901" i="1" l="1"/>
  <c r="V902" i="1" s="1"/>
  <c r="S901" i="1"/>
  <c r="W902" i="1" s="1"/>
  <c r="T901" i="1"/>
  <c r="X902" i="1" s="1"/>
  <c r="M899" i="1"/>
  <c r="O899" i="1" s="1"/>
  <c r="Q899" i="1" s="1"/>
  <c r="L899" i="1"/>
  <c r="N899" i="1" s="1"/>
  <c r="P899" i="1" s="1"/>
  <c r="R902" i="1" l="1"/>
  <c r="V903" i="1" s="1"/>
  <c r="S902" i="1"/>
  <c r="W903" i="1" s="1"/>
  <c r="T902" i="1"/>
  <c r="X903" i="1" s="1"/>
  <c r="L900" i="1"/>
  <c r="N900" i="1" s="1"/>
  <c r="P900" i="1" s="1"/>
  <c r="M900" i="1"/>
  <c r="O900" i="1" s="1"/>
  <c r="Q900" i="1" s="1"/>
  <c r="T903" i="1" l="1"/>
  <c r="X904" i="1" s="1"/>
  <c r="S903" i="1"/>
  <c r="W904" i="1" s="1"/>
  <c r="R903" i="1"/>
  <c r="V904" i="1" s="1"/>
  <c r="M901" i="1"/>
  <c r="O901" i="1" s="1"/>
  <c r="Q901" i="1" s="1"/>
  <c r="L901" i="1"/>
  <c r="N901" i="1" s="1"/>
  <c r="P901" i="1" s="1"/>
  <c r="T904" i="1" l="1"/>
  <c r="X905" i="1" s="1"/>
  <c r="S904" i="1"/>
  <c r="W905" i="1" s="1"/>
  <c r="R904" i="1"/>
  <c r="V905" i="1" s="1"/>
  <c r="M902" i="1"/>
  <c r="O902" i="1" s="1"/>
  <c r="Q902" i="1" s="1"/>
  <c r="L902" i="1"/>
  <c r="N902" i="1" s="1"/>
  <c r="P902" i="1" s="1"/>
  <c r="R905" i="1" l="1"/>
  <c r="V906" i="1" s="1"/>
  <c r="S905" i="1"/>
  <c r="W906" i="1" s="1"/>
  <c r="T905" i="1"/>
  <c r="X906" i="1" s="1"/>
  <c r="M903" i="1"/>
  <c r="O903" i="1" s="1"/>
  <c r="Q903" i="1" s="1"/>
  <c r="L903" i="1"/>
  <c r="N903" i="1" s="1"/>
  <c r="P903" i="1" s="1"/>
  <c r="S906" i="1" l="1"/>
  <c r="W907" i="1" s="1"/>
  <c r="R906" i="1"/>
  <c r="V907" i="1" s="1"/>
  <c r="T906" i="1"/>
  <c r="X907" i="1" s="1"/>
  <c r="M904" i="1"/>
  <c r="O904" i="1" s="1"/>
  <c r="Q904" i="1" s="1"/>
  <c r="L904" i="1"/>
  <c r="N904" i="1" s="1"/>
  <c r="P904" i="1" s="1"/>
  <c r="S907" i="1" l="1"/>
  <c r="W908" i="1" s="1"/>
  <c r="T907" i="1"/>
  <c r="X908" i="1" s="1"/>
  <c r="R907" i="1"/>
  <c r="V908" i="1" s="1"/>
  <c r="M905" i="1"/>
  <c r="O905" i="1" s="1"/>
  <c r="Q905" i="1" s="1"/>
  <c r="L905" i="1"/>
  <c r="N905" i="1" s="1"/>
  <c r="P905" i="1" s="1"/>
  <c r="R908" i="1" l="1"/>
  <c r="V909" i="1" s="1"/>
  <c r="S908" i="1"/>
  <c r="W909" i="1" s="1"/>
  <c r="T908" i="1"/>
  <c r="X909" i="1" s="1"/>
  <c r="M906" i="1"/>
  <c r="O906" i="1" s="1"/>
  <c r="Q906" i="1" s="1"/>
  <c r="L906" i="1"/>
  <c r="N906" i="1" s="1"/>
  <c r="P906" i="1" s="1"/>
  <c r="R909" i="1" l="1"/>
  <c r="V910" i="1" s="1"/>
  <c r="T909" i="1"/>
  <c r="X910" i="1" s="1"/>
  <c r="S909" i="1"/>
  <c r="W910" i="1" s="1"/>
  <c r="M907" i="1"/>
  <c r="O907" i="1" s="1"/>
  <c r="Q907" i="1" s="1"/>
  <c r="L907" i="1"/>
  <c r="N907" i="1" s="1"/>
  <c r="P907" i="1" s="1"/>
  <c r="S910" i="1" l="1"/>
  <c r="W911" i="1" s="1"/>
  <c r="R910" i="1"/>
  <c r="V911" i="1" s="1"/>
  <c r="T910" i="1"/>
  <c r="X911" i="1" s="1"/>
  <c r="M908" i="1"/>
  <c r="O908" i="1" s="1"/>
  <c r="Q908" i="1" s="1"/>
  <c r="L908" i="1"/>
  <c r="N908" i="1" s="1"/>
  <c r="P908" i="1" s="1"/>
  <c r="T911" i="1" l="1"/>
  <c r="X912" i="1" s="1"/>
  <c r="S911" i="1"/>
  <c r="W912" i="1" s="1"/>
  <c r="R911" i="1"/>
  <c r="V912" i="1" s="1"/>
  <c r="M909" i="1"/>
  <c r="O909" i="1" s="1"/>
  <c r="Q909" i="1" s="1"/>
  <c r="L909" i="1"/>
  <c r="N909" i="1" s="1"/>
  <c r="P909" i="1" s="1"/>
  <c r="R912" i="1" l="1"/>
  <c r="V913" i="1" s="1"/>
  <c r="S912" i="1"/>
  <c r="W913" i="1" s="1"/>
  <c r="T912" i="1"/>
  <c r="X913" i="1" s="1"/>
  <c r="M910" i="1"/>
  <c r="O910" i="1" s="1"/>
  <c r="Q910" i="1" s="1"/>
  <c r="L910" i="1"/>
  <c r="N910" i="1" s="1"/>
  <c r="P910" i="1" s="1"/>
  <c r="R913" i="1" l="1"/>
  <c r="V914" i="1" s="1"/>
  <c r="T913" i="1"/>
  <c r="X914" i="1" s="1"/>
  <c r="S913" i="1"/>
  <c r="W914" i="1" s="1"/>
  <c r="L911" i="1"/>
  <c r="N911" i="1" s="1"/>
  <c r="P911" i="1" s="1"/>
  <c r="M911" i="1"/>
  <c r="O911" i="1" s="1"/>
  <c r="Q911" i="1" s="1"/>
  <c r="S914" i="1" l="1"/>
  <c r="W915" i="1" s="1"/>
  <c r="R914" i="1"/>
  <c r="V915" i="1" s="1"/>
  <c r="T914" i="1"/>
  <c r="X915" i="1" s="1"/>
  <c r="M912" i="1"/>
  <c r="O912" i="1" s="1"/>
  <c r="Q912" i="1" s="1"/>
  <c r="L912" i="1"/>
  <c r="N912" i="1" s="1"/>
  <c r="P912" i="1" s="1"/>
  <c r="T915" i="1" l="1"/>
  <c r="X916" i="1" s="1"/>
  <c r="R915" i="1"/>
  <c r="V916" i="1" s="1"/>
  <c r="S915" i="1"/>
  <c r="W916" i="1" s="1"/>
  <c r="M913" i="1"/>
  <c r="O913" i="1" s="1"/>
  <c r="Q913" i="1" s="1"/>
  <c r="L913" i="1"/>
  <c r="N913" i="1" s="1"/>
  <c r="P913" i="1" s="1"/>
  <c r="T916" i="1" l="1"/>
  <c r="X917" i="1" s="1"/>
  <c r="S916" i="1"/>
  <c r="W917" i="1" s="1"/>
  <c r="R916" i="1"/>
  <c r="V917" i="1" s="1"/>
  <c r="M914" i="1"/>
  <c r="O914" i="1" s="1"/>
  <c r="Q914" i="1" s="1"/>
  <c r="L914" i="1"/>
  <c r="N914" i="1" s="1"/>
  <c r="P914" i="1" s="1"/>
  <c r="S917" i="1" l="1"/>
  <c r="W918" i="1" s="1"/>
  <c r="R917" i="1"/>
  <c r="V918" i="1" s="1"/>
  <c r="T917" i="1"/>
  <c r="X918" i="1" s="1"/>
  <c r="M915" i="1"/>
  <c r="O915" i="1" s="1"/>
  <c r="Q915" i="1" s="1"/>
  <c r="L915" i="1"/>
  <c r="N915" i="1" s="1"/>
  <c r="P915" i="1" s="1"/>
  <c r="T918" i="1" l="1"/>
  <c r="X919" i="1" s="1"/>
  <c r="R918" i="1"/>
  <c r="V919" i="1" s="1"/>
  <c r="S918" i="1"/>
  <c r="W919" i="1" s="1"/>
  <c r="M916" i="1"/>
  <c r="O916" i="1" s="1"/>
  <c r="Q916" i="1" s="1"/>
  <c r="L916" i="1"/>
  <c r="N916" i="1" s="1"/>
  <c r="P916" i="1" s="1"/>
  <c r="S919" i="1" l="1"/>
  <c r="W920" i="1" s="1"/>
  <c r="R919" i="1"/>
  <c r="V920" i="1" s="1"/>
  <c r="T919" i="1"/>
  <c r="X920" i="1" s="1"/>
  <c r="L917" i="1"/>
  <c r="N917" i="1" s="1"/>
  <c r="P917" i="1" s="1"/>
  <c r="M917" i="1"/>
  <c r="O917" i="1" s="1"/>
  <c r="Q917" i="1" s="1"/>
  <c r="S920" i="1" l="1"/>
  <c r="W921" i="1" s="1"/>
  <c r="T920" i="1"/>
  <c r="X921" i="1" s="1"/>
  <c r="R920" i="1"/>
  <c r="V921" i="1" s="1"/>
  <c r="M918" i="1"/>
  <c r="O918" i="1" s="1"/>
  <c r="Q918" i="1" s="1"/>
  <c r="L918" i="1"/>
  <c r="N918" i="1" s="1"/>
  <c r="P918" i="1" s="1"/>
  <c r="R921" i="1" l="1"/>
  <c r="V922" i="1" s="1"/>
  <c r="T921" i="1"/>
  <c r="X922" i="1" s="1"/>
  <c r="S921" i="1"/>
  <c r="W922" i="1" s="1"/>
  <c r="M919" i="1"/>
  <c r="O919" i="1" s="1"/>
  <c r="Q919" i="1" s="1"/>
  <c r="L919" i="1"/>
  <c r="N919" i="1" s="1"/>
  <c r="P919" i="1" s="1"/>
  <c r="S922" i="1" l="1"/>
  <c r="W923" i="1" s="1"/>
  <c r="R922" i="1"/>
  <c r="V923" i="1" s="1"/>
  <c r="T922" i="1"/>
  <c r="X923" i="1" s="1"/>
  <c r="L920" i="1"/>
  <c r="N920" i="1" s="1"/>
  <c r="P920" i="1" s="1"/>
  <c r="M920" i="1"/>
  <c r="O920" i="1" s="1"/>
  <c r="Q920" i="1" s="1"/>
  <c r="T923" i="1" l="1"/>
  <c r="X924" i="1" s="1"/>
  <c r="R923" i="1"/>
  <c r="V924" i="1" s="1"/>
  <c r="S923" i="1"/>
  <c r="W924" i="1" s="1"/>
  <c r="M921" i="1"/>
  <c r="O921" i="1" s="1"/>
  <c r="Q921" i="1" s="1"/>
  <c r="L921" i="1"/>
  <c r="N921" i="1" s="1"/>
  <c r="P921" i="1" s="1"/>
  <c r="T924" i="1" l="1"/>
  <c r="X925" i="1" s="1"/>
  <c r="S924" i="1"/>
  <c r="W925" i="1" s="1"/>
  <c r="R924" i="1"/>
  <c r="V925" i="1" s="1"/>
  <c r="M922" i="1"/>
  <c r="O922" i="1" s="1"/>
  <c r="Q922" i="1" s="1"/>
  <c r="L922" i="1"/>
  <c r="N922" i="1" s="1"/>
  <c r="P922" i="1" s="1"/>
  <c r="R925" i="1" l="1"/>
  <c r="V926" i="1" s="1"/>
  <c r="S925" i="1"/>
  <c r="W926" i="1" s="1"/>
  <c r="T925" i="1"/>
  <c r="X926" i="1" s="1"/>
  <c r="M923" i="1"/>
  <c r="O923" i="1" s="1"/>
  <c r="Q923" i="1" s="1"/>
  <c r="L923" i="1"/>
  <c r="N923" i="1" s="1"/>
  <c r="P923" i="1" s="1"/>
  <c r="S926" i="1" l="1"/>
  <c r="W927" i="1" s="1"/>
  <c r="R926" i="1"/>
  <c r="V927" i="1" s="1"/>
  <c r="T926" i="1"/>
  <c r="X927" i="1" s="1"/>
  <c r="M924" i="1"/>
  <c r="O924" i="1" s="1"/>
  <c r="Q924" i="1" s="1"/>
  <c r="L924" i="1"/>
  <c r="N924" i="1" s="1"/>
  <c r="P924" i="1" s="1"/>
  <c r="S927" i="1" l="1"/>
  <c r="W928" i="1" s="1"/>
  <c r="T927" i="1"/>
  <c r="X928" i="1" s="1"/>
  <c r="R927" i="1"/>
  <c r="V928" i="1" s="1"/>
  <c r="M925" i="1"/>
  <c r="O925" i="1" s="1"/>
  <c r="Q925" i="1" s="1"/>
  <c r="L925" i="1"/>
  <c r="N925" i="1" s="1"/>
  <c r="P925" i="1" s="1"/>
  <c r="R928" i="1" l="1"/>
  <c r="V929" i="1" s="1"/>
  <c r="T928" i="1"/>
  <c r="X929" i="1" s="1"/>
  <c r="S928" i="1"/>
  <c r="W929" i="1" s="1"/>
  <c r="M926" i="1"/>
  <c r="O926" i="1" s="1"/>
  <c r="Q926" i="1" s="1"/>
  <c r="L926" i="1"/>
  <c r="N926" i="1" s="1"/>
  <c r="P926" i="1" s="1"/>
  <c r="S929" i="1" l="1"/>
  <c r="W930" i="1" s="1"/>
  <c r="T929" i="1"/>
  <c r="X930" i="1" s="1"/>
  <c r="R929" i="1"/>
  <c r="V930" i="1" s="1"/>
  <c r="M927" i="1"/>
  <c r="O927" i="1" s="1"/>
  <c r="Q927" i="1" s="1"/>
  <c r="L927" i="1"/>
  <c r="N927" i="1" s="1"/>
  <c r="P927" i="1" s="1"/>
  <c r="S930" i="1" l="1"/>
  <c r="W931" i="1" s="1"/>
  <c r="R930" i="1"/>
  <c r="V931" i="1" s="1"/>
  <c r="T930" i="1"/>
  <c r="X931" i="1" s="1"/>
  <c r="M928" i="1"/>
  <c r="O928" i="1" s="1"/>
  <c r="Q928" i="1" s="1"/>
  <c r="L928" i="1"/>
  <c r="N928" i="1" s="1"/>
  <c r="P928" i="1" s="1"/>
  <c r="T931" i="1" l="1"/>
  <c r="X932" i="1" s="1"/>
  <c r="R931" i="1"/>
  <c r="V932" i="1" s="1"/>
  <c r="S931" i="1"/>
  <c r="W932" i="1" s="1"/>
  <c r="L929" i="1"/>
  <c r="N929" i="1" s="1"/>
  <c r="P929" i="1" s="1"/>
  <c r="M929" i="1"/>
  <c r="O929" i="1" s="1"/>
  <c r="Q929" i="1" s="1"/>
  <c r="T932" i="1" l="1"/>
  <c r="X933" i="1" s="1"/>
  <c r="S932" i="1"/>
  <c r="W933" i="1" s="1"/>
  <c r="R932" i="1"/>
  <c r="V933" i="1" s="1"/>
  <c r="M930" i="1"/>
  <c r="O930" i="1" s="1"/>
  <c r="Q930" i="1" s="1"/>
  <c r="L930" i="1"/>
  <c r="N930" i="1" s="1"/>
  <c r="P930" i="1" s="1"/>
  <c r="R933" i="1" l="1"/>
  <c r="V934" i="1" s="1"/>
  <c r="S933" i="1"/>
  <c r="W934" i="1" s="1"/>
  <c r="T933" i="1"/>
  <c r="X934" i="1" s="1"/>
  <c r="M931" i="1"/>
  <c r="O931" i="1" s="1"/>
  <c r="Q931" i="1" s="1"/>
  <c r="L931" i="1"/>
  <c r="N931" i="1" s="1"/>
  <c r="P931" i="1" s="1"/>
  <c r="R934" i="1" l="1"/>
  <c r="V935" i="1" s="1"/>
  <c r="T934" i="1"/>
  <c r="X935" i="1" s="1"/>
  <c r="S934" i="1"/>
  <c r="W935" i="1" s="1"/>
  <c r="M932" i="1"/>
  <c r="O932" i="1" s="1"/>
  <c r="Q932" i="1" s="1"/>
  <c r="L932" i="1"/>
  <c r="N932" i="1" s="1"/>
  <c r="P932" i="1" s="1"/>
  <c r="S935" i="1" l="1"/>
  <c r="W936" i="1" s="1"/>
  <c r="T935" i="1"/>
  <c r="X936" i="1" s="1"/>
  <c r="R935" i="1"/>
  <c r="V936" i="1" s="1"/>
  <c r="M933" i="1"/>
  <c r="O933" i="1" s="1"/>
  <c r="Q933" i="1" s="1"/>
  <c r="L933" i="1"/>
  <c r="N933" i="1" s="1"/>
  <c r="P933" i="1" s="1"/>
  <c r="S936" i="1" l="1"/>
  <c r="W937" i="1" s="1"/>
  <c r="R936" i="1"/>
  <c r="V937" i="1" s="1"/>
  <c r="T936" i="1"/>
  <c r="X937" i="1" s="1"/>
  <c r="M934" i="1"/>
  <c r="O934" i="1" s="1"/>
  <c r="Q934" i="1" s="1"/>
  <c r="L934" i="1"/>
  <c r="N934" i="1" s="1"/>
  <c r="P934" i="1" s="1"/>
  <c r="S937" i="1" l="1"/>
  <c r="W938" i="1" s="1"/>
  <c r="T937" i="1"/>
  <c r="X938" i="1" s="1"/>
  <c r="R937" i="1"/>
  <c r="V938" i="1" s="1"/>
  <c r="L935" i="1"/>
  <c r="N935" i="1" s="1"/>
  <c r="P935" i="1" s="1"/>
  <c r="M935" i="1"/>
  <c r="O935" i="1" s="1"/>
  <c r="Q935" i="1" s="1"/>
  <c r="R938" i="1" l="1"/>
  <c r="V939" i="1" s="1"/>
  <c r="S938" i="1"/>
  <c r="W939" i="1" s="1"/>
  <c r="T938" i="1"/>
  <c r="X939" i="1" s="1"/>
  <c r="M936" i="1"/>
  <c r="O936" i="1" s="1"/>
  <c r="Q936" i="1" s="1"/>
  <c r="L936" i="1"/>
  <c r="N936" i="1" s="1"/>
  <c r="P936" i="1" s="1"/>
  <c r="R939" i="1" l="1"/>
  <c r="V940" i="1" s="1"/>
  <c r="T939" i="1"/>
  <c r="X940" i="1" s="1"/>
  <c r="S939" i="1"/>
  <c r="W940" i="1" s="1"/>
  <c r="M937" i="1"/>
  <c r="O937" i="1" s="1"/>
  <c r="Q937" i="1" s="1"/>
  <c r="L937" i="1"/>
  <c r="N937" i="1" s="1"/>
  <c r="P937" i="1" s="1"/>
  <c r="R940" i="1" l="1"/>
  <c r="V941" i="1" s="1"/>
  <c r="S940" i="1"/>
  <c r="W941" i="1" s="1"/>
  <c r="T940" i="1"/>
  <c r="X941" i="1" s="1"/>
  <c r="L938" i="1"/>
  <c r="N938" i="1" s="1"/>
  <c r="P938" i="1" s="1"/>
  <c r="M938" i="1"/>
  <c r="O938" i="1" s="1"/>
  <c r="Q938" i="1" s="1"/>
  <c r="R941" i="1" l="1"/>
  <c r="V942" i="1" s="1"/>
  <c r="T941" i="1"/>
  <c r="X942" i="1" s="1"/>
  <c r="S941" i="1"/>
  <c r="W942" i="1" s="1"/>
  <c r="M939" i="1"/>
  <c r="O939" i="1" s="1"/>
  <c r="Q939" i="1" s="1"/>
  <c r="L939" i="1"/>
  <c r="N939" i="1" s="1"/>
  <c r="P939" i="1" s="1"/>
  <c r="S942" i="1" l="1"/>
  <c r="W943" i="1" s="1"/>
  <c r="T942" i="1"/>
  <c r="X943" i="1" s="1"/>
  <c r="R942" i="1"/>
  <c r="V943" i="1" s="1"/>
  <c r="M940" i="1"/>
  <c r="O940" i="1" s="1"/>
  <c r="Q940" i="1" s="1"/>
  <c r="L940" i="1"/>
  <c r="N940" i="1" s="1"/>
  <c r="P940" i="1" s="1"/>
  <c r="R943" i="1" l="1"/>
  <c r="V944" i="1" s="1"/>
  <c r="T943" i="1"/>
  <c r="X944" i="1" s="1"/>
  <c r="S943" i="1"/>
  <c r="W944" i="1" s="1"/>
  <c r="M941" i="1"/>
  <c r="O941" i="1" s="1"/>
  <c r="Q941" i="1" s="1"/>
  <c r="L941" i="1"/>
  <c r="N941" i="1" s="1"/>
  <c r="P941" i="1" s="1"/>
  <c r="S944" i="1" l="1"/>
  <c r="W945" i="1" s="1"/>
  <c r="T944" i="1"/>
  <c r="X945" i="1" s="1"/>
  <c r="R944" i="1"/>
  <c r="V945" i="1" s="1"/>
  <c r="M942" i="1"/>
  <c r="O942" i="1" s="1"/>
  <c r="Q942" i="1" s="1"/>
  <c r="L942" i="1"/>
  <c r="N942" i="1" s="1"/>
  <c r="P942" i="1" s="1"/>
  <c r="S945" i="1" l="1"/>
  <c r="W946" i="1" s="1"/>
  <c r="R945" i="1"/>
  <c r="V946" i="1" s="1"/>
  <c r="T945" i="1"/>
  <c r="X946" i="1" s="1"/>
  <c r="M943" i="1"/>
  <c r="O943" i="1" s="1"/>
  <c r="Q943" i="1" s="1"/>
  <c r="L943" i="1"/>
  <c r="N943" i="1" s="1"/>
  <c r="P943" i="1" s="1"/>
  <c r="S946" i="1" l="1"/>
  <c r="W947" i="1" s="1"/>
  <c r="T946" i="1"/>
  <c r="X947" i="1" s="1"/>
  <c r="R946" i="1"/>
  <c r="V947" i="1" s="1"/>
  <c r="M944" i="1"/>
  <c r="O944" i="1" s="1"/>
  <c r="Q944" i="1" s="1"/>
  <c r="L944" i="1"/>
  <c r="N944" i="1" s="1"/>
  <c r="P944" i="1" s="1"/>
  <c r="R947" i="1" l="1"/>
  <c r="V948" i="1" s="1"/>
  <c r="T947" i="1"/>
  <c r="X948" i="1" s="1"/>
  <c r="S947" i="1"/>
  <c r="W948" i="1" s="1"/>
  <c r="M945" i="1"/>
  <c r="O945" i="1" s="1"/>
  <c r="Q945" i="1" s="1"/>
  <c r="L945" i="1"/>
  <c r="N945" i="1" s="1"/>
  <c r="P945" i="1" s="1"/>
  <c r="S948" i="1" l="1"/>
  <c r="W949" i="1" s="1"/>
  <c r="R948" i="1"/>
  <c r="V949" i="1" s="1"/>
  <c r="T948" i="1"/>
  <c r="X949" i="1" s="1"/>
  <c r="M946" i="1"/>
  <c r="O946" i="1" s="1"/>
  <c r="Q946" i="1" s="1"/>
  <c r="L946" i="1"/>
  <c r="N946" i="1" s="1"/>
  <c r="P946" i="1" s="1"/>
  <c r="T949" i="1" l="1"/>
  <c r="X950" i="1" s="1"/>
  <c r="R949" i="1"/>
  <c r="V950" i="1" s="1"/>
  <c r="S949" i="1"/>
  <c r="W950" i="1" s="1"/>
  <c r="L947" i="1"/>
  <c r="N947" i="1" s="1"/>
  <c r="P947" i="1" s="1"/>
  <c r="M947" i="1"/>
  <c r="O947" i="1" s="1"/>
  <c r="Q947" i="1" s="1"/>
  <c r="S950" i="1" l="1"/>
  <c r="W951" i="1" s="1"/>
  <c r="R950" i="1"/>
  <c r="V951" i="1" s="1"/>
  <c r="T950" i="1"/>
  <c r="X951" i="1" s="1"/>
  <c r="M948" i="1"/>
  <c r="O948" i="1" s="1"/>
  <c r="Q948" i="1" s="1"/>
  <c r="L948" i="1"/>
  <c r="N948" i="1" s="1"/>
  <c r="P948" i="1" s="1"/>
  <c r="T951" i="1" l="1"/>
  <c r="X952" i="1" s="1"/>
  <c r="R951" i="1"/>
  <c r="V952" i="1" s="1"/>
  <c r="S951" i="1"/>
  <c r="W952" i="1" s="1"/>
  <c r="M949" i="1"/>
  <c r="O949" i="1" s="1"/>
  <c r="Q949" i="1" s="1"/>
  <c r="L949" i="1"/>
  <c r="N949" i="1" s="1"/>
  <c r="P949" i="1" s="1"/>
  <c r="T952" i="1" l="1"/>
  <c r="X953" i="1" s="1"/>
  <c r="S952" i="1"/>
  <c r="W953" i="1" s="1"/>
  <c r="R952" i="1"/>
  <c r="V953" i="1" s="1"/>
  <c r="M950" i="1"/>
  <c r="O950" i="1" s="1"/>
  <c r="Q950" i="1" s="1"/>
  <c r="L950" i="1"/>
  <c r="N950" i="1" s="1"/>
  <c r="P950" i="1" s="1"/>
  <c r="R953" i="1" l="1"/>
  <c r="V954" i="1" s="1"/>
  <c r="S953" i="1"/>
  <c r="W954" i="1" s="1"/>
  <c r="T953" i="1"/>
  <c r="X954" i="1" s="1"/>
  <c r="M951" i="1"/>
  <c r="O951" i="1" s="1"/>
  <c r="Q951" i="1" s="1"/>
  <c r="L951" i="1"/>
  <c r="N951" i="1" s="1"/>
  <c r="P951" i="1" s="1"/>
  <c r="S954" i="1" l="1"/>
  <c r="W955" i="1" s="1"/>
  <c r="R954" i="1"/>
  <c r="V955" i="1" s="1"/>
  <c r="T954" i="1"/>
  <c r="X955" i="1" s="1"/>
  <c r="M952" i="1"/>
  <c r="O952" i="1" s="1"/>
  <c r="Q952" i="1" s="1"/>
  <c r="L952" i="1"/>
  <c r="N952" i="1" s="1"/>
  <c r="P952" i="1" s="1"/>
  <c r="T955" i="1" l="1"/>
  <c r="X956" i="1"/>
  <c r="R955" i="1"/>
  <c r="V956" i="1" s="1"/>
  <c r="S955" i="1"/>
  <c r="W956" i="1" s="1"/>
  <c r="L953" i="1"/>
  <c r="N953" i="1" s="1"/>
  <c r="P953" i="1" s="1"/>
  <c r="M953" i="1"/>
  <c r="O953" i="1" s="1"/>
  <c r="Q953" i="1" s="1"/>
  <c r="S956" i="1" l="1"/>
  <c r="W957" i="1" s="1"/>
  <c r="R956" i="1"/>
  <c r="V957" i="1" s="1"/>
  <c r="T956" i="1"/>
  <c r="X957" i="1" s="1"/>
  <c r="M954" i="1"/>
  <c r="O954" i="1" s="1"/>
  <c r="Q954" i="1" s="1"/>
  <c r="L954" i="1"/>
  <c r="N954" i="1" s="1"/>
  <c r="P954" i="1" s="1"/>
  <c r="T957" i="1" l="1"/>
  <c r="X958" i="1" s="1"/>
  <c r="S957" i="1"/>
  <c r="W958" i="1" s="1"/>
  <c r="R957" i="1"/>
  <c r="V958" i="1" s="1"/>
  <c r="M955" i="1"/>
  <c r="O955" i="1" s="1"/>
  <c r="Q955" i="1" s="1"/>
  <c r="L955" i="1"/>
  <c r="N955" i="1" s="1"/>
  <c r="P955" i="1" s="1"/>
  <c r="R958" i="1" l="1"/>
  <c r="V959" i="1" s="1"/>
  <c r="T958" i="1"/>
  <c r="X959" i="1" s="1"/>
  <c r="S958" i="1"/>
  <c r="W959" i="1" s="1"/>
  <c r="L956" i="1"/>
  <c r="N956" i="1" s="1"/>
  <c r="P956" i="1" s="1"/>
  <c r="M956" i="1"/>
  <c r="O956" i="1" s="1"/>
  <c r="Q956" i="1" s="1"/>
  <c r="T959" i="1" l="1"/>
  <c r="X960" i="1" s="1"/>
  <c r="R959" i="1"/>
  <c r="V960" i="1" s="1"/>
  <c r="S959" i="1"/>
  <c r="W960" i="1" s="1"/>
  <c r="M957" i="1"/>
  <c r="O957" i="1" s="1"/>
  <c r="Q957" i="1" s="1"/>
  <c r="L957" i="1"/>
  <c r="N957" i="1" s="1"/>
  <c r="P957" i="1" s="1"/>
  <c r="S960" i="1" l="1"/>
  <c r="W961" i="1" s="1"/>
  <c r="R960" i="1"/>
  <c r="V961" i="1" s="1"/>
  <c r="T960" i="1"/>
  <c r="X961" i="1" s="1"/>
  <c r="M958" i="1"/>
  <c r="O958" i="1" s="1"/>
  <c r="Q958" i="1" s="1"/>
  <c r="L958" i="1"/>
  <c r="N958" i="1" s="1"/>
  <c r="P958" i="1" s="1"/>
  <c r="T961" i="1" l="1"/>
  <c r="X962" i="1" s="1"/>
  <c r="S961" i="1"/>
  <c r="W962" i="1" s="1"/>
  <c r="R961" i="1"/>
  <c r="V962" i="1" s="1"/>
  <c r="M959" i="1"/>
  <c r="O959" i="1" s="1"/>
  <c r="Q959" i="1" s="1"/>
  <c r="L959" i="1"/>
  <c r="N959" i="1" s="1"/>
  <c r="P959" i="1" s="1"/>
  <c r="T962" i="1" l="1"/>
  <c r="X963" i="1" s="1"/>
  <c r="R962" i="1"/>
  <c r="V963" i="1" s="1"/>
  <c r="S962" i="1"/>
  <c r="W963" i="1" s="1"/>
  <c r="M960" i="1"/>
  <c r="O960" i="1" s="1"/>
  <c r="Q960" i="1" s="1"/>
  <c r="L960" i="1"/>
  <c r="N960" i="1" s="1"/>
  <c r="P960" i="1" s="1"/>
  <c r="S963" i="1" l="1"/>
  <c r="W964" i="1" s="1"/>
  <c r="R963" i="1"/>
  <c r="V964" i="1" s="1"/>
  <c r="T963" i="1"/>
  <c r="X964" i="1" s="1"/>
  <c r="M961" i="1"/>
  <c r="O961" i="1" s="1"/>
  <c r="Q961" i="1" s="1"/>
  <c r="L961" i="1"/>
  <c r="N961" i="1" s="1"/>
  <c r="P961" i="1" s="1"/>
  <c r="R964" i="1" l="1"/>
  <c r="V965" i="1" s="1"/>
  <c r="S964" i="1"/>
  <c r="W965" i="1" s="1"/>
  <c r="T964" i="1"/>
  <c r="X965" i="1" s="1"/>
  <c r="M962" i="1"/>
  <c r="O962" i="1" s="1"/>
  <c r="Q962" i="1" s="1"/>
  <c r="L962" i="1"/>
  <c r="N962" i="1" s="1"/>
  <c r="P962" i="1" s="1"/>
  <c r="T965" i="1" l="1"/>
  <c r="X966" i="1" s="1"/>
  <c r="S965" i="1"/>
  <c r="W966" i="1" s="1"/>
  <c r="R965" i="1"/>
  <c r="V966" i="1" s="1"/>
  <c r="M963" i="1"/>
  <c r="O963" i="1" s="1"/>
  <c r="Q963" i="1" s="1"/>
  <c r="L963" i="1"/>
  <c r="N963" i="1" s="1"/>
  <c r="P963" i="1" s="1"/>
  <c r="T966" i="1" l="1"/>
  <c r="X967" i="1" s="1"/>
  <c r="R966" i="1"/>
  <c r="V967" i="1" s="1"/>
  <c r="S966" i="1"/>
  <c r="W967" i="1" s="1"/>
  <c r="M964" i="1"/>
  <c r="O964" i="1" s="1"/>
  <c r="Q964" i="1" s="1"/>
  <c r="L964" i="1"/>
  <c r="N964" i="1" s="1"/>
  <c r="P964" i="1" s="1"/>
  <c r="T967" i="1" l="1"/>
  <c r="X968" i="1" s="1"/>
  <c r="S967" i="1"/>
  <c r="W968" i="1" s="1"/>
  <c r="R967" i="1"/>
  <c r="V968" i="1" s="1"/>
  <c r="L965" i="1"/>
  <c r="N965" i="1" s="1"/>
  <c r="P965" i="1" s="1"/>
  <c r="M965" i="1"/>
  <c r="O965" i="1" s="1"/>
  <c r="Q965" i="1" s="1"/>
  <c r="T968" i="1" l="1"/>
  <c r="X969" i="1" s="1"/>
  <c r="R968" i="1"/>
  <c r="V969" i="1" s="1"/>
  <c r="S968" i="1"/>
  <c r="W969" i="1" s="1"/>
  <c r="M966" i="1"/>
  <c r="O966" i="1" s="1"/>
  <c r="Q966" i="1" s="1"/>
  <c r="L966" i="1"/>
  <c r="N966" i="1" s="1"/>
  <c r="P966" i="1" s="1"/>
  <c r="S969" i="1" l="1"/>
  <c r="W970" i="1" s="1"/>
  <c r="R969" i="1"/>
  <c r="V970" i="1" s="1"/>
  <c r="T969" i="1"/>
  <c r="X970" i="1" s="1"/>
  <c r="M967" i="1"/>
  <c r="O967" i="1" s="1"/>
  <c r="Q967" i="1" s="1"/>
  <c r="L967" i="1"/>
  <c r="N967" i="1" s="1"/>
  <c r="P967" i="1" s="1"/>
  <c r="S970" i="1" l="1"/>
  <c r="W971" i="1" s="1"/>
  <c r="R970" i="1"/>
  <c r="V971" i="1" s="1"/>
  <c r="T970" i="1"/>
  <c r="X971" i="1" s="1"/>
  <c r="M968" i="1"/>
  <c r="O968" i="1" s="1"/>
  <c r="Q968" i="1" s="1"/>
  <c r="L968" i="1"/>
  <c r="N968" i="1" s="1"/>
  <c r="P968" i="1" s="1"/>
  <c r="T971" i="1" l="1"/>
  <c r="X972" i="1" s="1"/>
  <c r="R971" i="1"/>
  <c r="V972" i="1" s="1"/>
  <c r="S971" i="1"/>
  <c r="W972" i="1" s="1"/>
  <c r="M969" i="1"/>
  <c r="O969" i="1" s="1"/>
  <c r="Q969" i="1" s="1"/>
  <c r="L969" i="1"/>
  <c r="N969" i="1" s="1"/>
  <c r="P969" i="1" s="1"/>
  <c r="T972" i="1" l="1"/>
  <c r="X973" i="1" s="1"/>
  <c r="S972" i="1"/>
  <c r="W973" i="1" s="1"/>
  <c r="R972" i="1"/>
  <c r="V973" i="1" s="1"/>
  <c r="M970" i="1"/>
  <c r="O970" i="1" s="1"/>
  <c r="Q970" i="1" s="1"/>
  <c r="L970" i="1"/>
  <c r="N970" i="1" s="1"/>
  <c r="P970" i="1" s="1"/>
  <c r="R973" i="1" l="1"/>
  <c r="V974" i="1" s="1"/>
  <c r="S973" i="1"/>
  <c r="W974" i="1" s="1"/>
  <c r="T973" i="1"/>
  <c r="X974" i="1" s="1"/>
  <c r="L971" i="1"/>
  <c r="N971" i="1" s="1"/>
  <c r="P971" i="1" s="1"/>
  <c r="M971" i="1"/>
  <c r="O971" i="1" s="1"/>
  <c r="Q971" i="1" s="1"/>
  <c r="S974" i="1" l="1"/>
  <c r="W975" i="1" s="1"/>
  <c r="T974" i="1"/>
  <c r="X975" i="1" s="1"/>
  <c r="R974" i="1"/>
  <c r="V975" i="1" s="1"/>
  <c r="M972" i="1"/>
  <c r="O972" i="1" s="1"/>
  <c r="Q972" i="1" s="1"/>
  <c r="L972" i="1"/>
  <c r="N972" i="1" s="1"/>
  <c r="P972" i="1" s="1"/>
  <c r="S975" i="1" l="1"/>
  <c r="W976" i="1" s="1"/>
  <c r="T975" i="1"/>
  <c r="X976" i="1" s="1"/>
  <c r="R975" i="1"/>
  <c r="V976" i="1" s="1"/>
  <c r="M973" i="1"/>
  <c r="O973" i="1" s="1"/>
  <c r="Q973" i="1" s="1"/>
  <c r="L973" i="1"/>
  <c r="N973" i="1" s="1"/>
  <c r="P973" i="1" s="1"/>
  <c r="R976" i="1" l="1"/>
  <c r="V977" i="1" s="1"/>
  <c r="T976" i="1"/>
  <c r="X977" i="1" s="1"/>
  <c r="S976" i="1"/>
  <c r="W977" i="1" s="1"/>
  <c r="L974" i="1"/>
  <c r="N974" i="1" s="1"/>
  <c r="P974" i="1" s="1"/>
  <c r="M974" i="1"/>
  <c r="O974" i="1" s="1"/>
  <c r="Q974" i="1" s="1"/>
  <c r="R977" i="1" l="1"/>
  <c r="V978" i="1" s="1"/>
  <c r="T977" i="1"/>
  <c r="X978" i="1" s="1"/>
  <c r="S977" i="1"/>
  <c r="W978" i="1" s="1"/>
  <c r="M975" i="1"/>
  <c r="O975" i="1" s="1"/>
  <c r="Q975" i="1" s="1"/>
  <c r="L975" i="1"/>
  <c r="N975" i="1" s="1"/>
  <c r="P975" i="1" s="1"/>
  <c r="S978" i="1" l="1"/>
  <c r="W979" i="1" s="1"/>
  <c r="R978" i="1"/>
  <c r="V979" i="1" s="1"/>
  <c r="T978" i="1"/>
  <c r="X979" i="1" s="1"/>
  <c r="M976" i="1"/>
  <c r="O976" i="1" s="1"/>
  <c r="Q976" i="1" s="1"/>
  <c r="L976" i="1"/>
  <c r="N976" i="1" s="1"/>
  <c r="P976" i="1" s="1"/>
  <c r="T979" i="1" l="1"/>
  <c r="X980" i="1" s="1"/>
  <c r="R979" i="1"/>
  <c r="V980" i="1" s="1"/>
  <c r="S979" i="1"/>
  <c r="W980" i="1" s="1"/>
  <c r="M977" i="1"/>
  <c r="O977" i="1" s="1"/>
  <c r="Q977" i="1" s="1"/>
  <c r="L977" i="1"/>
  <c r="N977" i="1" s="1"/>
  <c r="P977" i="1" s="1"/>
  <c r="T980" i="1" l="1"/>
  <c r="X981" i="1" s="1"/>
  <c r="S980" i="1"/>
  <c r="W981" i="1" s="1"/>
  <c r="R980" i="1"/>
  <c r="V981" i="1" s="1"/>
  <c r="M978" i="1"/>
  <c r="O978" i="1" s="1"/>
  <c r="Q978" i="1" s="1"/>
  <c r="L978" i="1"/>
  <c r="N978" i="1" s="1"/>
  <c r="P978" i="1" s="1"/>
  <c r="R981" i="1" l="1"/>
  <c r="V982" i="1" s="1"/>
  <c r="S981" i="1"/>
  <c r="W982" i="1" s="1"/>
  <c r="T981" i="1"/>
  <c r="X982" i="1" s="1"/>
  <c r="M979" i="1"/>
  <c r="O979" i="1" s="1"/>
  <c r="Q979" i="1" s="1"/>
  <c r="L979" i="1"/>
  <c r="N979" i="1" s="1"/>
  <c r="P979" i="1" s="1"/>
  <c r="T982" i="1" l="1"/>
  <c r="X983" i="1" s="1"/>
  <c r="S982" i="1"/>
  <c r="W983" i="1" s="1"/>
  <c r="R982" i="1"/>
  <c r="V983" i="1" s="1"/>
  <c r="M980" i="1"/>
  <c r="O980" i="1" s="1"/>
  <c r="Q980" i="1" s="1"/>
  <c r="L980" i="1"/>
  <c r="N980" i="1" s="1"/>
  <c r="P980" i="1" s="1"/>
  <c r="R983" i="1" l="1"/>
  <c r="V984" i="1" s="1"/>
  <c r="S983" i="1"/>
  <c r="W984" i="1" s="1"/>
  <c r="T983" i="1"/>
  <c r="X984" i="1" s="1"/>
  <c r="M981" i="1"/>
  <c r="O981" i="1" s="1"/>
  <c r="Q981" i="1" s="1"/>
  <c r="L981" i="1"/>
  <c r="N981" i="1" s="1"/>
  <c r="P981" i="1" s="1"/>
  <c r="R984" i="1" l="1"/>
  <c r="V985" i="1" s="1"/>
  <c r="T984" i="1"/>
  <c r="X985" i="1" s="1"/>
  <c r="S984" i="1"/>
  <c r="W985" i="1" s="1"/>
  <c r="M982" i="1"/>
  <c r="O982" i="1" s="1"/>
  <c r="Q982" i="1" s="1"/>
  <c r="L982" i="1"/>
  <c r="N982" i="1" s="1"/>
  <c r="P982" i="1" s="1"/>
  <c r="S985" i="1" l="1"/>
  <c r="W986" i="1" s="1"/>
  <c r="T985" i="1"/>
  <c r="X986" i="1" s="1"/>
  <c r="R985" i="1"/>
  <c r="V986" i="1" s="1"/>
  <c r="L983" i="1"/>
  <c r="N983" i="1" s="1"/>
  <c r="P983" i="1" s="1"/>
  <c r="M983" i="1"/>
  <c r="O983" i="1" s="1"/>
  <c r="Q983" i="1" s="1"/>
  <c r="S986" i="1" l="1"/>
  <c r="W987" i="1" s="1"/>
  <c r="R986" i="1"/>
  <c r="V987" i="1" s="1"/>
  <c r="T986" i="1"/>
  <c r="X987" i="1" s="1"/>
  <c r="M984" i="1"/>
  <c r="O984" i="1" s="1"/>
  <c r="Q984" i="1" s="1"/>
  <c r="L984" i="1"/>
  <c r="N984" i="1" s="1"/>
  <c r="P984" i="1" s="1"/>
  <c r="T987" i="1" l="1"/>
  <c r="X988" i="1" s="1"/>
  <c r="R987" i="1"/>
  <c r="V988" i="1" s="1"/>
  <c r="S987" i="1"/>
  <c r="W988" i="1" s="1"/>
  <c r="M985" i="1"/>
  <c r="O985" i="1" s="1"/>
  <c r="Q985" i="1" s="1"/>
  <c r="L985" i="1"/>
  <c r="N985" i="1" s="1"/>
  <c r="P985" i="1" s="1"/>
  <c r="T988" i="1" l="1"/>
  <c r="X989" i="1" s="1"/>
  <c r="S988" i="1"/>
  <c r="W989" i="1" s="1"/>
  <c r="R988" i="1"/>
  <c r="V989" i="1" s="1"/>
  <c r="M986" i="1"/>
  <c r="O986" i="1" s="1"/>
  <c r="Q986" i="1" s="1"/>
  <c r="L986" i="1"/>
  <c r="N986" i="1" s="1"/>
  <c r="P986" i="1" s="1"/>
  <c r="R989" i="1" l="1"/>
  <c r="V990" i="1" s="1"/>
  <c r="T989" i="1"/>
  <c r="X990" i="1" s="1"/>
  <c r="S989" i="1"/>
  <c r="W990" i="1" s="1"/>
  <c r="M987" i="1"/>
  <c r="O987" i="1" s="1"/>
  <c r="Q987" i="1" s="1"/>
  <c r="L987" i="1"/>
  <c r="N987" i="1" s="1"/>
  <c r="P987" i="1" s="1"/>
  <c r="S990" i="1" l="1"/>
  <c r="W991" i="1" s="1"/>
  <c r="T990" i="1"/>
  <c r="X991" i="1" s="1"/>
  <c r="R990" i="1"/>
  <c r="V991" i="1" s="1"/>
  <c r="M988" i="1"/>
  <c r="O988" i="1" s="1"/>
  <c r="Q988" i="1" s="1"/>
  <c r="L988" i="1"/>
  <c r="N988" i="1" s="1"/>
  <c r="P988" i="1" s="1"/>
  <c r="S991" i="1" l="1"/>
  <c r="W992" i="1" s="1"/>
  <c r="R991" i="1"/>
  <c r="V992" i="1" s="1"/>
  <c r="T991" i="1"/>
  <c r="X992" i="1" s="1"/>
  <c r="L989" i="1"/>
  <c r="N989" i="1" s="1"/>
  <c r="P989" i="1" s="1"/>
  <c r="M989" i="1"/>
  <c r="O989" i="1" s="1"/>
  <c r="Q989" i="1" s="1"/>
  <c r="S992" i="1" l="1"/>
  <c r="W993" i="1" s="1"/>
  <c r="T992" i="1"/>
  <c r="X993" i="1" s="1"/>
  <c r="R992" i="1"/>
  <c r="V993" i="1" s="1"/>
  <c r="M990" i="1"/>
  <c r="O990" i="1" s="1"/>
  <c r="Q990" i="1" s="1"/>
  <c r="L990" i="1"/>
  <c r="N990" i="1" s="1"/>
  <c r="P990" i="1" s="1"/>
  <c r="R993" i="1" l="1"/>
  <c r="V994" i="1" s="1"/>
  <c r="T993" i="1"/>
  <c r="X994" i="1" s="1"/>
  <c r="S993" i="1"/>
  <c r="W994" i="1" s="1"/>
  <c r="M991" i="1"/>
  <c r="O991" i="1" s="1"/>
  <c r="Q991" i="1" s="1"/>
  <c r="L991" i="1"/>
  <c r="N991" i="1" s="1"/>
  <c r="P991" i="1" s="1"/>
  <c r="S994" i="1" l="1"/>
  <c r="W995" i="1" s="1"/>
  <c r="R994" i="1"/>
  <c r="V995" i="1" s="1"/>
  <c r="T994" i="1"/>
  <c r="X995" i="1" s="1"/>
  <c r="L992" i="1"/>
  <c r="N992" i="1" s="1"/>
  <c r="P992" i="1" s="1"/>
  <c r="M992" i="1"/>
  <c r="O992" i="1" s="1"/>
  <c r="Q992" i="1" s="1"/>
  <c r="T995" i="1" l="1"/>
  <c r="X996" i="1" s="1"/>
  <c r="R995" i="1"/>
  <c r="V996" i="1" s="1"/>
  <c r="S995" i="1"/>
  <c r="W996" i="1" s="1"/>
  <c r="M993" i="1"/>
  <c r="O993" i="1" s="1"/>
  <c r="Q993" i="1" s="1"/>
  <c r="L993" i="1"/>
  <c r="N993" i="1" s="1"/>
  <c r="P993" i="1" s="1"/>
  <c r="T996" i="1" l="1"/>
  <c r="X997" i="1" s="1"/>
  <c r="S996" i="1"/>
  <c r="W997" i="1" s="1"/>
  <c r="R996" i="1"/>
  <c r="V997" i="1" s="1"/>
  <c r="M994" i="1"/>
  <c r="O994" i="1" s="1"/>
  <c r="Q994" i="1" s="1"/>
  <c r="L994" i="1"/>
  <c r="N994" i="1" s="1"/>
  <c r="P994" i="1" s="1"/>
  <c r="R997" i="1" l="1"/>
  <c r="V998" i="1" s="1"/>
  <c r="S997" i="1"/>
  <c r="W998" i="1" s="1"/>
  <c r="T997" i="1"/>
  <c r="X998" i="1" s="1"/>
  <c r="M995" i="1"/>
  <c r="O995" i="1" s="1"/>
  <c r="Q995" i="1" s="1"/>
  <c r="L995" i="1"/>
  <c r="N995" i="1" s="1"/>
  <c r="P995" i="1" s="1"/>
  <c r="T998" i="1" l="1"/>
  <c r="X999" i="1" s="1"/>
  <c r="S998" i="1"/>
  <c r="W999" i="1" s="1"/>
  <c r="R998" i="1"/>
  <c r="V999" i="1" s="1"/>
  <c r="M996" i="1"/>
  <c r="O996" i="1" s="1"/>
  <c r="Q996" i="1" s="1"/>
  <c r="L996" i="1"/>
  <c r="N996" i="1" s="1"/>
  <c r="P996" i="1" s="1"/>
  <c r="R999" i="1" l="1"/>
  <c r="V1000" i="1" s="1"/>
  <c r="S999" i="1"/>
  <c r="W1000" i="1" s="1"/>
  <c r="T999" i="1"/>
  <c r="X1000" i="1" s="1"/>
  <c r="M997" i="1"/>
  <c r="O997" i="1" s="1"/>
  <c r="Q997" i="1" s="1"/>
  <c r="L997" i="1"/>
  <c r="N997" i="1" s="1"/>
  <c r="P997" i="1" s="1"/>
  <c r="R1000" i="1" l="1"/>
  <c r="V1001" i="1" s="1"/>
  <c r="T1000" i="1"/>
  <c r="X1001" i="1" s="1"/>
  <c r="S1000" i="1"/>
  <c r="W1001" i="1" s="1"/>
  <c r="M998" i="1"/>
  <c r="O998" i="1" s="1"/>
  <c r="Q998" i="1" s="1"/>
  <c r="L998" i="1"/>
  <c r="N998" i="1" s="1"/>
  <c r="P998" i="1" s="1"/>
  <c r="S1001" i="1" l="1"/>
  <c r="W1002" i="1" s="1"/>
  <c r="T1001" i="1"/>
  <c r="X1002" i="1" s="1"/>
  <c r="R1001" i="1"/>
  <c r="V1002" i="1" s="1"/>
  <c r="M999" i="1"/>
  <c r="O999" i="1" s="1"/>
  <c r="Q999" i="1" s="1"/>
  <c r="L999" i="1"/>
  <c r="N999" i="1" s="1"/>
  <c r="P999" i="1" s="1"/>
  <c r="S1002" i="1" l="1"/>
  <c r="W1003" i="1" s="1"/>
  <c r="R1002" i="1"/>
  <c r="V1003" i="1" s="1"/>
  <c r="T1002" i="1"/>
  <c r="X1003" i="1" s="1"/>
  <c r="M1000" i="1"/>
  <c r="O1000" i="1" s="1"/>
  <c r="Q1000" i="1" s="1"/>
  <c r="L1000" i="1"/>
  <c r="N1000" i="1" s="1"/>
  <c r="P1000" i="1" s="1"/>
  <c r="T1003" i="1" l="1"/>
  <c r="X1004" i="1" s="1"/>
  <c r="S1003" i="1"/>
  <c r="W1004" i="1" s="1"/>
  <c r="R1003" i="1"/>
  <c r="V1004" i="1" s="1"/>
  <c r="L1001" i="1"/>
  <c r="N1001" i="1" s="1"/>
  <c r="P1001" i="1" s="1"/>
  <c r="M1001" i="1"/>
  <c r="O1001" i="1" s="1"/>
  <c r="Q1001" i="1" s="1"/>
  <c r="T1004" i="1" l="1"/>
  <c r="X1005" i="1" s="1"/>
  <c r="R1004" i="1"/>
  <c r="V1005" i="1" s="1"/>
  <c r="S1004" i="1"/>
  <c r="W1005" i="1" s="1"/>
  <c r="M1002" i="1"/>
  <c r="O1002" i="1" s="1"/>
  <c r="Q1002" i="1" s="1"/>
  <c r="L1002" i="1"/>
  <c r="N1002" i="1" s="1"/>
  <c r="P1002" i="1" s="1"/>
  <c r="R1005" i="1" l="1"/>
  <c r="V1006" i="1" s="1"/>
  <c r="S1005" i="1"/>
  <c r="W1006" i="1" s="1"/>
  <c r="T1005" i="1"/>
  <c r="X1006" i="1" s="1"/>
  <c r="M1003" i="1"/>
  <c r="O1003" i="1" s="1"/>
  <c r="Q1003" i="1" s="1"/>
  <c r="L1003" i="1"/>
  <c r="N1003" i="1" s="1"/>
  <c r="P1003" i="1" s="1"/>
  <c r="T1006" i="1" l="1"/>
  <c r="X1007" i="1" s="1"/>
  <c r="S1006" i="1"/>
  <c r="W1007" i="1" s="1"/>
  <c r="R1006" i="1"/>
  <c r="V1007" i="1" s="1"/>
  <c r="M1004" i="1"/>
  <c r="O1004" i="1" s="1"/>
  <c r="Q1004" i="1" s="1"/>
  <c r="L1004" i="1"/>
  <c r="N1004" i="1" s="1"/>
  <c r="P1004" i="1" s="1"/>
  <c r="R1007" i="1" l="1"/>
  <c r="V1008" i="1" s="1"/>
  <c r="S1007" i="1"/>
  <c r="W1008" i="1" s="1"/>
  <c r="T1007" i="1"/>
  <c r="X1008" i="1" s="1"/>
  <c r="M1005" i="1"/>
  <c r="O1005" i="1" s="1"/>
  <c r="Q1005" i="1" s="1"/>
  <c r="L1005" i="1"/>
  <c r="N1005" i="1" s="1"/>
  <c r="P1005" i="1" s="1"/>
  <c r="R1008" i="1" l="1"/>
  <c r="V1009" i="1" s="1"/>
  <c r="T1008" i="1"/>
  <c r="X1009" i="1" s="1"/>
  <c r="S1008" i="1"/>
  <c r="W1009" i="1" s="1"/>
  <c r="M1006" i="1"/>
  <c r="O1006" i="1" s="1"/>
  <c r="Q1006" i="1" s="1"/>
  <c r="L1006" i="1"/>
  <c r="N1006" i="1" s="1"/>
  <c r="P1006" i="1" s="1"/>
  <c r="T1009" i="1" l="1"/>
  <c r="X1010" i="1" s="1"/>
  <c r="S1009" i="1"/>
  <c r="W1010" i="1" s="1"/>
  <c r="R1009" i="1"/>
  <c r="V1010" i="1" s="1"/>
  <c r="L1007" i="1"/>
  <c r="N1007" i="1" s="1"/>
  <c r="P1007" i="1" s="1"/>
  <c r="M1007" i="1"/>
  <c r="O1007" i="1" s="1"/>
  <c r="Q1007" i="1" s="1"/>
  <c r="R1010" i="1" l="1"/>
  <c r="V1011" i="1" s="1"/>
  <c r="T1010" i="1"/>
  <c r="X1011" i="1" s="1"/>
  <c r="S1010" i="1"/>
  <c r="W1011" i="1" s="1"/>
  <c r="M1008" i="1"/>
  <c r="O1008" i="1" s="1"/>
  <c r="Q1008" i="1" s="1"/>
  <c r="L1008" i="1"/>
  <c r="N1008" i="1" s="1"/>
  <c r="P1008" i="1" s="1"/>
  <c r="S1011" i="1" l="1"/>
  <c r="W1012" i="1" s="1"/>
  <c r="T1011" i="1"/>
  <c r="X1012" i="1" s="1"/>
  <c r="R1011" i="1"/>
  <c r="V1012" i="1" s="1"/>
  <c r="M1009" i="1"/>
  <c r="O1009" i="1" s="1"/>
  <c r="Q1009" i="1" s="1"/>
  <c r="L1009" i="1"/>
  <c r="N1009" i="1" s="1"/>
  <c r="P1009" i="1" s="1"/>
  <c r="S1012" i="1" l="1"/>
  <c r="W1013" i="1" s="1"/>
  <c r="R1012" i="1"/>
  <c r="V1013" i="1" s="1"/>
  <c r="T1012" i="1"/>
  <c r="X1013" i="1" s="1"/>
  <c r="L1010" i="1"/>
  <c r="N1010" i="1" s="1"/>
  <c r="P1010" i="1" s="1"/>
  <c r="M1010" i="1"/>
  <c r="O1010" i="1" s="1"/>
  <c r="Q1010" i="1" s="1"/>
  <c r="T1013" i="1" l="1"/>
  <c r="X1014" i="1" s="1"/>
  <c r="R1013" i="1"/>
  <c r="V1014" i="1"/>
  <c r="S1013" i="1"/>
  <c r="W1014" i="1" s="1"/>
  <c r="M1011" i="1"/>
  <c r="O1011" i="1" s="1"/>
  <c r="Q1011" i="1" s="1"/>
  <c r="L1011" i="1"/>
  <c r="N1011" i="1" s="1"/>
  <c r="P1011" i="1" s="1"/>
  <c r="T1014" i="1" l="1"/>
  <c r="X1015" i="1" s="1"/>
  <c r="S1014" i="1"/>
  <c r="W1015" i="1" s="1"/>
  <c r="R1014" i="1"/>
  <c r="V1015" i="1" s="1"/>
  <c r="M1012" i="1"/>
  <c r="O1012" i="1" s="1"/>
  <c r="Q1012" i="1" s="1"/>
  <c r="L1012" i="1"/>
  <c r="N1012" i="1" s="1"/>
  <c r="P1012" i="1" s="1"/>
  <c r="R1015" i="1" l="1"/>
  <c r="V1016" i="1" s="1"/>
  <c r="S1015" i="1"/>
  <c r="W1016" i="1" s="1"/>
  <c r="T1015" i="1"/>
  <c r="X1016" i="1" s="1"/>
  <c r="M1013" i="1"/>
  <c r="O1013" i="1" s="1"/>
  <c r="Q1013" i="1" s="1"/>
  <c r="L1013" i="1"/>
  <c r="N1013" i="1" s="1"/>
  <c r="P1013" i="1" s="1"/>
  <c r="S1016" i="1" l="1"/>
  <c r="W1017" i="1" s="1"/>
  <c r="T1016" i="1"/>
  <c r="X1017" i="1" s="1"/>
  <c r="R1016" i="1"/>
  <c r="V1017" i="1" s="1"/>
  <c r="M1014" i="1"/>
  <c r="O1014" i="1" s="1"/>
  <c r="Q1014" i="1" s="1"/>
  <c r="L1014" i="1"/>
  <c r="N1014" i="1" s="1"/>
  <c r="P1014" i="1" s="1"/>
  <c r="R1017" i="1" l="1"/>
  <c r="V1018" i="1" s="1"/>
  <c r="T1017" i="1"/>
  <c r="X1018" i="1" s="1"/>
  <c r="S1017" i="1"/>
  <c r="W1018" i="1" s="1"/>
  <c r="M1015" i="1"/>
  <c r="O1015" i="1" s="1"/>
  <c r="Q1015" i="1" s="1"/>
  <c r="L1015" i="1"/>
  <c r="N1015" i="1" s="1"/>
  <c r="P1015" i="1" s="1"/>
  <c r="S1018" i="1" l="1"/>
  <c r="W1019" i="1" s="1"/>
  <c r="T1018" i="1"/>
  <c r="X1019" i="1" s="1"/>
  <c r="R1018" i="1"/>
  <c r="V1019" i="1" s="1"/>
  <c r="M1016" i="1"/>
  <c r="O1016" i="1" s="1"/>
  <c r="Q1016" i="1" s="1"/>
  <c r="L1016" i="1"/>
  <c r="N1016" i="1" s="1"/>
  <c r="P1016" i="1" s="1"/>
  <c r="T1019" i="1" l="1"/>
  <c r="X1020" i="1" s="1"/>
  <c r="S1019" i="1"/>
  <c r="W1020" i="1" s="1"/>
  <c r="R1019" i="1"/>
  <c r="V1020" i="1" s="1"/>
  <c r="M1017" i="1"/>
  <c r="O1017" i="1" s="1"/>
  <c r="Q1017" i="1" s="1"/>
  <c r="L1017" i="1"/>
  <c r="N1017" i="1" s="1"/>
  <c r="P1017" i="1" s="1"/>
  <c r="R1020" i="1" l="1"/>
  <c r="V1021" i="1" s="1"/>
  <c r="S1020" i="1"/>
  <c r="W1021" i="1" s="1"/>
  <c r="T1020" i="1"/>
  <c r="X1021" i="1" s="1"/>
  <c r="M1018" i="1"/>
  <c r="O1018" i="1" s="1"/>
  <c r="Q1018" i="1" s="1"/>
  <c r="L1018" i="1"/>
  <c r="N1018" i="1" s="1"/>
  <c r="P1018" i="1" s="1"/>
  <c r="T1021" i="1" l="1"/>
  <c r="X1022" i="1" s="1"/>
  <c r="S1021" i="1"/>
  <c r="W1022" i="1" s="1"/>
  <c r="R1021" i="1"/>
  <c r="V1022" i="1" s="1"/>
  <c r="L1019" i="1"/>
  <c r="N1019" i="1" s="1"/>
  <c r="P1019" i="1" s="1"/>
  <c r="M1019" i="1"/>
  <c r="O1019" i="1" s="1"/>
  <c r="Q1019" i="1" s="1"/>
  <c r="R1022" i="1" l="1"/>
  <c r="V1023" i="1" s="1"/>
  <c r="S1022" i="1"/>
  <c r="W1023" i="1" s="1"/>
  <c r="T1022" i="1"/>
  <c r="X1023" i="1" s="1"/>
  <c r="M1020" i="1"/>
  <c r="O1020" i="1" s="1"/>
  <c r="Q1020" i="1" s="1"/>
  <c r="L1020" i="1"/>
  <c r="N1020" i="1" s="1"/>
  <c r="P1020" i="1" s="1"/>
  <c r="T1023" i="1" l="1"/>
  <c r="X1024" i="1" s="1"/>
  <c r="R1023" i="1"/>
  <c r="V1024" i="1" s="1"/>
  <c r="S1023" i="1"/>
  <c r="W1024" i="1" s="1"/>
  <c r="M1021" i="1"/>
  <c r="O1021" i="1" s="1"/>
  <c r="Q1021" i="1" s="1"/>
  <c r="L1021" i="1"/>
  <c r="N1021" i="1" s="1"/>
  <c r="P1021" i="1" s="1"/>
  <c r="R1024" i="1" l="1"/>
  <c r="V1025" i="1" s="1"/>
  <c r="T1024" i="1"/>
  <c r="X1025" i="1" s="1"/>
  <c r="S1024" i="1"/>
  <c r="W1025" i="1" s="1"/>
  <c r="M1022" i="1"/>
  <c r="O1022" i="1" s="1"/>
  <c r="Q1022" i="1" s="1"/>
  <c r="L1022" i="1"/>
  <c r="N1022" i="1" s="1"/>
  <c r="P1022" i="1" s="1"/>
  <c r="S1025" i="1" l="1"/>
  <c r="W1026" i="1" s="1"/>
  <c r="T1025" i="1"/>
  <c r="X1026" i="1" s="1"/>
  <c r="T1026" i="1" s="1"/>
  <c r="R1025" i="1"/>
  <c r="V1026" i="1" s="1"/>
  <c r="R22" i="1" s="1"/>
  <c r="M1023" i="1"/>
  <c r="O1023" i="1" s="1"/>
  <c r="Q1023" i="1" s="1"/>
  <c r="L1023" i="1"/>
  <c r="N1023" i="1" s="1"/>
  <c r="P1023" i="1" s="1"/>
  <c r="R1026" i="1" l="1"/>
  <c r="S1026" i="1"/>
  <c r="M1024" i="1"/>
  <c r="O1024" i="1" s="1"/>
  <c r="Q1024" i="1" s="1"/>
  <c r="L1024" i="1"/>
  <c r="N1024" i="1" s="1"/>
  <c r="P1024" i="1" s="1"/>
  <c r="L1025" i="1" l="1"/>
  <c r="N1025" i="1" s="1"/>
  <c r="P1025" i="1" s="1"/>
  <c r="M1025" i="1"/>
  <c r="O1025" i="1" s="1"/>
  <c r="Q1025" i="1" s="1"/>
  <c r="M1026" i="1" l="1"/>
  <c r="O1026" i="1" s="1"/>
  <c r="Q1026" i="1" s="1"/>
  <c r="L1026" i="1"/>
  <c r="N1026" i="1" s="1"/>
  <c r="P10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Marcus Gwee Wen Hong</author>
  </authors>
  <commentList>
    <comment ref="N20" authorId="0" shapeId="0" xr:uid="{7F8F15B4-B283-4263-A637-EE6EDA761791}">
      <text>
        <r>
          <rPr>
            <b/>
            <sz val="9"/>
            <color indexed="81"/>
            <rFont val="Tahoma"/>
            <charset val="1"/>
          </rPr>
          <t>Marcus Gwee Wen Hong:</t>
        </r>
        <r>
          <rPr>
            <sz val="9"/>
            <color indexed="81"/>
            <rFont val="Tahoma"/>
            <charset val="1"/>
          </rPr>
          <t xml:space="preserve">
switch here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Ian Sharpe</author>
  </authors>
  <commentList>
    <comment ref="A6" authorId="0" shapeId="0" xr:uid="{8C29F07E-137B-45FB-BE25-D9A9E8FE83CD}">
      <text>
        <r>
          <rPr>
            <b/>
            <sz val="9"/>
            <color indexed="81"/>
            <rFont val="Tahoma"/>
            <family val="2"/>
          </rPr>
          <t>Ian Sharpe: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</commentList>
</comments>
</file>

<file path=xl/sharedStrings.xml><?xml version="1.0" encoding="utf-8"?>
<sst xmlns="http://schemas.openxmlformats.org/spreadsheetml/2006/main" count="59" uniqueCount="49">
  <si>
    <t>x</t>
  </si>
  <si>
    <t>step h</t>
  </si>
  <si>
    <t>delta</t>
  </si>
  <si>
    <t>time</t>
  </si>
  <si>
    <t>Parameters</t>
  </si>
  <si>
    <t>Use</t>
  </si>
  <si>
    <t>Colour key</t>
  </si>
  <si>
    <t>Data/values</t>
  </si>
  <si>
    <t>Calculations</t>
  </si>
  <si>
    <t>Discontinuous formulas</t>
  </si>
  <si>
    <t>Value looked up from data</t>
  </si>
  <si>
    <t>muParameter_B</t>
  </si>
  <si>
    <t>muParameter_c</t>
  </si>
  <si>
    <t>y</t>
  </si>
  <si>
    <t>(We are just using Thiele to calculate EPV of benefits)</t>
  </si>
  <si>
    <t>b1</t>
  </si>
  <si>
    <t>b2</t>
  </si>
  <si>
    <t>b3</t>
  </si>
  <si>
    <t>b12</t>
  </si>
  <si>
    <t>b13</t>
  </si>
  <si>
    <t>b24</t>
  </si>
  <si>
    <t>b34</t>
  </si>
  <si>
    <t>Note 1: There is no premium in this question.</t>
  </si>
  <si>
    <t>Note 2: You need to change the values of the paramters b(i) and b(ij) to get each of the answers.</t>
  </si>
  <si>
    <t>age x+t</t>
  </si>
  <si>
    <t>age y+t</t>
  </si>
  <si>
    <t>Thiele calculation</t>
  </si>
  <si>
    <t>V(4)(t)</t>
  </si>
  <si>
    <t>mu(13)x+t</t>
  </si>
  <si>
    <t>mu(24)x+t</t>
  </si>
  <si>
    <t>mu(12)y+t</t>
  </si>
  <si>
    <t>mu(34)y+t</t>
  </si>
  <si>
    <t>Contracts</t>
  </si>
  <si>
    <t>a</t>
  </si>
  <si>
    <t>b</t>
  </si>
  <si>
    <t>d</t>
  </si>
  <si>
    <t>e</t>
  </si>
  <si>
    <t>f</t>
  </si>
  <si>
    <t>c</t>
  </si>
  <si>
    <t xml:space="preserve">Contract: </t>
  </si>
  <si>
    <t>d/dt V(1)(t)</t>
  </si>
  <si>
    <t>d/dt V(2)(t)</t>
  </si>
  <si>
    <t>d/dt V(3)(t)</t>
  </si>
  <si>
    <t>d/dt V(4)(t)</t>
  </si>
  <si>
    <t>V(1)(t)</t>
  </si>
  <si>
    <t>V(2)(t)</t>
  </si>
  <si>
    <t>V(3)(t)</t>
  </si>
  <si>
    <t xml:space="preserve">Results: </t>
  </si>
  <si>
    <t>V(1)(0)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</si>
</sst>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 tint="-0.3499862666707357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4" fontId="0" fillId="0" borderId="0" xfId="0" applyNumberForma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8" fillId="0" borderId="0" xfId="0" applyFont="1"/>
    <xf numFmtId="0" fontId="1" fillId="0" borderId="4" xfId="0" applyFont="1" applyBorder="1"/>
    <xf numFmtId="0" fontId="10" fillId="0" borderId="4" xfId="0" applyFont="1" applyBorder="1" applyProtection="1">
      <protection locked="0"/>
    </xf>
    <xf numFmtId="0" fontId="3" fillId="0" borderId="4" xfId="0" applyFont="1" applyBorder="1"/>
    <xf numFmtId="0" fontId="3" fillId="2" borderId="4" xfId="0" applyFont="1" applyFill="1" applyBorder="1"/>
    <xf numFmtId="0" fontId="9" fillId="0" borderId="4" xfId="0" applyFont="1" applyBorder="1"/>
    <xf numFmtId="0" fontId="1" fillId="0" borderId="0" xfId="0" applyFont="1"/>
    <xf numFmtId="0" fontId="2" fillId="3" borderId="12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0" fillId="4" borderId="13" xfId="0" applyFill="1" applyBorder="1"/>
    <xf numFmtId="0" fontId="0" fillId="4" borderId="14" xfId="0" applyFill="1" applyBorder="1"/>
    <xf numFmtId="0" fontId="0" fillId="5" borderId="11" xfId="0" applyFill="1" applyBorder="1"/>
    <xf numFmtId="0" fontId="0" fillId="5" borderId="11" xfId="0" applyFill="1" applyBorder="1" applyAlignment="1">
      <alignment horizontal="center" vertical="center"/>
    </xf>
    <xf numFmtId="0" fontId="2" fillId="5" borderId="12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1" fillId="0" borderId="2" xfId="0" applyFont="1" applyBorder="1"/>
    <xf numFmtId="0" fontId="11" fillId="0" borderId="0" xfId="0" applyFont="1"/>
    <xf numFmtId="0" fontId="0" fillId="5" borderId="12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6" borderId="0" xfId="0" applyFill="1"/>
    <xf numFmtId="0" fontId="0" fillId="6" borderId="5" xfId="0" applyFill="1" applyBorder="1"/>
    <xf numFmtId="0" fontId="0" fillId="6" borderId="7" xfId="0" applyFill="1" applyBorder="1"/>
    <xf numFmtId="0" fontId="0" fillId="6" borderId="8" xfId="0" applyFill="1" applyBorder="1"/>
    <xf numFmtId="0" fontId="0" fillId="7" borderId="4" xfId="0" applyFill="1" applyBorder="1"/>
    <xf numFmtId="0" fontId="0" fillId="7" borderId="0" xfId="0" applyFill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7" fillId="3" borderId="1" xfId="0" applyFont="1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500822</xdr:colOff>
      <xdr:row>24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FE93AD-039E-AD44-731B-E7BCD8591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87222" cy="4733925"/>
        </a:xfrm>
        <a:prstGeom prst="rect">
          <a:avLst/>
        </a:prstGeom>
      </xdr:spPr>
    </xdr:pic>
    <xdr:clientData/>
  </xdr:twoCellAnchor>
  <xdr:oneCellAnchor>
    <xdr:from>
      <xdr:col>10</xdr:col>
      <xdr:colOff>428942</xdr:colOff>
      <xdr:row>20</xdr:row>
      <xdr:rowOff>100076</xdr:rowOff>
    </xdr:from>
    <xdr:ext cx="4057333" cy="5100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6892F6A-8D57-BB96-7F89-EA402235DFFD}"/>
                </a:ext>
              </a:extLst>
            </xdr:cNvPr>
            <xdr:cNvSpPr txBox="1"/>
          </xdr:nvSpPr>
          <xdr:spPr>
            <a:xfrm>
              <a:off x="6524942" y="3786251"/>
              <a:ext cx="4057333" cy="510011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p>
                    <m:d>
                      <m:d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GB" sz="11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p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p>
                    <m:d>
                      <m:dPr>
                        <m:ctrlPr>
                          <a:rPr lang="en-GB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</m:d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𝛿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−</m:t>
                    </m:r>
                    <m:nary>
                      <m:naryPr>
                        <m:chr m:val="∑"/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≠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  <m:sup/>
                      <m:e>
                        <m:sSubSup>
                          <m:sSubSup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GB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  <m:sup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𝑖𝑗</m:t>
                            </m:r>
                          </m:sup>
                        </m:sSubSup>
                        <m:d>
                          <m:d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𝑖𝑗</m:t>
                                </m:r>
                              </m:sub>
                            </m:s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p>
                              <m:sSupPr>
                                <m:ctrlP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𝑉</m:t>
                                </m:r>
                              </m:e>
                              <m:sup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p>
                            </m:sSup>
                            <m:d>
                              <m:dPr>
                                <m:ctrlPr>
                                  <a:rPr lang="en-GB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e>
                            </m:d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 </m:t>
                            </m:r>
                            <m:sSup>
                              <m:sSupPr>
                                <m:ctrlP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𝑉</m:t>
                                </m:r>
                              </m:e>
                              <m:sup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p>
                            </m:sSup>
                            <m:d>
                              <m:dPr>
                                <m:ctrlPr>
                                  <a:rPr lang="en-GB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GB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e>
                            </m:d>
                          </m:e>
                        </m:d>
                      </m:e>
                    </m:nary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6892F6A-8D57-BB96-7F89-EA402235DFFD}"/>
                </a:ext>
              </a:extLst>
            </xdr:cNvPr>
            <xdr:cNvSpPr txBox="1"/>
          </xdr:nvSpPr>
          <xdr:spPr>
            <a:xfrm>
              <a:off x="6524942" y="3786251"/>
              <a:ext cx="4057333" cy="510011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𝑑/𝑑𝑡 𝑉^𝑖 </a:t>
              </a:r>
              <a:r>
                <a:rPr lang="en-GB" sz="1100" i="0">
                  <a:latin typeface="Cambria Math" panose="02040503050406030204" pitchFamily="18" charset="0"/>
                </a:rPr>
                <a:t>(</a:t>
              </a:r>
              <a:r>
                <a:rPr lang="en-GB" sz="1100" b="0" i="0">
                  <a:latin typeface="Cambria Math" panose="02040503050406030204" pitchFamily="18" charset="0"/>
                </a:rPr>
                <a:t>𝑡)</a:t>
              </a:r>
              <a:r>
                <a:rPr lang="en-GB" sz="110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𝑉^𝑖 </a:t>
              </a:r>
              <a:r>
                <a:rPr lang="en-GB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𝑡)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𝛿−𝑏_𝑖−</a:t>
              </a:r>
              <a:r>
                <a:rPr lang="en-GB" sz="1100" i="0">
                  <a:latin typeface="Cambria Math" panose="02040503050406030204" pitchFamily="18" charset="0"/>
                </a:rPr>
                <a:t>∑24_(</a:t>
              </a:r>
              <a:r>
                <a:rPr lang="en-GB" sz="1100" b="0" i="0">
                  <a:latin typeface="Cambria Math" panose="02040503050406030204" pitchFamily="18" charset="0"/>
                </a:rPr>
                <a:t>𝑗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≠𝑖)▒〖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n-GB" sz="1100" b="0" i="0">
                  <a:latin typeface="Cambria Math" panose="02040503050406030204" pitchFamily="18" charset="0"/>
                </a:rPr>
                <a:t>𝑡^𝑖𝑗 (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𝑏_𝑖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𝑗+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𝑉^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𝑗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(𝑡)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 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𝑉^𝑖 (𝑡)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〗</a:t>
              </a:r>
              <a:endParaRPr lang="en-GB" sz="1100"/>
            </a:p>
          </xdr:txBody>
        </xdr:sp>
      </mc:Fallback>
    </mc:AlternateContent>
    <xdr:clientData/>
  </xdr:oneCellAnchor>
  <xdr:twoCellAnchor editAs="oneCell">
    <xdr:from>
      <xdr:col>0</xdr:col>
      <xdr:colOff>409575</xdr:colOff>
      <xdr:row>24</xdr:row>
      <xdr:rowOff>19051</xdr:rowOff>
    </xdr:from>
    <xdr:to>
      <xdr:col>9</xdr:col>
      <xdr:colOff>183689</xdr:colOff>
      <xdr:row>41</xdr:row>
      <xdr:rowOff>104776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8964141-E931-7297-60C8-9E205DA8D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" y="4667251"/>
          <a:ext cx="5260514" cy="33337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4DF4-61C5-4C7B-BA6F-9F154C1DB824}">
  <dimension ref="J1:Z1026"/>
  <sheetViews>
    <sheetView tabSelected="1" topLeftCell="F1" zoomScale="65" zoomScaleNormal="100" workbookViewId="0">
      <selection activeCell="U21" sqref="U21"/>
    </sheetView>
  </sheetViews>
  <sheetFormatPr defaultRowHeight="14.25" x14ac:dyDescent="0.45"/>
  <cols>
    <col min="11" max="11" width="19.3984375" customWidth="1"/>
    <col min="14" max="14" width="10.9296875" customWidth="1"/>
    <col min="15" max="15" width="10.6640625" customWidth="1"/>
    <col min="16" max="16" width="10.73046875" customWidth="1"/>
    <col min="17" max="20" width="13" customWidth="1"/>
    <col min="21" max="21" width="12.73046875" bestFit="1" customWidth="1"/>
    <col min="22" max="24" width="15.59765625" customWidth="1"/>
    <col min="25" max="25" width="12" bestFit="1" customWidth="1"/>
    <col min="26" max="26" width="26.3984375" customWidth="1"/>
    <col min="28" max="28" width="12" bestFit="1" customWidth="1"/>
    <col min="29" max="29" width="14.3984375" customWidth="1"/>
    <col min="30" max="30" width="12" bestFit="1" customWidth="1"/>
    <col min="31" max="31" width="10" bestFit="1" customWidth="1"/>
    <col min="32" max="33" width="13.73046875" bestFit="1" customWidth="1"/>
    <col min="44" max="45" width="13.73046875" bestFit="1" customWidth="1"/>
  </cols>
  <sheetData>
    <row r="1" spans="11:18" ht="14.65" thickBot="1" x14ac:dyDescent="0.5">
      <c r="K1" s="14" t="s">
        <v>4</v>
      </c>
      <c r="L1" s="2"/>
      <c r="M1" s="2"/>
      <c r="N1" s="33">
        <v>2</v>
      </c>
      <c r="O1" s="33">
        <v>3</v>
      </c>
      <c r="P1" s="33">
        <v>4</v>
      </c>
      <c r="Q1" s="2"/>
      <c r="R1" s="3"/>
    </row>
    <row r="2" spans="11:18" ht="14.65" thickBot="1" x14ac:dyDescent="0.5">
      <c r="K2" s="4" t="s">
        <v>11</v>
      </c>
      <c r="L2" s="21">
        <v>4.0000000000000002E-4</v>
      </c>
      <c r="M2" s="21"/>
      <c r="N2" s="10" t="s">
        <v>15</v>
      </c>
      <c r="O2" s="2" t="s">
        <v>16</v>
      </c>
      <c r="P2" s="3" t="s">
        <v>17</v>
      </c>
      <c r="R2" s="5"/>
    </row>
    <row r="3" spans="11:18" ht="14.65" thickBot="1" x14ac:dyDescent="0.5">
      <c r="K3" s="4" t="s">
        <v>12</v>
      </c>
      <c r="L3" s="21">
        <v>1.0900000000000001</v>
      </c>
      <c r="M3" s="21"/>
      <c r="N3" s="30">
        <f>VLOOKUP(contract_name,contracts,N1)</f>
        <v>0</v>
      </c>
      <c r="O3" s="31">
        <f>VLOOKUP(contract_name,contracts,O1)</f>
        <v>0</v>
      </c>
      <c r="P3" s="32">
        <f>VLOOKUP(contract_name,contracts,P1)</f>
        <v>0</v>
      </c>
      <c r="R3" s="5"/>
    </row>
    <row r="4" spans="11:18" ht="14.65" thickBot="1" x14ac:dyDescent="0.5">
      <c r="K4" s="4" t="s">
        <v>0</v>
      </c>
      <c r="L4" s="21">
        <v>40</v>
      </c>
      <c r="N4" s="34">
        <v>5</v>
      </c>
      <c r="O4" s="34">
        <v>6</v>
      </c>
      <c r="P4" s="34">
        <v>7</v>
      </c>
      <c r="Q4" s="34">
        <v>8</v>
      </c>
      <c r="R4" s="5"/>
    </row>
    <row r="5" spans="11:18" ht="14.65" thickBot="1" x14ac:dyDescent="0.5">
      <c r="K5" s="4" t="s">
        <v>13</v>
      </c>
      <c r="L5" s="21">
        <v>35</v>
      </c>
      <c r="M5" s="21"/>
      <c r="N5" s="10" t="s">
        <v>18</v>
      </c>
      <c r="O5" s="2" t="s">
        <v>19</v>
      </c>
      <c r="P5" s="2" t="s">
        <v>20</v>
      </c>
      <c r="Q5" s="3" t="s">
        <v>21</v>
      </c>
      <c r="R5" s="5"/>
    </row>
    <row r="6" spans="11:18" ht="14.65" thickBot="1" x14ac:dyDescent="0.5">
      <c r="K6" s="4" t="s">
        <v>2</v>
      </c>
      <c r="L6" s="21">
        <v>0.05</v>
      </c>
      <c r="N6" s="30">
        <f>VLOOKUP(contract_name,contracts,N4)</f>
        <v>1</v>
      </c>
      <c r="O6" s="31">
        <f>VLOOKUP(contract_name,contracts,O4)</f>
        <v>1</v>
      </c>
      <c r="P6" s="31">
        <f>VLOOKUP(contract_name,contracts,P4)</f>
        <v>0</v>
      </c>
      <c r="Q6" s="32">
        <f>VLOOKUP(contract_name,contracts,Q4)</f>
        <v>0</v>
      </c>
      <c r="R6" s="5"/>
    </row>
    <row r="7" spans="11:18" x14ac:dyDescent="0.45">
      <c r="K7" s="4" t="s">
        <v>1</v>
      </c>
      <c r="L7" s="21">
        <v>0.01</v>
      </c>
      <c r="N7" s="21"/>
      <c r="O7" s="21"/>
      <c r="P7" s="21"/>
      <c r="Q7" s="21"/>
      <c r="R7" s="5"/>
    </row>
    <row r="8" spans="11:18" ht="14.65" thickBot="1" x14ac:dyDescent="0.5">
      <c r="K8" s="6" t="s">
        <v>27</v>
      </c>
      <c r="L8" s="7">
        <v>0</v>
      </c>
      <c r="M8" s="7"/>
      <c r="N8" s="8"/>
      <c r="O8" s="8"/>
      <c r="P8" s="8"/>
      <c r="Q8" s="8"/>
      <c r="R8" s="9"/>
    </row>
    <row r="9" spans="11:18" x14ac:dyDescent="0.45">
      <c r="K9" s="15" t="s">
        <v>22</v>
      </c>
    </row>
    <row r="10" spans="11:18" x14ac:dyDescent="0.45">
      <c r="K10" s="15" t="s">
        <v>14</v>
      </c>
    </row>
    <row r="11" spans="11:18" ht="14.65" thickBot="1" x14ac:dyDescent="0.5">
      <c r="K11" s="15" t="s">
        <v>23</v>
      </c>
    </row>
    <row r="12" spans="11:18" ht="14.65" thickBot="1" x14ac:dyDescent="0.5">
      <c r="K12" s="22" t="s">
        <v>32</v>
      </c>
      <c r="L12" s="23" t="s">
        <v>15</v>
      </c>
      <c r="M12" s="23" t="s">
        <v>16</v>
      </c>
      <c r="N12" s="23" t="s">
        <v>17</v>
      </c>
      <c r="O12" s="23" t="s">
        <v>18</v>
      </c>
      <c r="P12" s="23" t="s">
        <v>19</v>
      </c>
      <c r="Q12" s="23" t="s">
        <v>20</v>
      </c>
      <c r="R12" s="24" t="s">
        <v>21</v>
      </c>
    </row>
    <row r="13" spans="11:18" x14ac:dyDescent="0.45">
      <c r="K13" s="25" t="s">
        <v>33</v>
      </c>
      <c r="L13">
        <f>0</f>
        <v>0</v>
      </c>
      <c r="M13">
        <f>0</f>
        <v>0</v>
      </c>
      <c r="N13">
        <f>0</f>
        <v>0</v>
      </c>
      <c r="O13">
        <f>1</f>
        <v>1</v>
      </c>
      <c r="P13">
        <f>1</f>
        <v>1</v>
      </c>
      <c r="Q13">
        <f>0</f>
        <v>0</v>
      </c>
      <c r="R13" s="5">
        <f>0</f>
        <v>0</v>
      </c>
    </row>
    <row r="14" spans="11:18" x14ac:dyDescent="0.45">
      <c r="K14" s="25" t="s">
        <v>34</v>
      </c>
      <c r="L14">
        <f>0</f>
        <v>0</v>
      </c>
      <c r="M14">
        <f>0</f>
        <v>0</v>
      </c>
      <c r="N14">
        <f>0</f>
        <v>0</v>
      </c>
      <c r="O14">
        <f>0</f>
        <v>0</v>
      </c>
      <c r="P14">
        <f>0</f>
        <v>0</v>
      </c>
      <c r="Q14">
        <f>1</f>
        <v>1</v>
      </c>
      <c r="R14" s="5">
        <f>1</f>
        <v>1</v>
      </c>
    </row>
    <row r="15" spans="11:18" x14ac:dyDescent="0.45">
      <c r="K15" s="25" t="s">
        <v>38</v>
      </c>
      <c r="L15">
        <f>0</f>
        <v>0</v>
      </c>
      <c r="M15">
        <f>0</f>
        <v>0</v>
      </c>
      <c r="N15">
        <f>0</f>
        <v>0</v>
      </c>
      <c r="O15">
        <f>0</f>
        <v>0</v>
      </c>
      <c r="P15">
        <f>1</f>
        <v>1</v>
      </c>
      <c r="Q15">
        <f>0</f>
        <v>0</v>
      </c>
      <c r="R15" s="5">
        <f>0</f>
        <v>0</v>
      </c>
    </row>
    <row r="16" spans="11:18" x14ac:dyDescent="0.45">
      <c r="K16" s="25" t="s">
        <v>35</v>
      </c>
      <c r="L16">
        <f>1</f>
        <v>1</v>
      </c>
      <c r="M16">
        <f>0</f>
        <v>0</v>
      </c>
      <c r="N16">
        <f>0</f>
        <v>0</v>
      </c>
      <c r="O16">
        <f>0</f>
        <v>0</v>
      </c>
      <c r="P16">
        <f>0</f>
        <v>0</v>
      </c>
      <c r="Q16">
        <f>0</f>
        <v>0</v>
      </c>
      <c r="R16" s="5">
        <f>0</f>
        <v>0</v>
      </c>
    </row>
    <row r="17" spans="10:26" x14ac:dyDescent="0.45">
      <c r="K17" s="25" t="s">
        <v>36</v>
      </c>
      <c r="L17">
        <f>1</f>
        <v>1</v>
      </c>
      <c r="M17">
        <f>1</f>
        <v>1</v>
      </c>
      <c r="N17">
        <f>1</f>
        <v>1</v>
      </c>
      <c r="O17">
        <f>0</f>
        <v>0</v>
      </c>
      <c r="P17">
        <f>0</f>
        <v>0</v>
      </c>
      <c r="Q17">
        <f>0</f>
        <v>0</v>
      </c>
      <c r="R17" s="5">
        <f>0</f>
        <v>0</v>
      </c>
    </row>
    <row r="18" spans="10:26" ht="14.65" thickBot="1" x14ac:dyDescent="0.5">
      <c r="K18" s="26" t="s">
        <v>37</v>
      </c>
      <c r="L18" s="8">
        <f>0</f>
        <v>0</v>
      </c>
      <c r="M18" s="8">
        <f>1</f>
        <v>1</v>
      </c>
      <c r="N18" s="8">
        <f>0</f>
        <v>0</v>
      </c>
      <c r="O18" s="8">
        <f>0</f>
        <v>0</v>
      </c>
      <c r="P18" s="8">
        <f>0</f>
        <v>0</v>
      </c>
      <c r="Q18" s="8">
        <f>0</f>
        <v>0</v>
      </c>
      <c r="R18" s="9">
        <f>0</f>
        <v>0</v>
      </c>
    </row>
    <row r="19" spans="10:26" ht="14.65" thickBot="1" x14ac:dyDescent="0.5">
      <c r="J19" s="12"/>
    </row>
    <row r="20" spans="10:26" ht="14.65" thickBot="1" x14ac:dyDescent="0.5">
      <c r="K20" s="13" t="s">
        <v>26</v>
      </c>
      <c r="M20" s="29" t="s">
        <v>39</v>
      </c>
      <c r="N20" s="28" t="s">
        <v>33</v>
      </c>
    </row>
    <row r="21" spans="10:26" ht="14.65" thickBot="1" x14ac:dyDescent="0.5">
      <c r="K21" t="s">
        <v>5</v>
      </c>
      <c r="Q21" s="55" t="s">
        <v>47</v>
      </c>
      <c r="R21" s="56"/>
    </row>
    <row r="22" spans="10:26" ht="14.65" thickBot="1" x14ac:dyDescent="0.5">
      <c r="Q22" s="35" t="s">
        <v>48</v>
      </c>
      <c r="R22" s="27">
        <f>V1026</f>
        <v>0.21586287662454157</v>
      </c>
    </row>
    <row r="24" spans="10:26" ht="14.65" thickBot="1" x14ac:dyDescent="0.5"/>
    <row r="25" spans="10:26" ht="14.65" thickBot="1" x14ac:dyDescent="0.5">
      <c r="K25" s="36" t="s">
        <v>3</v>
      </c>
      <c r="L25" s="37" t="s">
        <v>24</v>
      </c>
      <c r="M25" s="38" t="s">
        <v>25</v>
      </c>
      <c r="N25" s="36" t="s">
        <v>28</v>
      </c>
      <c r="O25" s="37" t="s">
        <v>30</v>
      </c>
      <c r="P25" s="37" t="s">
        <v>29</v>
      </c>
      <c r="Q25" s="38" t="s">
        <v>31</v>
      </c>
      <c r="R25" s="36" t="s">
        <v>40</v>
      </c>
      <c r="S25" s="37" t="s">
        <v>41</v>
      </c>
      <c r="T25" s="37" t="s">
        <v>42</v>
      </c>
      <c r="U25" s="38" t="s">
        <v>43</v>
      </c>
      <c r="V25" s="37" t="s">
        <v>44</v>
      </c>
      <c r="W25" s="37" t="s">
        <v>45</v>
      </c>
      <c r="X25" s="37" t="s">
        <v>46</v>
      </c>
      <c r="Y25" s="38" t="s">
        <v>27</v>
      </c>
    </row>
    <row r="26" spans="10:26" x14ac:dyDescent="0.45">
      <c r="K26" s="39">
        <v>10</v>
      </c>
      <c r="L26" s="40">
        <f t="shared" ref="L26:L89" si="0">InitialAge_x+K26</f>
        <v>50</v>
      </c>
      <c r="M26" s="41">
        <f t="shared" ref="M26:M89" si="1">InitialAge_y+K26</f>
        <v>45</v>
      </c>
      <c r="N26" s="49">
        <f t="shared" ref="N26:N89" si="2">muParameter_B*muParameter_c^L26</f>
        <v>2.9743008030327828E-2</v>
      </c>
      <c r="O26" s="50">
        <f t="shared" ref="O26:O89" si="3">muParameter_B*muParameter_c^M26</f>
        <v>1.9330914441833782E-2</v>
      </c>
      <c r="P26" s="50">
        <f>N26</f>
        <v>2.9743008030327828E-2</v>
      </c>
      <c r="Q26" s="51">
        <f>O26</f>
        <v>1.9330914441833782E-2</v>
      </c>
      <c r="R26" s="4">
        <f t="shared" ref="R26:R89" si="4">V26*Delta-Constant_b1-(O26*(Constant_b12+W26-V26)+N26*(Constant_b13+X26-V26))</f>
        <v>-4.9073922472161607E-2</v>
      </c>
      <c r="S26">
        <f t="shared" ref="S26:S89" si="5">W26*Delta-Constant_b2-(P26*(Constant_b24+Y26-W26)+Q26*(Constant_b34+Y26-X26))</f>
        <v>0</v>
      </c>
      <c r="T26">
        <f t="shared" ref="T26:T89" si="6">X26*Delta-Constant_b3-(Q26*(Constant_b34+Y26-X26))</f>
        <v>0</v>
      </c>
      <c r="U26" s="5">
        <f>0</f>
        <v>0</v>
      </c>
      <c r="V26" s="45">
        <f>0</f>
        <v>0</v>
      </c>
      <c r="W26" s="45">
        <f>0</f>
        <v>0</v>
      </c>
      <c r="X26" s="45">
        <f>0</f>
        <v>0</v>
      </c>
      <c r="Y26" s="46">
        <f>VState4</f>
        <v>0</v>
      </c>
      <c r="Z26" s="11"/>
    </row>
    <row r="27" spans="10:26" x14ac:dyDescent="0.45">
      <c r="K27" s="39">
        <f t="shared" ref="K27:K90" si="7">ROUND(K26-StepSize,2)</f>
        <v>9.99</v>
      </c>
      <c r="L27" s="40">
        <f t="shared" si="0"/>
        <v>49.99</v>
      </c>
      <c r="M27" s="41">
        <f t="shared" si="1"/>
        <v>44.99</v>
      </c>
      <c r="N27" s="49">
        <f t="shared" si="2"/>
        <v>2.9717387232506828E-2</v>
      </c>
      <c r="O27" s="50">
        <f t="shared" si="3"/>
        <v>1.9314262681187903E-2</v>
      </c>
      <c r="P27" s="50">
        <f t="shared" ref="P27:P90" si="8">N27</f>
        <v>2.9717387232506828E-2</v>
      </c>
      <c r="Q27" s="51">
        <f t="shared" ref="Q27:Q90" si="9">O27</f>
        <v>1.9314262681187903E-2</v>
      </c>
      <c r="R27" s="4">
        <f t="shared" si="4"/>
        <v>-4.8983051198593183E-2</v>
      </c>
      <c r="S27">
        <f t="shared" si="5"/>
        <v>0</v>
      </c>
      <c r="T27">
        <f t="shared" si="6"/>
        <v>0</v>
      </c>
      <c r="U27" s="5">
        <f>0</f>
        <v>0</v>
      </c>
      <c r="V27" s="45">
        <f t="shared" ref="V27:V90" si="10">V26-StepSize*(R26)</f>
        <v>4.9073922472161612E-4</v>
      </c>
      <c r="W27" s="45">
        <f t="shared" ref="W27:W90" si="11">W26-StepSize*(S26)</f>
        <v>0</v>
      </c>
      <c r="X27" s="45">
        <f t="shared" ref="X27:X90" si="12">X26-StepSize*(T26)</f>
        <v>0</v>
      </c>
      <c r="Y27" s="46">
        <f>0</f>
        <v>0</v>
      </c>
      <c r="Z27" s="11"/>
    </row>
    <row r="28" spans="10:26" x14ac:dyDescent="0.45">
      <c r="K28" s="39">
        <f t="shared" si="7"/>
        <v>9.98</v>
      </c>
      <c r="L28" s="40">
        <f t="shared" si="0"/>
        <v>49.980000000000004</v>
      </c>
      <c r="M28" s="41">
        <f t="shared" si="1"/>
        <v>44.980000000000004</v>
      </c>
      <c r="N28" s="49">
        <f t="shared" si="2"/>
        <v>2.969178850458808E-2</v>
      </c>
      <c r="O28" s="50">
        <f t="shared" si="3"/>
        <v>1.9297625264464206E-2</v>
      </c>
      <c r="P28" s="50">
        <f t="shared" si="8"/>
        <v>2.969178850458808E-2</v>
      </c>
      <c r="Q28" s="51">
        <f t="shared" si="9"/>
        <v>1.9297625264464206E-2</v>
      </c>
      <c r="R28" s="4">
        <f t="shared" si="4"/>
        <v>-4.8892347745655929E-2</v>
      </c>
      <c r="S28">
        <f t="shared" si="5"/>
        <v>0</v>
      </c>
      <c r="T28">
        <f t="shared" si="6"/>
        <v>0</v>
      </c>
      <c r="U28" s="5">
        <f>0</f>
        <v>0</v>
      </c>
      <c r="V28" s="45">
        <f t="shared" si="10"/>
        <v>9.8056973670754798E-4</v>
      </c>
      <c r="W28" s="45">
        <f t="shared" si="11"/>
        <v>0</v>
      </c>
      <c r="X28" s="45">
        <f t="shared" si="12"/>
        <v>0</v>
      </c>
      <c r="Y28" s="46">
        <f>0</f>
        <v>0</v>
      </c>
      <c r="Z28" s="11"/>
    </row>
    <row r="29" spans="10:26" x14ac:dyDescent="0.45">
      <c r="K29" s="39">
        <f t="shared" si="7"/>
        <v>9.9700000000000006</v>
      </c>
      <c r="L29" s="40">
        <f t="shared" si="0"/>
        <v>49.97</v>
      </c>
      <c r="M29" s="41">
        <f t="shared" si="1"/>
        <v>44.97</v>
      </c>
      <c r="N29" s="49">
        <f t="shared" si="2"/>
        <v>2.9666211827560456E-2</v>
      </c>
      <c r="O29" s="50">
        <f t="shared" si="3"/>
        <v>1.9281002179306738E-2</v>
      </c>
      <c r="P29" s="50">
        <f t="shared" si="8"/>
        <v>2.9666211827560456E-2</v>
      </c>
      <c r="Q29" s="51">
        <f t="shared" si="9"/>
        <v>1.9281002179306738E-2</v>
      </c>
      <c r="R29" s="4">
        <f t="shared" si="4"/>
        <v>-4.8801811747323655E-2</v>
      </c>
      <c r="S29">
        <f t="shared" si="5"/>
        <v>0</v>
      </c>
      <c r="T29">
        <f t="shared" si="6"/>
        <v>0</v>
      </c>
      <c r="U29" s="5">
        <f>0</f>
        <v>0</v>
      </c>
      <c r="V29" s="45">
        <f t="shared" si="10"/>
        <v>1.4694932141641071E-3</v>
      </c>
      <c r="W29" s="45">
        <f t="shared" si="11"/>
        <v>0</v>
      </c>
      <c r="X29" s="45">
        <f t="shared" si="12"/>
        <v>0</v>
      </c>
      <c r="Y29" s="46">
        <f>0</f>
        <v>0</v>
      </c>
      <c r="Z29" s="11"/>
    </row>
    <row r="30" spans="10:26" x14ac:dyDescent="0.45">
      <c r="K30" s="39">
        <f t="shared" si="7"/>
        <v>9.9600000000000009</v>
      </c>
      <c r="L30" s="40">
        <f t="shared" si="0"/>
        <v>49.96</v>
      </c>
      <c r="M30" s="41">
        <f t="shared" si="1"/>
        <v>44.96</v>
      </c>
      <c r="N30" s="49">
        <f t="shared" si="2"/>
        <v>2.964065718242926E-2</v>
      </c>
      <c r="O30" s="50">
        <f t="shared" si="3"/>
        <v>1.9264393413370242E-2</v>
      </c>
      <c r="P30" s="50">
        <f t="shared" si="8"/>
        <v>2.964065718242926E-2</v>
      </c>
      <c r="Q30" s="51">
        <f t="shared" si="9"/>
        <v>1.9264393413370242E-2</v>
      </c>
      <c r="R30" s="4">
        <f t="shared" si="4"/>
        <v>-4.871144283850206E-2</v>
      </c>
      <c r="S30">
        <f t="shared" si="5"/>
        <v>0</v>
      </c>
      <c r="T30">
        <f t="shared" si="6"/>
        <v>0</v>
      </c>
      <c r="U30" s="5">
        <f>0</f>
        <v>0</v>
      </c>
      <c r="V30" s="45">
        <f t="shared" si="10"/>
        <v>1.9575113316373438E-3</v>
      </c>
      <c r="W30" s="45">
        <f t="shared" si="11"/>
        <v>0</v>
      </c>
      <c r="X30" s="45">
        <f t="shared" si="12"/>
        <v>0</v>
      </c>
      <c r="Y30" s="46">
        <f>0</f>
        <v>0</v>
      </c>
      <c r="Z30" s="11"/>
    </row>
    <row r="31" spans="10:26" x14ac:dyDescent="0.45">
      <c r="K31" s="39">
        <f t="shared" si="7"/>
        <v>9.9499999999999993</v>
      </c>
      <c r="L31" s="40">
        <f t="shared" si="0"/>
        <v>49.95</v>
      </c>
      <c r="M31" s="41">
        <f t="shared" si="1"/>
        <v>44.95</v>
      </c>
      <c r="N31" s="49">
        <f t="shared" si="2"/>
        <v>2.9615124550216025E-2</v>
      </c>
      <c r="O31" s="50">
        <f t="shared" si="3"/>
        <v>1.9247798954320057E-2</v>
      </c>
      <c r="P31" s="50">
        <f t="shared" si="8"/>
        <v>2.9615124550216025E-2</v>
      </c>
      <c r="Q31" s="51">
        <f t="shared" si="9"/>
        <v>1.9247798954320057E-2</v>
      </c>
      <c r="R31" s="4">
        <f t="shared" si="4"/>
        <v>-4.8621240655025773E-2</v>
      </c>
      <c r="S31">
        <f t="shared" si="5"/>
        <v>0</v>
      </c>
      <c r="T31">
        <f t="shared" si="6"/>
        <v>0</v>
      </c>
      <c r="U31" s="5">
        <f>0</f>
        <v>0</v>
      </c>
      <c r="V31" s="45">
        <f t="shared" si="10"/>
        <v>2.4446257600223642E-3</v>
      </c>
      <c r="W31" s="45">
        <f t="shared" si="11"/>
        <v>0</v>
      </c>
      <c r="X31" s="45">
        <f t="shared" si="12"/>
        <v>0</v>
      </c>
      <c r="Y31" s="46">
        <f>0</f>
        <v>0</v>
      </c>
      <c r="Z31" s="11"/>
    </row>
    <row r="32" spans="10:26" x14ac:dyDescent="0.45">
      <c r="K32" s="39">
        <f t="shared" si="7"/>
        <v>9.94</v>
      </c>
      <c r="L32" s="40">
        <f t="shared" si="0"/>
        <v>49.94</v>
      </c>
      <c r="M32" s="41">
        <f t="shared" si="1"/>
        <v>44.94</v>
      </c>
      <c r="N32" s="49">
        <f t="shared" si="2"/>
        <v>2.9589613911958693E-2</v>
      </c>
      <c r="O32" s="50">
        <f t="shared" si="3"/>
        <v>1.9231218789832111E-2</v>
      </c>
      <c r="P32" s="50">
        <f t="shared" si="8"/>
        <v>2.9589613911958693E-2</v>
      </c>
      <c r="Q32" s="51">
        <f t="shared" si="9"/>
        <v>1.9231218789832111E-2</v>
      </c>
      <c r="R32" s="4">
        <f t="shared" si="4"/>
        <v>-4.8531204833655903E-2</v>
      </c>
      <c r="S32">
        <f t="shared" si="5"/>
        <v>0</v>
      </c>
      <c r="T32">
        <f t="shared" si="6"/>
        <v>0</v>
      </c>
      <c r="U32" s="5">
        <f>0</f>
        <v>0</v>
      </c>
      <c r="V32" s="45">
        <f t="shared" si="10"/>
        <v>2.9308381665726219E-3</v>
      </c>
      <c r="W32" s="45">
        <f t="shared" si="11"/>
        <v>0</v>
      </c>
      <c r="X32" s="45">
        <f t="shared" si="12"/>
        <v>0</v>
      </c>
      <c r="Y32" s="46">
        <f>0</f>
        <v>0</v>
      </c>
      <c r="Z32" s="11"/>
    </row>
    <row r="33" spans="11:26" x14ac:dyDescent="0.45">
      <c r="K33" s="39">
        <f t="shared" si="7"/>
        <v>9.93</v>
      </c>
      <c r="L33" s="40">
        <f t="shared" si="0"/>
        <v>49.93</v>
      </c>
      <c r="M33" s="41">
        <f t="shared" si="1"/>
        <v>44.93</v>
      </c>
      <c r="N33" s="49">
        <f t="shared" si="2"/>
        <v>2.9564125248711597E-2</v>
      </c>
      <c r="O33" s="50">
        <f t="shared" si="3"/>
        <v>1.9214652907593034E-2</v>
      </c>
      <c r="P33" s="50">
        <f t="shared" si="8"/>
        <v>2.9564125248711597E-2</v>
      </c>
      <c r="Q33" s="51">
        <f t="shared" si="9"/>
        <v>1.9214652907593034E-2</v>
      </c>
      <c r="R33" s="4">
        <f t="shared" si="4"/>
        <v>-4.8441335012077501E-2</v>
      </c>
      <c r="S33">
        <f t="shared" si="5"/>
        <v>0</v>
      </c>
      <c r="T33">
        <f t="shared" si="6"/>
        <v>0</v>
      </c>
      <c r="U33" s="5">
        <f>0</f>
        <v>0</v>
      </c>
      <c r="V33" s="45">
        <f t="shared" si="10"/>
        <v>3.4161502149091809E-3</v>
      </c>
      <c r="W33" s="45">
        <f t="shared" si="11"/>
        <v>0</v>
      </c>
      <c r="X33" s="45">
        <f t="shared" si="12"/>
        <v>0</v>
      </c>
      <c r="Y33" s="46">
        <f>0</f>
        <v>0</v>
      </c>
      <c r="Z33" s="11"/>
    </row>
    <row r="34" spans="11:26" x14ac:dyDescent="0.45">
      <c r="K34" s="39">
        <f t="shared" si="7"/>
        <v>9.92</v>
      </c>
      <c r="L34" s="40">
        <f t="shared" si="0"/>
        <v>49.92</v>
      </c>
      <c r="M34" s="41">
        <f t="shared" si="1"/>
        <v>44.92</v>
      </c>
      <c r="N34" s="49">
        <f t="shared" si="2"/>
        <v>2.9538658541545301E-2</v>
      </c>
      <c r="O34" s="50">
        <f t="shared" si="3"/>
        <v>1.9198101295299998E-2</v>
      </c>
      <c r="P34" s="50">
        <f t="shared" si="8"/>
        <v>2.9538658541545301E-2</v>
      </c>
      <c r="Q34" s="51">
        <f t="shared" si="9"/>
        <v>1.9198101295299998E-2</v>
      </c>
      <c r="R34" s="4">
        <f t="shared" si="4"/>
        <v>-4.8351630828896583E-2</v>
      </c>
      <c r="S34">
        <f t="shared" si="5"/>
        <v>0</v>
      </c>
      <c r="T34">
        <f t="shared" si="6"/>
        <v>0</v>
      </c>
      <c r="U34" s="5">
        <f>0</f>
        <v>0</v>
      </c>
      <c r="V34" s="45">
        <f t="shared" si="10"/>
        <v>3.9005635650299561E-3</v>
      </c>
      <c r="W34" s="45">
        <f t="shared" si="11"/>
        <v>0</v>
      </c>
      <c r="X34" s="45">
        <f t="shared" si="12"/>
        <v>0</v>
      </c>
      <c r="Y34" s="46">
        <f>0</f>
        <v>0</v>
      </c>
      <c r="Z34" s="11"/>
    </row>
    <row r="35" spans="11:26" x14ac:dyDescent="0.45">
      <c r="K35" s="39">
        <f t="shared" si="7"/>
        <v>9.91</v>
      </c>
      <c r="L35" s="40">
        <f t="shared" si="0"/>
        <v>49.91</v>
      </c>
      <c r="M35" s="41">
        <f t="shared" si="1"/>
        <v>44.91</v>
      </c>
      <c r="N35" s="49">
        <f t="shared" si="2"/>
        <v>2.9513213771546698E-2</v>
      </c>
      <c r="O35" s="50">
        <f t="shared" si="3"/>
        <v>1.9181563940660763E-2</v>
      </c>
      <c r="P35" s="50">
        <f t="shared" si="8"/>
        <v>2.9513213771546698E-2</v>
      </c>
      <c r="Q35" s="51">
        <f t="shared" si="9"/>
        <v>1.9181563940660763E-2</v>
      </c>
      <c r="R35" s="4">
        <f t="shared" si="4"/>
        <v>-4.8262091923637687E-2</v>
      </c>
      <c r="S35">
        <f t="shared" si="5"/>
        <v>0</v>
      </c>
      <c r="T35">
        <f t="shared" si="6"/>
        <v>0</v>
      </c>
      <c r="U35" s="5">
        <f>0</f>
        <v>0</v>
      </c>
      <c r="V35" s="45">
        <f t="shared" si="10"/>
        <v>4.3840798733189223E-3</v>
      </c>
      <c r="W35" s="45">
        <f t="shared" si="11"/>
        <v>0</v>
      </c>
      <c r="X35" s="45">
        <f t="shared" si="12"/>
        <v>0</v>
      </c>
      <c r="Y35" s="46">
        <f>0</f>
        <v>0</v>
      </c>
      <c r="Z35" s="11"/>
    </row>
    <row r="36" spans="11:26" x14ac:dyDescent="0.45">
      <c r="K36" s="39">
        <f t="shared" si="7"/>
        <v>9.9</v>
      </c>
      <c r="L36" s="40">
        <f t="shared" si="0"/>
        <v>49.9</v>
      </c>
      <c r="M36" s="41">
        <f t="shared" si="1"/>
        <v>44.9</v>
      </c>
      <c r="N36" s="49">
        <f t="shared" si="2"/>
        <v>2.9487790919819054E-2</v>
      </c>
      <c r="O36" s="50">
        <f t="shared" si="3"/>
        <v>1.9165040831393743E-2</v>
      </c>
      <c r="P36" s="50">
        <f t="shared" si="8"/>
        <v>2.9487790919819054E-2</v>
      </c>
      <c r="Q36" s="51">
        <f t="shared" si="9"/>
        <v>1.9165040831393743E-2</v>
      </c>
      <c r="R36" s="4">
        <f t="shared" si="4"/>
        <v>-4.8172717936741348E-2</v>
      </c>
      <c r="S36">
        <f t="shared" si="5"/>
        <v>0</v>
      </c>
      <c r="T36">
        <f t="shared" si="6"/>
        <v>0</v>
      </c>
      <c r="U36" s="5">
        <f>0</f>
        <v>0</v>
      </c>
      <c r="V36" s="45">
        <f t="shared" si="10"/>
        <v>4.866700792555299E-3</v>
      </c>
      <c r="W36" s="45">
        <f t="shared" si="11"/>
        <v>0</v>
      </c>
      <c r="X36" s="45">
        <f t="shared" si="12"/>
        <v>0</v>
      </c>
      <c r="Y36" s="46">
        <f>0</f>
        <v>0</v>
      </c>
      <c r="Z36" s="11"/>
    </row>
    <row r="37" spans="11:26" x14ac:dyDescent="0.45">
      <c r="K37" s="39">
        <f t="shared" si="7"/>
        <v>9.89</v>
      </c>
      <c r="L37" s="40">
        <f t="shared" si="0"/>
        <v>49.89</v>
      </c>
      <c r="M37" s="41">
        <f t="shared" si="1"/>
        <v>44.89</v>
      </c>
      <c r="N37" s="49">
        <f t="shared" si="2"/>
        <v>2.9462389967481774E-2</v>
      </c>
      <c r="O37" s="50">
        <f t="shared" si="3"/>
        <v>1.9148531955227886E-2</v>
      </c>
      <c r="P37" s="50">
        <f t="shared" si="8"/>
        <v>2.9462389967481774E-2</v>
      </c>
      <c r="Q37" s="51">
        <f t="shared" si="9"/>
        <v>1.9148531955227886E-2</v>
      </c>
      <c r="R37" s="4">
        <f t="shared" si="4"/>
        <v>-4.8083508509561147E-2</v>
      </c>
      <c r="S37">
        <f t="shared" si="5"/>
        <v>0</v>
      </c>
      <c r="T37">
        <f t="shared" si="6"/>
        <v>0</v>
      </c>
      <c r="U37" s="5">
        <f>0</f>
        <v>0</v>
      </c>
      <c r="V37" s="45">
        <f t="shared" si="10"/>
        <v>5.3484279719227127E-3</v>
      </c>
      <c r="W37" s="45">
        <f t="shared" si="11"/>
        <v>0</v>
      </c>
      <c r="X37" s="45">
        <f t="shared" si="12"/>
        <v>0</v>
      </c>
      <c r="Y37" s="46">
        <f>0</f>
        <v>0</v>
      </c>
      <c r="Z37" s="11"/>
    </row>
    <row r="38" spans="11:26" x14ac:dyDescent="0.45">
      <c r="K38" s="39">
        <f t="shared" si="7"/>
        <v>9.8800000000000008</v>
      </c>
      <c r="L38" s="40">
        <f t="shared" si="0"/>
        <v>49.88</v>
      </c>
      <c r="M38" s="41">
        <f t="shared" si="1"/>
        <v>44.88</v>
      </c>
      <c r="N38" s="49">
        <f t="shared" si="2"/>
        <v>2.9437010895670621E-2</v>
      </c>
      <c r="O38" s="50">
        <f t="shared" si="3"/>
        <v>1.9132037299902697E-2</v>
      </c>
      <c r="P38" s="50">
        <f t="shared" si="8"/>
        <v>2.9437010895670621E-2</v>
      </c>
      <c r="Q38" s="51">
        <f t="shared" si="9"/>
        <v>1.9132037299902697E-2</v>
      </c>
      <c r="R38" s="4">
        <f t="shared" si="4"/>
        <v>-4.7994463284361397E-2</v>
      </c>
      <c r="S38">
        <f t="shared" si="5"/>
        <v>0</v>
      </c>
      <c r="T38">
        <f t="shared" si="6"/>
        <v>0</v>
      </c>
      <c r="U38" s="5">
        <f>0</f>
        <v>0</v>
      </c>
      <c r="V38" s="45">
        <f t="shared" si="10"/>
        <v>5.8292630570183244E-3</v>
      </c>
      <c r="W38" s="45">
        <f t="shared" si="11"/>
        <v>0</v>
      </c>
      <c r="X38" s="45">
        <f t="shared" si="12"/>
        <v>0</v>
      </c>
      <c r="Y38" s="46">
        <f>0</f>
        <v>0</v>
      </c>
      <c r="Z38" s="11"/>
    </row>
    <row r="39" spans="11:26" x14ac:dyDescent="0.45">
      <c r="K39" s="39">
        <f t="shared" si="7"/>
        <v>9.8699999999999992</v>
      </c>
      <c r="L39" s="40">
        <f t="shared" si="0"/>
        <v>49.87</v>
      </c>
      <c r="M39" s="41">
        <f t="shared" si="1"/>
        <v>44.87</v>
      </c>
      <c r="N39" s="49">
        <f t="shared" si="2"/>
        <v>2.9411653685537557E-2</v>
      </c>
      <c r="O39" s="50">
        <f t="shared" si="3"/>
        <v>1.9115556853168267E-2</v>
      </c>
      <c r="P39" s="50">
        <f t="shared" si="8"/>
        <v>2.9411653685537557E-2</v>
      </c>
      <c r="Q39" s="51">
        <f t="shared" si="9"/>
        <v>1.9115556853168267E-2</v>
      </c>
      <c r="R39" s="4">
        <f t="shared" si="4"/>
        <v>-4.7905581904314376E-2</v>
      </c>
      <c r="S39">
        <f t="shared" si="5"/>
        <v>0</v>
      </c>
      <c r="T39">
        <f t="shared" si="6"/>
        <v>0</v>
      </c>
      <c r="U39" s="5">
        <f>0</f>
        <v>0</v>
      </c>
      <c r="V39" s="45">
        <f t="shared" si="10"/>
        <v>6.3092076898619382E-3</v>
      </c>
      <c r="W39" s="45">
        <f t="shared" si="11"/>
        <v>0</v>
      </c>
      <c r="X39" s="45">
        <f t="shared" si="12"/>
        <v>0</v>
      </c>
      <c r="Y39" s="46">
        <f>0</f>
        <v>0</v>
      </c>
      <c r="Z39" s="11"/>
    </row>
    <row r="40" spans="11:26" x14ac:dyDescent="0.45">
      <c r="K40" s="39">
        <f t="shared" si="7"/>
        <v>9.86</v>
      </c>
      <c r="L40" s="40">
        <f t="shared" si="0"/>
        <v>49.86</v>
      </c>
      <c r="M40" s="41">
        <f t="shared" si="1"/>
        <v>44.86</v>
      </c>
      <c r="N40" s="49">
        <f t="shared" si="2"/>
        <v>2.9386318318250865E-2</v>
      </c>
      <c r="O40" s="50">
        <f t="shared" si="3"/>
        <v>1.9099090602785244E-2</v>
      </c>
      <c r="P40" s="50">
        <f t="shared" si="8"/>
        <v>2.9386318318250865E-2</v>
      </c>
      <c r="Q40" s="51">
        <f t="shared" si="9"/>
        <v>1.9099090602785244E-2</v>
      </c>
      <c r="R40" s="4">
        <f t="shared" si="4"/>
        <v>-4.7816864013497849E-2</v>
      </c>
      <c r="S40">
        <f t="shared" si="5"/>
        <v>0</v>
      </c>
      <c r="T40">
        <f t="shared" si="6"/>
        <v>0</v>
      </c>
      <c r="U40" s="5">
        <f>0</f>
        <v>0</v>
      </c>
      <c r="V40" s="45">
        <f t="shared" si="10"/>
        <v>6.7882635089050822E-3</v>
      </c>
      <c r="W40" s="45">
        <f t="shared" si="11"/>
        <v>0</v>
      </c>
      <c r="X40" s="45">
        <f t="shared" si="12"/>
        <v>0</v>
      </c>
      <c r="Y40" s="46">
        <f>0</f>
        <v>0</v>
      </c>
      <c r="Z40" s="11"/>
    </row>
    <row r="41" spans="11:26" x14ac:dyDescent="0.45">
      <c r="K41" s="39">
        <f t="shared" si="7"/>
        <v>9.85</v>
      </c>
      <c r="L41" s="40">
        <f t="shared" si="0"/>
        <v>49.85</v>
      </c>
      <c r="M41" s="41">
        <f t="shared" si="1"/>
        <v>44.85</v>
      </c>
      <c r="N41" s="49">
        <f t="shared" si="2"/>
        <v>2.9361004774994957E-2</v>
      </c>
      <c r="O41" s="50">
        <f t="shared" si="3"/>
        <v>1.908263853652481E-2</v>
      </c>
      <c r="P41" s="50">
        <f t="shared" si="8"/>
        <v>2.9361004774994957E-2</v>
      </c>
      <c r="Q41" s="51">
        <f t="shared" si="9"/>
        <v>1.908263853652481E-2</v>
      </c>
      <c r="R41" s="4">
        <f t="shared" si="4"/>
        <v>-4.7728309256892303E-2</v>
      </c>
      <c r="S41">
        <f t="shared" si="5"/>
        <v>0</v>
      </c>
      <c r="T41">
        <f t="shared" si="6"/>
        <v>0</v>
      </c>
      <c r="U41" s="5">
        <f>0</f>
        <v>0</v>
      </c>
      <c r="V41" s="45">
        <f t="shared" si="10"/>
        <v>7.2664321490400604E-3</v>
      </c>
      <c r="W41" s="45">
        <f t="shared" si="11"/>
        <v>0</v>
      </c>
      <c r="X41" s="45">
        <f t="shared" si="12"/>
        <v>0</v>
      </c>
      <c r="Y41" s="46">
        <f>0</f>
        <v>0</v>
      </c>
      <c r="Z41" s="11"/>
    </row>
    <row r="42" spans="11:26" x14ac:dyDescent="0.45">
      <c r="K42" s="39">
        <f t="shared" si="7"/>
        <v>9.84</v>
      </c>
      <c r="L42" s="40">
        <f t="shared" si="0"/>
        <v>49.84</v>
      </c>
      <c r="M42" s="41">
        <f t="shared" si="1"/>
        <v>44.84</v>
      </c>
      <c r="N42" s="49">
        <f t="shared" si="2"/>
        <v>2.9335713036970489E-2</v>
      </c>
      <c r="O42" s="50">
        <f t="shared" si="3"/>
        <v>1.9066200642168674E-2</v>
      </c>
      <c r="P42" s="50">
        <f t="shared" si="8"/>
        <v>2.9335713036970489E-2</v>
      </c>
      <c r="Q42" s="51">
        <f t="shared" si="9"/>
        <v>1.9066200642168674E-2</v>
      </c>
      <c r="R42" s="4">
        <f t="shared" si="4"/>
        <v>-4.7639917280378516E-2</v>
      </c>
      <c r="S42">
        <f t="shared" si="5"/>
        <v>0</v>
      </c>
      <c r="T42">
        <f t="shared" si="6"/>
        <v>0</v>
      </c>
      <c r="U42" s="5">
        <f>0</f>
        <v>0</v>
      </c>
      <c r="V42" s="45">
        <f t="shared" si="10"/>
        <v>7.7437152416089837E-3</v>
      </c>
      <c r="W42" s="45">
        <f t="shared" si="11"/>
        <v>0</v>
      </c>
      <c r="X42" s="45">
        <f t="shared" si="12"/>
        <v>0</v>
      </c>
      <c r="Y42" s="46">
        <f>0</f>
        <v>0</v>
      </c>
      <c r="Z42" s="11"/>
    </row>
    <row r="43" spans="11:26" x14ac:dyDescent="0.45">
      <c r="K43" s="39">
        <f t="shared" si="7"/>
        <v>9.83</v>
      </c>
      <c r="L43" s="40">
        <f t="shared" si="0"/>
        <v>49.83</v>
      </c>
      <c r="M43" s="41">
        <f t="shared" si="1"/>
        <v>44.83</v>
      </c>
      <c r="N43" s="49">
        <f t="shared" si="2"/>
        <v>2.9310443085394315E-2</v>
      </c>
      <c r="O43" s="50">
        <f t="shared" si="3"/>
        <v>1.9049776907509072E-2</v>
      </c>
      <c r="P43" s="50">
        <f t="shared" si="8"/>
        <v>2.9310443085394315E-2</v>
      </c>
      <c r="Q43" s="51">
        <f t="shared" si="9"/>
        <v>1.9049776907509072E-2</v>
      </c>
      <c r="R43" s="4">
        <f t="shared" si="4"/>
        <v>-4.7551687730734912E-2</v>
      </c>
      <c r="S43">
        <f t="shared" si="5"/>
        <v>0</v>
      </c>
      <c r="T43">
        <f t="shared" si="6"/>
        <v>0</v>
      </c>
      <c r="U43" s="5">
        <f>0</f>
        <v>0</v>
      </c>
      <c r="V43" s="45">
        <f t="shared" si="10"/>
        <v>8.2201144144127686E-3</v>
      </c>
      <c r="W43" s="45">
        <f t="shared" si="11"/>
        <v>0</v>
      </c>
      <c r="X43" s="45">
        <f t="shared" si="12"/>
        <v>0</v>
      </c>
      <c r="Y43" s="46">
        <f>0</f>
        <v>0</v>
      </c>
      <c r="Z43" s="11"/>
    </row>
    <row r="44" spans="11:26" x14ac:dyDescent="0.45">
      <c r="K44" s="39">
        <f t="shared" si="7"/>
        <v>9.82</v>
      </c>
      <c r="L44" s="40">
        <f t="shared" si="0"/>
        <v>49.82</v>
      </c>
      <c r="M44" s="41">
        <f t="shared" si="1"/>
        <v>44.82</v>
      </c>
      <c r="N44" s="49">
        <f t="shared" si="2"/>
        <v>2.9285194901499462E-2</v>
      </c>
      <c r="O44" s="50">
        <f t="shared" si="3"/>
        <v>1.9033367320348771E-2</v>
      </c>
      <c r="P44" s="50">
        <f t="shared" si="8"/>
        <v>2.9285194901499462E-2</v>
      </c>
      <c r="Q44" s="51">
        <f t="shared" si="9"/>
        <v>1.9033367320348771E-2</v>
      </c>
      <c r="R44" s="4">
        <f t="shared" si="4"/>
        <v>-4.7463620255634997E-2</v>
      </c>
      <c r="S44">
        <f t="shared" si="5"/>
        <v>0</v>
      </c>
      <c r="T44">
        <f t="shared" si="6"/>
        <v>0</v>
      </c>
      <c r="U44" s="5">
        <f>0</f>
        <v>0</v>
      </c>
      <c r="V44" s="45">
        <f t="shared" si="10"/>
        <v>8.6956312917201174E-3</v>
      </c>
      <c r="W44" s="45">
        <f t="shared" si="11"/>
        <v>0</v>
      </c>
      <c r="X44" s="45">
        <f t="shared" si="12"/>
        <v>0</v>
      </c>
      <c r="Y44" s="46">
        <f>0</f>
        <v>0</v>
      </c>
      <c r="Z44" s="11"/>
    </row>
    <row r="45" spans="11:26" x14ac:dyDescent="0.45">
      <c r="K45" s="39">
        <f t="shared" si="7"/>
        <v>9.81</v>
      </c>
      <c r="L45" s="40">
        <f t="shared" si="0"/>
        <v>49.81</v>
      </c>
      <c r="M45" s="41">
        <f t="shared" si="1"/>
        <v>44.81</v>
      </c>
      <c r="N45" s="49">
        <f t="shared" si="2"/>
        <v>2.9259968466535117E-2</v>
      </c>
      <c r="O45" s="50">
        <f t="shared" si="3"/>
        <v>1.9016971868501032E-2</v>
      </c>
      <c r="P45" s="50">
        <f t="shared" si="8"/>
        <v>2.9259968466535117E-2</v>
      </c>
      <c r="Q45" s="51">
        <f t="shared" si="9"/>
        <v>1.9016971868501032E-2</v>
      </c>
      <c r="R45" s="4">
        <f t="shared" si="4"/>
        <v>-4.737571450364482E-2</v>
      </c>
      <c r="S45">
        <f t="shared" si="5"/>
        <v>0</v>
      </c>
      <c r="T45">
        <f t="shared" si="6"/>
        <v>0</v>
      </c>
      <c r="U45" s="5">
        <f>0</f>
        <v>0</v>
      </c>
      <c r="V45" s="45">
        <f t="shared" si="10"/>
        <v>9.170267494276468E-3</v>
      </c>
      <c r="W45" s="45">
        <f t="shared" si="11"/>
        <v>0</v>
      </c>
      <c r="X45" s="45">
        <f t="shared" si="12"/>
        <v>0</v>
      </c>
      <c r="Y45" s="46">
        <f>0</f>
        <v>0</v>
      </c>
      <c r="Z45" s="11"/>
    </row>
    <row r="46" spans="11:26" x14ac:dyDescent="0.45">
      <c r="K46" s="39">
        <f t="shared" si="7"/>
        <v>9.8000000000000007</v>
      </c>
      <c r="L46" s="40">
        <f t="shared" si="0"/>
        <v>49.8</v>
      </c>
      <c r="M46" s="41">
        <f t="shared" si="1"/>
        <v>44.8</v>
      </c>
      <c r="N46" s="49">
        <f t="shared" si="2"/>
        <v>2.9234763761766609E-2</v>
      </c>
      <c r="O46" s="50">
        <f t="shared" si="3"/>
        <v>1.9000590539789603E-2</v>
      </c>
      <c r="P46" s="50">
        <f t="shared" si="8"/>
        <v>2.9234763761766609E-2</v>
      </c>
      <c r="Q46" s="51">
        <f t="shared" si="9"/>
        <v>1.9000590539789603E-2</v>
      </c>
      <c r="R46" s="4">
        <f t="shared" si="4"/>
        <v>-4.7287970124220369E-2</v>
      </c>
      <c r="S46">
        <f t="shared" si="5"/>
        <v>0</v>
      </c>
      <c r="T46">
        <f t="shared" si="6"/>
        <v>0</v>
      </c>
      <c r="U46" s="5">
        <f>0</f>
        <v>0</v>
      </c>
      <c r="V46" s="45">
        <f t="shared" si="10"/>
        <v>9.6440246393129161E-3</v>
      </c>
      <c r="W46" s="45">
        <f t="shared" si="11"/>
        <v>0</v>
      </c>
      <c r="X46" s="45">
        <f t="shared" si="12"/>
        <v>0</v>
      </c>
      <c r="Y46" s="46">
        <f>0</f>
        <v>0</v>
      </c>
      <c r="Z46" s="11"/>
    </row>
    <row r="47" spans="11:26" x14ac:dyDescent="0.45">
      <c r="K47" s="39">
        <f t="shared" si="7"/>
        <v>9.7899999999999991</v>
      </c>
      <c r="L47" s="40">
        <f t="shared" si="0"/>
        <v>49.79</v>
      </c>
      <c r="M47" s="41">
        <f t="shared" si="1"/>
        <v>44.79</v>
      </c>
      <c r="N47" s="49">
        <f t="shared" si="2"/>
        <v>2.9209580768475473E-2</v>
      </c>
      <c r="O47" s="50">
        <f t="shared" si="3"/>
        <v>1.8984223322048754E-2</v>
      </c>
      <c r="P47" s="50">
        <f t="shared" si="8"/>
        <v>2.9209580768475473E-2</v>
      </c>
      <c r="Q47" s="51">
        <f t="shared" si="9"/>
        <v>1.8984223322048754E-2</v>
      </c>
      <c r="R47" s="4">
        <f t="shared" si="4"/>
        <v>-4.7200386767705181E-2</v>
      </c>
      <c r="S47">
        <f t="shared" si="5"/>
        <v>0</v>
      </c>
      <c r="T47">
        <f t="shared" si="6"/>
        <v>0</v>
      </c>
      <c r="U47" s="5">
        <f>0</f>
        <v>0</v>
      </c>
      <c r="V47" s="45">
        <f t="shared" si="10"/>
        <v>1.011690434055512E-2</v>
      </c>
      <c r="W47" s="45">
        <f t="shared" si="11"/>
        <v>0</v>
      </c>
      <c r="X47" s="45">
        <f t="shared" si="12"/>
        <v>0</v>
      </c>
      <c r="Y47" s="46">
        <f>0</f>
        <v>0</v>
      </c>
      <c r="Z47" s="11"/>
    </row>
    <row r="48" spans="11:26" x14ac:dyDescent="0.45">
      <c r="K48" s="39">
        <f t="shared" si="7"/>
        <v>9.7799999999999994</v>
      </c>
      <c r="L48" s="40">
        <f t="shared" si="0"/>
        <v>49.78</v>
      </c>
      <c r="M48" s="41">
        <f t="shared" si="1"/>
        <v>44.78</v>
      </c>
      <c r="N48" s="49">
        <f t="shared" si="2"/>
        <v>2.9184419467959289E-2</v>
      </c>
      <c r="O48" s="50">
        <f t="shared" si="3"/>
        <v>1.89678702031232E-2</v>
      </c>
      <c r="P48" s="50">
        <f t="shared" si="8"/>
        <v>2.9184419467959289E-2</v>
      </c>
      <c r="Q48" s="51">
        <f t="shared" si="9"/>
        <v>1.89678702031232E-2</v>
      </c>
      <c r="R48" s="4">
        <f t="shared" si="4"/>
        <v>-4.7112964085327572E-2</v>
      </c>
      <c r="S48">
        <f t="shared" si="5"/>
        <v>0</v>
      </c>
      <c r="T48">
        <f t="shared" si="6"/>
        <v>0</v>
      </c>
      <c r="U48" s="5">
        <f>0</f>
        <v>0</v>
      </c>
      <c r="V48" s="45">
        <f t="shared" si="10"/>
        <v>1.0588908208232172E-2</v>
      </c>
      <c r="W48" s="45">
        <f t="shared" si="11"/>
        <v>0</v>
      </c>
      <c r="X48" s="45">
        <f t="shared" si="12"/>
        <v>0</v>
      </c>
      <c r="Y48" s="46">
        <f>0</f>
        <v>0</v>
      </c>
      <c r="Z48" s="11"/>
    </row>
    <row r="49" spans="11:26" x14ac:dyDescent="0.45">
      <c r="K49" s="39">
        <f t="shared" si="7"/>
        <v>9.77</v>
      </c>
      <c r="L49" s="40">
        <f t="shared" si="0"/>
        <v>49.769999999999996</v>
      </c>
      <c r="M49" s="41">
        <f t="shared" si="1"/>
        <v>44.769999999999996</v>
      </c>
      <c r="N49" s="49">
        <f t="shared" si="2"/>
        <v>2.9159279841531778E-2</v>
      </c>
      <c r="O49" s="50">
        <f t="shared" si="3"/>
        <v>1.8951531170868136E-2</v>
      </c>
      <c r="P49" s="50">
        <f t="shared" si="8"/>
        <v>2.9159279841531778E-2</v>
      </c>
      <c r="Q49" s="51">
        <f t="shared" si="9"/>
        <v>1.8951531170868136E-2</v>
      </c>
      <c r="R49" s="4">
        <f t="shared" si="4"/>
        <v>-4.7025701729198302E-2</v>
      </c>
      <c r="S49">
        <f t="shared" si="5"/>
        <v>0</v>
      </c>
      <c r="T49">
        <f t="shared" si="6"/>
        <v>0</v>
      </c>
      <c r="U49" s="5">
        <f>0</f>
        <v>0</v>
      </c>
      <c r="V49" s="45">
        <f t="shared" si="10"/>
        <v>1.1060037849085448E-2</v>
      </c>
      <c r="W49" s="45">
        <f t="shared" si="11"/>
        <v>0</v>
      </c>
      <c r="X49" s="45">
        <f t="shared" si="12"/>
        <v>0</v>
      </c>
      <c r="Y49" s="46">
        <f>0</f>
        <v>0</v>
      </c>
      <c r="Z49" s="11"/>
    </row>
    <row r="50" spans="11:26" x14ac:dyDescent="0.45">
      <c r="K50" s="39">
        <f t="shared" si="7"/>
        <v>9.76</v>
      </c>
      <c r="L50" s="40">
        <f t="shared" si="0"/>
        <v>49.76</v>
      </c>
      <c r="M50" s="41">
        <f t="shared" si="1"/>
        <v>44.76</v>
      </c>
      <c r="N50" s="49">
        <f t="shared" si="2"/>
        <v>2.9134161870522753E-2</v>
      </c>
      <c r="O50" s="50">
        <f t="shared" si="3"/>
        <v>1.8935206213149241E-2</v>
      </c>
      <c r="P50" s="50">
        <f t="shared" si="8"/>
        <v>2.9134161870522753E-2</v>
      </c>
      <c r="Q50" s="51">
        <f t="shared" si="9"/>
        <v>1.8935206213149241E-2</v>
      </c>
      <c r="R50" s="4">
        <f t="shared" si="4"/>
        <v>-4.6938599352307951E-2</v>
      </c>
      <c r="S50">
        <f t="shared" si="5"/>
        <v>0</v>
      </c>
      <c r="T50">
        <f t="shared" si="6"/>
        <v>0</v>
      </c>
      <c r="U50" s="5">
        <f>0</f>
        <v>0</v>
      </c>
      <c r="V50" s="45">
        <f t="shared" si="10"/>
        <v>1.1530294866377432E-2</v>
      </c>
      <c r="W50" s="45">
        <f t="shared" si="11"/>
        <v>0</v>
      </c>
      <c r="X50" s="45">
        <f t="shared" si="12"/>
        <v>0</v>
      </c>
      <c r="Y50" s="46">
        <f>0</f>
        <v>0</v>
      </c>
      <c r="Z50" s="11"/>
    </row>
    <row r="51" spans="11:26" x14ac:dyDescent="0.45">
      <c r="K51" s="39">
        <f t="shared" si="7"/>
        <v>9.75</v>
      </c>
      <c r="L51" s="40">
        <f t="shared" si="0"/>
        <v>49.75</v>
      </c>
      <c r="M51" s="41">
        <f t="shared" si="1"/>
        <v>44.75</v>
      </c>
      <c r="N51" s="49">
        <f t="shared" si="2"/>
        <v>2.9109065536278116E-2</v>
      </c>
      <c r="O51" s="50">
        <f t="shared" si="3"/>
        <v>1.8918895317842618E-2</v>
      </c>
      <c r="P51" s="50">
        <f t="shared" si="8"/>
        <v>2.9109065536278116E-2</v>
      </c>
      <c r="Q51" s="51">
        <f t="shared" si="9"/>
        <v>1.8918895317842618E-2</v>
      </c>
      <c r="R51" s="4">
        <f t="shared" si="4"/>
        <v>-4.6851656608524458E-2</v>
      </c>
      <c r="S51">
        <f t="shared" si="5"/>
        <v>0</v>
      </c>
      <c r="T51">
        <f t="shared" si="6"/>
        <v>0</v>
      </c>
      <c r="U51" s="5">
        <f>0</f>
        <v>0</v>
      </c>
      <c r="V51" s="45">
        <f t="shared" si="10"/>
        <v>1.1999680859900511E-2</v>
      </c>
      <c r="W51" s="45">
        <f t="shared" si="11"/>
        <v>0</v>
      </c>
      <c r="X51" s="45">
        <f t="shared" si="12"/>
        <v>0</v>
      </c>
      <c r="Y51" s="46">
        <f>0</f>
        <v>0</v>
      </c>
      <c r="Z51" s="11"/>
    </row>
    <row r="52" spans="11:26" x14ac:dyDescent="0.45">
      <c r="K52" s="39">
        <f t="shared" si="7"/>
        <v>9.74</v>
      </c>
      <c r="L52" s="40">
        <f t="shared" si="0"/>
        <v>49.74</v>
      </c>
      <c r="M52" s="41">
        <f t="shared" si="1"/>
        <v>44.74</v>
      </c>
      <c r="N52" s="49">
        <f t="shared" si="2"/>
        <v>2.9083990820159836E-2</v>
      </c>
      <c r="O52" s="50">
        <f t="shared" si="3"/>
        <v>1.8902598472834823E-2</v>
      </c>
      <c r="P52" s="50">
        <f t="shared" si="8"/>
        <v>2.9083990820159836E-2</v>
      </c>
      <c r="Q52" s="51">
        <f t="shared" si="9"/>
        <v>1.8902598472834823E-2</v>
      </c>
      <c r="R52" s="4">
        <f t="shared" si="4"/>
        <v>-4.6764873152590619E-2</v>
      </c>
      <c r="S52">
        <f t="shared" si="5"/>
        <v>0</v>
      </c>
      <c r="T52">
        <f t="shared" si="6"/>
        <v>0</v>
      </c>
      <c r="U52" s="5">
        <f>0</f>
        <v>0</v>
      </c>
      <c r="V52" s="45">
        <f t="shared" si="10"/>
        <v>1.2468197425985756E-2</v>
      </c>
      <c r="W52" s="45">
        <f t="shared" si="11"/>
        <v>0</v>
      </c>
      <c r="X52" s="45">
        <f t="shared" si="12"/>
        <v>0</v>
      </c>
      <c r="Y52" s="46">
        <f>0</f>
        <v>0</v>
      </c>
      <c r="Z52" s="11"/>
    </row>
    <row r="53" spans="11:26" x14ac:dyDescent="0.45">
      <c r="K53" s="39">
        <f t="shared" si="7"/>
        <v>9.73</v>
      </c>
      <c r="L53" s="40">
        <f t="shared" si="0"/>
        <v>49.730000000000004</v>
      </c>
      <c r="M53" s="41">
        <f t="shared" si="1"/>
        <v>44.730000000000004</v>
      </c>
      <c r="N53" s="49">
        <f t="shared" si="2"/>
        <v>2.905893770354593E-2</v>
      </c>
      <c r="O53" s="50">
        <f t="shared" si="3"/>
        <v>1.8886315666022852E-2</v>
      </c>
      <c r="P53" s="50">
        <f t="shared" si="8"/>
        <v>2.905893770354593E-2</v>
      </c>
      <c r="Q53" s="51">
        <f t="shared" si="9"/>
        <v>1.8886315666022852E-2</v>
      </c>
      <c r="R53" s="4">
        <f t="shared" si="4"/>
        <v>-4.6678248640121538E-2</v>
      </c>
      <c r="S53">
        <f t="shared" si="5"/>
        <v>0</v>
      </c>
      <c r="T53">
        <f t="shared" si="6"/>
        <v>0</v>
      </c>
      <c r="U53" s="5">
        <f>0</f>
        <v>0</v>
      </c>
      <c r="V53" s="45">
        <f t="shared" si="10"/>
        <v>1.2935846157511663E-2</v>
      </c>
      <c r="W53" s="45">
        <f t="shared" si="11"/>
        <v>0</v>
      </c>
      <c r="X53" s="45">
        <f t="shared" si="12"/>
        <v>0</v>
      </c>
      <c r="Y53" s="46">
        <f>0</f>
        <v>0</v>
      </c>
      <c r="Z53" s="11"/>
    </row>
    <row r="54" spans="11:26" x14ac:dyDescent="0.45">
      <c r="K54" s="39">
        <f t="shared" si="7"/>
        <v>9.7200000000000006</v>
      </c>
      <c r="L54" s="40">
        <f t="shared" si="0"/>
        <v>49.72</v>
      </c>
      <c r="M54" s="41">
        <f t="shared" si="1"/>
        <v>44.72</v>
      </c>
      <c r="N54" s="49">
        <f t="shared" si="2"/>
        <v>2.9033906167830432E-2</v>
      </c>
      <c r="O54" s="50">
        <f t="shared" si="3"/>
        <v>1.8870046885314115E-2</v>
      </c>
      <c r="P54" s="50">
        <f t="shared" si="8"/>
        <v>2.9033906167830432E-2</v>
      </c>
      <c r="Q54" s="51">
        <f t="shared" si="9"/>
        <v>1.8870046885314115E-2</v>
      </c>
      <c r="R54" s="4">
        <f t="shared" si="4"/>
        <v>-4.6591782727602171E-2</v>
      </c>
      <c r="S54">
        <f t="shared" si="5"/>
        <v>0</v>
      </c>
      <c r="T54">
        <f t="shared" si="6"/>
        <v>0</v>
      </c>
      <c r="U54" s="5">
        <f>0</f>
        <v>0</v>
      </c>
      <c r="V54" s="45">
        <f t="shared" si="10"/>
        <v>1.3402628643912878E-2</v>
      </c>
      <c r="W54" s="45">
        <f t="shared" si="11"/>
        <v>0</v>
      </c>
      <c r="X54" s="45">
        <f t="shared" si="12"/>
        <v>0</v>
      </c>
      <c r="Y54" s="46">
        <f>0</f>
        <v>0</v>
      </c>
      <c r="Z54" s="11"/>
    </row>
    <row r="55" spans="11:26" x14ac:dyDescent="0.45">
      <c r="K55" s="39">
        <f t="shared" si="7"/>
        <v>9.7100000000000009</v>
      </c>
      <c r="L55" s="40">
        <f t="shared" si="0"/>
        <v>49.71</v>
      </c>
      <c r="M55" s="41">
        <f t="shared" si="1"/>
        <v>44.71</v>
      </c>
      <c r="N55" s="49">
        <f t="shared" si="2"/>
        <v>2.900889619442349E-2</v>
      </c>
      <c r="O55" s="50">
        <f t="shared" si="3"/>
        <v>1.8853792118626457E-2</v>
      </c>
      <c r="P55" s="50">
        <f t="shared" si="8"/>
        <v>2.900889619442349E-2</v>
      </c>
      <c r="Q55" s="51">
        <f t="shared" si="9"/>
        <v>1.8853792118626457E-2</v>
      </c>
      <c r="R55" s="4">
        <f t="shared" si="4"/>
        <v>-4.6505475072384943E-2</v>
      </c>
      <c r="S55">
        <f t="shared" si="5"/>
        <v>0</v>
      </c>
      <c r="T55">
        <f t="shared" si="6"/>
        <v>0</v>
      </c>
      <c r="U55" s="5">
        <f>0</f>
        <v>0</v>
      </c>
      <c r="V55" s="45">
        <f t="shared" si="10"/>
        <v>1.3868546471188899E-2</v>
      </c>
      <c r="W55" s="45">
        <f t="shared" si="11"/>
        <v>0</v>
      </c>
      <c r="X55" s="45">
        <f t="shared" si="12"/>
        <v>0</v>
      </c>
      <c r="Y55" s="46">
        <f>0</f>
        <v>0</v>
      </c>
      <c r="Z55" s="11"/>
    </row>
    <row r="56" spans="11:26" x14ac:dyDescent="0.45">
      <c r="K56" s="39">
        <f t="shared" si="7"/>
        <v>9.6999999999999993</v>
      </c>
      <c r="L56" s="40">
        <f t="shared" si="0"/>
        <v>49.7</v>
      </c>
      <c r="M56" s="41">
        <f t="shared" si="1"/>
        <v>44.7</v>
      </c>
      <c r="N56" s="49">
        <f t="shared" si="2"/>
        <v>2.8983907764751186E-2</v>
      </c>
      <c r="O56" s="50">
        <f t="shared" si="3"/>
        <v>1.8837551353888111E-2</v>
      </c>
      <c r="P56" s="50">
        <f t="shared" si="8"/>
        <v>2.8983907764751186E-2</v>
      </c>
      <c r="Q56" s="51">
        <f t="shared" si="9"/>
        <v>1.8837551353888111E-2</v>
      </c>
      <c r="R56" s="4">
        <f t="shared" si="4"/>
        <v>-4.6419325332687077E-2</v>
      </c>
      <c r="S56">
        <f t="shared" si="5"/>
        <v>0</v>
      </c>
      <c r="T56">
        <f t="shared" si="6"/>
        <v>0</v>
      </c>
      <c r="U56" s="5">
        <f>0</f>
        <v>0</v>
      </c>
      <c r="V56" s="45">
        <f t="shared" si="10"/>
        <v>1.4333601221912748E-2</v>
      </c>
      <c r="W56" s="45">
        <f t="shared" si="11"/>
        <v>0</v>
      </c>
      <c r="X56" s="45">
        <f t="shared" si="12"/>
        <v>0</v>
      </c>
      <c r="Y56" s="46">
        <f>0</f>
        <v>0</v>
      </c>
      <c r="Z56" s="11"/>
    </row>
    <row r="57" spans="11:26" x14ac:dyDescent="0.45">
      <c r="K57" s="39">
        <f t="shared" si="7"/>
        <v>9.69</v>
      </c>
      <c r="L57" s="40">
        <f t="shared" si="0"/>
        <v>49.69</v>
      </c>
      <c r="M57" s="41">
        <f t="shared" si="1"/>
        <v>44.69</v>
      </c>
      <c r="N57" s="49">
        <f t="shared" si="2"/>
        <v>2.8958940860255609E-2</v>
      </c>
      <c r="O57" s="50">
        <f t="shared" si="3"/>
        <v>1.8821324579037721E-2</v>
      </c>
      <c r="P57" s="50">
        <f t="shared" si="8"/>
        <v>2.8958940860255609E-2</v>
      </c>
      <c r="Q57" s="51">
        <f t="shared" si="9"/>
        <v>1.8821324579037721E-2</v>
      </c>
      <c r="R57" s="4">
        <f t="shared" si="4"/>
        <v>-4.6333333167588288E-2</v>
      </c>
      <c r="S57">
        <f t="shared" si="5"/>
        <v>0</v>
      </c>
      <c r="T57">
        <f t="shared" si="6"/>
        <v>0</v>
      </c>
      <c r="U57" s="5">
        <f>0</f>
        <v>0</v>
      </c>
      <c r="V57" s="45">
        <f t="shared" si="10"/>
        <v>1.479779447523962E-2</v>
      </c>
      <c r="W57" s="45">
        <f t="shared" si="11"/>
        <v>0</v>
      </c>
      <c r="X57" s="45">
        <f t="shared" si="12"/>
        <v>0</v>
      </c>
      <c r="Y57" s="46">
        <f>0</f>
        <v>0</v>
      </c>
      <c r="Z57" s="11"/>
    </row>
    <row r="58" spans="11:26" x14ac:dyDescent="0.45">
      <c r="K58" s="39">
        <f t="shared" si="7"/>
        <v>9.68</v>
      </c>
      <c r="L58" s="40">
        <f t="shared" si="0"/>
        <v>49.68</v>
      </c>
      <c r="M58" s="41">
        <f t="shared" si="1"/>
        <v>44.68</v>
      </c>
      <c r="N58" s="49">
        <f t="shared" si="2"/>
        <v>2.8933995462394859E-2</v>
      </c>
      <c r="O58" s="50">
        <f t="shared" si="3"/>
        <v>1.880511178202432E-2</v>
      </c>
      <c r="P58" s="50">
        <f t="shared" si="8"/>
        <v>2.8933995462394859E-2</v>
      </c>
      <c r="Q58" s="51">
        <f t="shared" si="9"/>
        <v>1.880511178202432E-2</v>
      </c>
      <c r="R58" s="4">
        <f t="shared" si="4"/>
        <v>-4.6247498237028277E-2</v>
      </c>
      <c r="S58">
        <f t="shared" si="5"/>
        <v>0</v>
      </c>
      <c r="T58">
        <f t="shared" si="6"/>
        <v>0</v>
      </c>
      <c r="U58" s="5">
        <f>0</f>
        <v>0</v>
      </c>
      <c r="V58" s="45">
        <f t="shared" si="10"/>
        <v>1.5261127806915502E-2</v>
      </c>
      <c r="W58" s="45">
        <f t="shared" si="11"/>
        <v>0</v>
      </c>
      <c r="X58" s="45">
        <f t="shared" si="12"/>
        <v>0</v>
      </c>
      <c r="Y58" s="46">
        <f>0</f>
        <v>0</v>
      </c>
      <c r="Z58" s="11"/>
    </row>
    <row r="59" spans="11:26" x14ac:dyDescent="0.45">
      <c r="K59" s="39">
        <f t="shared" si="7"/>
        <v>9.67</v>
      </c>
      <c r="L59" s="40">
        <f t="shared" si="0"/>
        <v>49.67</v>
      </c>
      <c r="M59" s="41">
        <f t="shared" si="1"/>
        <v>44.67</v>
      </c>
      <c r="N59" s="49">
        <f t="shared" si="2"/>
        <v>2.8909071552642999E-2</v>
      </c>
      <c r="O59" s="50">
        <f t="shared" si="3"/>
        <v>1.8788912950807316E-2</v>
      </c>
      <c r="P59" s="50">
        <f t="shared" si="8"/>
        <v>2.8909071552642999E-2</v>
      </c>
      <c r="Q59" s="51">
        <f t="shared" si="9"/>
        <v>1.8788912950807316E-2</v>
      </c>
      <c r="R59" s="4">
        <f t="shared" si="4"/>
        <v>-4.6161820201804267E-2</v>
      </c>
      <c r="S59">
        <f t="shared" si="5"/>
        <v>0</v>
      </c>
      <c r="T59">
        <f t="shared" si="6"/>
        <v>0</v>
      </c>
      <c r="U59" s="5">
        <f>0</f>
        <v>0</v>
      </c>
      <c r="V59" s="45">
        <f t="shared" si="10"/>
        <v>1.5723602789285786E-2</v>
      </c>
      <c r="W59" s="45">
        <f t="shared" si="11"/>
        <v>0</v>
      </c>
      <c r="X59" s="45">
        <f t="shared" si="12"/>
        <v>0</v>
      </c>
      <c r="Y59" s="46">
        <f>0</f>
        <v>0</v>
      </c>
      <c r="Z59" s="11"/>
    </row>
    <row r="60" spans="11:26" x14ac:dyDescent="0.45">
      <c r="K60" s="39">
        <f t="shared" si="7"/>
        <v>9.66</v>
      </c>
      <c r="L60" s="40">
        <f t="shared" si="0"/>
        <v>49.66</v>
      </c>
      <c r="M60" s="41">
        <f t="shared" si="1"/>
        <v>44.66</v>
      </c>
      <c r="N60" s="49">
        <f t="shared" si="2"/>
        <v>2.8884169112490015E-2</v>
      </c>
      <c r="O60" s="50">
        <f t="shared" si="3"/>
        <v>1.8772728073356486E-2</v>
      </c>
      <c r="P60" s="50">
        <f t="shared" si="8"/>
        <v>2.8884169112490015E-2</v>
      </c>
      <c r="Q60" s="51">
        <f t="shared" si="9"/>
        <v>1.8772728073356486E-2</v>
      </c>
      <c r="R60" s="4">
        <f t="shared" si="4"/>
        <v>-4.607629872356854E-2</v>
      </c>
      <c r="S60">
        <f t="shared" si="5"/>
        <v>0</v>
      </c>
      <c r="T60">
        <f t="shared" si="6"/>
        <v>0</v>
      </c>
      <c r="U60" s="5">
        <f>0</f>
        <v>0</v>
      </c>
      <c r="V60" s="45">
        <f t="shared" si="10"/>
        <v>1.6185220991303827E-2</v>
      </c>
      <c r="W60" s="45">
        <f t="shared" si="11"/>
        <v>0</v>
      </c>
      <c r="X60" s="45">
        <f t="shared" si="12"/>
        <v>0</v>
      </c>
      <c r="Y60" s="46">
        <f>0</f>
        <v>0</v>
      </c>
      <c r="Z60" s="11"/>
    </row>
    <row r="61" spans="11:26" x14ac:dyDescent="0.45">
      <c r="K61" s="39">
        <f t="shared" si="7"/>
        <v>9.65</v>
      </c>
      <c r="L61" s="40">
        <f t="shared" si="0"/>
        <v>49.65</v>
      </c>
      <c r="M61" s="41">
        <f t="shared" si="1"/>
        <v>44.65</v>
      </c>
      <c r="N61" s="49">
        <f t="shared" si="2"/>
        <v>2.8859288123441931E-2</v>
      </c>
      <c r="O61" s="50">
        <f t="shared" si="3"/>
        <v>1.8756557137651987E-2</v>
      </c>
      <c r="P61" s="50">
        <f t="shared" si="8"/>
        <v>2.8859288123441931E-2</v>
      </c>
      <c r="Q61" s="51">
        <f t="shared" si="9"/>
        <v>1.8756557137651987E-2</v>
      </c>
      <c r="R61" s="4">
        <f t="shared" si="4"/>
        <v>-4.5990933464826154E-2</v>
      </c>
      <c r="S61">
        <f t="shared" si="5"/>
        <v>0</v>
      </c>
      <c r="T61">
        <f t="shared" si="6"/>
        <v>0</v>
      </c>
      <c r="U61" s="5">
        <f>0</f>
        <v>0</v>
      </c>
      <c r="V61" s="45">
        <f t="shared" si="10"/>
        <v>1.6645983978539513E-2</v>
      </c>
      <c r="W61" s="45">
        <f t="shared" si="11"/>
        <v>0</v>
      </c>
      <c r="X61" s="45">
        <f t="shared" si="12"/>
        <v>0</v>
      </c>
      <c r="Y61" s="46">
        <f>0</f>
        <v>0</v>
      </c>
      <c r="Z61" s="11"/>
    </row>
    <row r="62" spans="11:26" x14ac:dyDescent="0.45">
      <c r="K62" s="39">
        <f t="shared" si="7"/>
        <v>9.64</v>
      </c>
      <c r="L62" s="40">
        <f t="shared" si="0"/>
        <v>49.64</v>
      </c>
      <c r="M62" s="41">
        <f t="shared" si="1"/>
        <v>44.64</v>
      </c>
      <c r="N62" s="49">
        <f t="shared" si="2"/>
        <v>2.883442856702061E-2</v>
      </c>
      <c r="O62" s="50">
        <f t="shared" si="3"/>
        <v>1.8740400131684317E-2</v>
      </c>
      <c r="P62" s="50">
        <f t="shared" si="8"/>
        <v>2.883442856702061E-2</v>
      </c>
      <c r="Q62" s="51">
        <f t="shared" si="9"/>
        <v>1.8740400131684317E-2</v>
      </c>
      <c r="R62" s="4">
        <f t="shared" si="4"/>
        <v>-4.5905724088932308E-2</v>
      </c>
      <c r="S62">
        <f t="shared" si="5"/>
        <v>0</v>
      </c>
      <c r="T62">
        <f t="shared" si="6"/>
        <v>0</v>
      </c>
      <c r="U62" s="5">
        <f>0</f>
        <v>0</v>
      </c>
      <c r="V62" s="45">
        <f t="shared" si="10"/>
        <v>1.7105893313187775E-2</v>
      </c>
      <c r="W62" s="45">
        <f t="shared" si="11"/>
        <v>0</v>
      </c>
      <c r="X62" s="45">
        <f t="shared" si="12"/>
        <v>0</v>
      </c>
      <c r="Y62" s="46">
        <f>0</f>
        <v>0</v>
      </c>
      <c r="Z62" s="11"/>
    </row>
    <row r="63" spans="11:26" x14ac:dyDescent="0.45">
      <c r="K63" s="39">
        <f t="shared" si="7"/>
        <v>9.6300000000000008</v>
      </c>
      <c r="L63" s="40">
        <f t="shared" si="0"/>
        <v>49.63</v>
      </c>
      <c r="M63" s="41">
        <f t="shared" si="1"/>
        <v>44.63</v>
      </c>
      <c r="N63" s="49">
        <f t="shared" si="2"/>
        <v>2.8809590424763866E-2</v>
      </c>
      <c r="O63" s="50">
        <f t="shared" si="3"/>
        <v>1.8724257043454318E-2</v>
      </c>
      <c r="P63" s="50">
        <f t="shared" si="8"/>
        <v>2.8809590424763866E-2</v>
      </c>
      <c r="Q63" s="51">
        <f t="shared" si="9"/>
        <v>1.8724257043454318E-2</v>
      </c>
      <c r="R63" s="4">
        <f t="shared" si="4"/>
        <v>-4.5820670260090027E-2</v>
      </c>
      <c r="S63">
        <f t="shared" si="5"/>
        <v>0</v>
      </c>
      <c r="T63">
        <f t="shared" si="6"/>
        <v>0</v>
      </c>
      <c r="U63" s="5">
        <f>0</f>
        <v>0</v>
      </c>
      <c r="V63" s="45">
        <f t="shared" si="10"/>
        <v>1.7564950554077099E-2</v>
      </c>
      <c r="W63" s="45">
        <f t="shared" si="11"/>
        <v>0</v>
      </c>
      <c r="X63" s="45">
        <f t="shared" si="12"/>
        <v>0</v>
      </c>
      <c r="Y63" s="46">
        <f>0</f>
        <v>0</v>
      </c>
      <c r="Z63" s="11"/>
    </row>
    <row r="64" spans="11:26" x14ac:dyDescent="0.45">
      <c r="K64" s="39">
        <f t="shared" si="7"/>
        <v>9.6199999999999992</v>
      </c>
      <c r="L64" s="40">
        <f t="shared" si="0"/>
        <v>49.62</v>
      </c>
      <c r="M64" s="41">
        <f t="shared" si="1"/>
        <v>44.62</v>
      </c>
      <c r="N64" s="49">
        <f t="shared" si="2"/>
        <v>2.8784773678225413E-2</v>
      </c>
      <c r="O64" s="50">
        <f t="shared" si="3"/>
        <v>1.8708127860973155E-2</v>
      </c>
      <c r="P64" s="50">
        <f t="shared" si="8"/>
        <v>2.8784773678225413E-2</v>
      </c>
      <c r="Q64" s="51">
        <f t="shared" si="9"/>
        <v>1.8708127860973155E-2</v>
      </c>
      <c r="R64" s="4">
        <f t="shared" si="4"/>
        <v>-4.5735771643347765E-2</v>
      </c>
      <c r="S64">
        <f t="shared" si="5"/>
        <v>0</v>
      </c>
      <c r="T64">
        <f t="shared" si="6"/>
        <v>0</v>
      </c>
      <c r="U64" s="5">
        <f>0</f>
        <v>0</v>
      </c>
      <c r="V64" s="45">
        <f t="shared" si="10"/>
        <v>1.8023157256678E-2</v>
      </c>
      <c r="W64" s="45">
        <f t="shared" si="11"/>
        <v>0</v>
      </c>
      <c r="X64" s="45">
        <f t="shared" si="12"/>
        <v>0</v>
      </c>
      <c r="Y64" s="46">
        <f>0</f>
        <v>0</v>
      </c>
      <c r="Z64" s="11"/>
    </row>
    <row r="65" spans="11:26" x14ac:dyDescent="0.45">
      <c r="K65" s="39">
        <f t="shared" si="7"/>
        <v>9.61</v>
      </c>
      <c r="L65" s="40">
        <f t="shared" si="0"/>
        <v>49.61</v>
      </c>
      <c r="M65" s="41">
        <f t="shared" si="1"/>
        <v>44.61</v>
      </c>
      <c r="N65" s="49">
        <f t="shared" si="2"/>
        <v>2.8759978308974862E-2</v>
      </c>
      <c r="O65" s="50">
        <f t="shared" si="3"/>
        <v>1.8692012572262367E-2</v>
      </c>
      <c r="P65" s="50">
        <f t="shared" si="8"/>
        <v>2.8759978308974862E-2</v>
      </c>
      <c r="Q65" s="51">
        <f t="shared" si="9"/>
        <v>1.8692012572262367E-2</v>
      </c>
      <c r="R65" s="4">
        <f t="shared" si="4"/>
        <v>-4.5651027904597005E-2</v>
      </c>
      <c r="S65">
        <f t="shared" si="5"/>
        <v>0</v>
      </c>
      <c r="T65">
        <f t="shared" si="6"/>
        <v>0</v>
      </c>
      <c r="U65" s="5">
        <f>0</f>
        <v>0</v>
      </c>
      <c r="V65" s="45">
        <f t="shared" si="10"/>
        <v>1.8480514973111477E-2</v>
      </c>
      <c r="W65" s="45">
        <f t="shared" si="11"/>
        <v>0</v>
      </c>
      <c r="X65" s="45">
        <f t="shared" si="12"/>
        <v>0</v>
      </c>
      <c r="Y65" s="46">
        <f>0</f>
        <v>0</v>
      </c>
      <c r="Z65" s="11"/>
    </row>
    <row r="66" spans="11:26" x14ac:dyDescent="0.45">
      <c r="K66" s="39">
        <f t="shared" si="7"/>
        <v>9.6</v>
      </c>
      <c r="L66" s="40">
        <f t="shared" si="0"/>
        <v>49.6</v>
      </c>
      <c r="M66" s="41">
        <f t="shared" si="1"/>
        <v>44.6</v>
      </c>
      <c r="N66" s="49">
        <f t="shared" si="2"/>
        <v>2.8735204298597689E-2</v>
      </c>
      <c r="O66" s="50">
        <f t="shared" si="3"/>
        <v>1.8675911165353762E-2</v>
      </c>
      <c r="P66" s="50">
        <f t="shared" si="8"/>
        <v>2.8735204298597689E-2</v>
      </c>
      <c r="Q66" s="51">
        <f t="shared" si="9"/>
        <v>1.8675911165353762E-2</v>
      </c>
      <c r="R66" s="4">
        <f t="shared" si="4"/>
        <v>-4.5566438710569777E-2</v>
      </c>
      <c r="S66">
        <f t="shared" si="5"/>
        <v>0</v>
      </c>
      <c r="T66">
        <f t="shared" si="6"/>
        <v>0</v>
      </c>
      <c r="U66" s="5">
        <f>0</f>
        <v>0</v>
      </c>
      <c r="V66" s="45">
        <f t="shared" si="10"/>
        <v>1.8937025252157447E-2</v>
      </c>
      <c r="W66" s="45">
        <f t="shared" si="11"/>
        <v>0</v>
      </c>
      <c r="X66" s="45">
        <f t="shared" si="12"/>
        <v>0</v>
      </c>
      <c r="Y66" s="46">
        <f>0</f>
        <v>0</v>
      </c>
      <c r="Z66" s="11"/>
    </row>
    <row r="67" spans="11:26" x14ac:dyDescent="0.45">
      <c r="K67" s="39">
        <f t="shared" si="7"/>
        <v>9.59</v>
      </c>
      <c r="L67" s="40">
        <f t="shared" si="0"/>
        <v>49.59</v>
      </c>
      <c r="M67" s="41">
        <f t="shared" si="1"/>
        <v>44.59</v>
      </c>
      <c r="N67" s="49">
        <f t="shared" si="2"/>
        <v>2.871045162869524E-2</v>
      </c>
      <c r="O67" s="50">
        <f t="shared" si="3"/>
        <v>1.8659823628289478E-2</v>
      </c>
      <c r="P67" s="50">
        <f t="shared" si="8"/>
        <v>2.871045162869524E-2</v>
      </c>
      <c r="Q67" s="51">
        <f t="shared" si="9"/>
        <v>1.8659823628289478E-2</v>
      </c>
      <c r="R67" s="4">
        <f t="shared" si="4"/>
        <v>-4.5482003728836394E-2</v>
      </c>
      <c r="S67">
        <f t="shared" si="5"/>
        <v>0</v>
      </c>
      <c r="T67">
        <f t="shared" si="6"/>
        <v>0</v>
      </c>
      <c r="U67" s="5">
        <f>0</f>
        <v>0</v>
      </c>
      <c r="V67" s="45">
        <f t="shared" si="10"/>
        <v>1.9392689639263144E-2</v>
      </c>
      <c r="W67" s="45">
        <f t="shared" si="11"/>
        <v>0</v>
      </c>
      <c r="X67" s="45">
        <f t="shared" si="12"/>
        <v>0</v>
      </c>
      <c r="Y67" s="46">
        <f>0</f>
        <v>0</v>
      </c>
      <c r="Z67" s="11"/>
    </row>
    <row r="68" spans="11:26" x14ac:dyDescent="0.45">
      <c r="K68" s="39">
        <f t="shared" si="7"/>
        <v>9.58</v>
      </c>
      <c r="L68" s="40">
        <f t="shared" si="0"/>
        <v>49.58</v>
      </c>
      <c r="M68" s="41">
        <f t="shared" si="1"/>
        <v>44.58</v>
      </c>
      <c r="N68" s="49">
        <f t="shared" si="2"/>
        <v>2.8685720280884688E-2</v>
      </c>
      <c r="O68" s="50">
        <f t="shared" si="3"/>
        <v>1.8643749949121945E-2</v>
      </c>
      <c r="P68" s="50">
        <f t="shared" si="8"/>
        <v>2.8685720280884688E-2</v>
      </c>
      <c r="Q68" s="51">
        <f t="shared" si="9"/>
        <v>1.8643749949121945E-2</v>
      </c>
      <c r="R68" s="4">
        <f t="shared" si="4"/>
        <v>-4.539772262780295E-2</v>
      </c>
      <c r="S68">
        <f t="shared" si="5"/>
        <v>0</v>
      </c>
      <c r="T68">
        <f t="shared" si="6"/>
        <v>0</v>
      </c>
      <c r="U68" s="5">
        <f>0</f>
        <v>0</v>
      </c>
      <c r="V68" s="45">
        <f t="shared" si="10"/>
        <v>1.9847509676551509E-2</v>
      </c>
      <c r="W68" s="45">
        <f t="shared" si="11"/>
        <v>0</v>
      </c>
      <c r="X68" s="45">
        <f t="shared" si="12"/>
        <v>0</v>
      </c>
      <c r="Y68" s="46">
        <f>0</f>
        <v>0</v>
      </c>
      <c r="Z68" s="11"/>
    </row>
    <row r="69" spans="11:26" x14ac:dyDescent="0.45">
      <c r="K69" s="39">
        <f t="shared" si="7"/>
        <v>9.57</v>
      </c>
      <c r="L69" s="40">
        <f t="shared" si="0"/>
        <v>49.57</v>
      </c>
      <c r="M69" s="41">
        <f t="shared" si="1"/>
        <v>44.57</v>
      </c>
      <c r="N69" s="49">
        <f t="shared" si="2"/>
        <v>2.8661010236799098E-2</v>
      </c>
      <c r="O69" s="50">
        <f t="shared" si="3"/>
        <v>1.8627690115913909E-2</v>
      </c>
      <c r="P69" s="50">
        <f t="shared" si="8"/>
        <v>2.8661010236799098E-2</v>
      </c>
      <c r="Q69" s="51">
        <f t="shared" si="9"/>
        <v>1.8627690115913909E-2</v>
      </c>
      <c r="R69" s="4">
        <f t="shared" si="4"/>
        <v>-4.5313595076709096E-2</v>
      </c>
      <c r="S69">
        <f t="shared" si="5"/>
        <v>0</v>
      </c>
      <c r="T69">
        <f t="shared" si="6"/>
        <v>0</v>
      </c>
      <c r="U69" s="5">
        <f>0</f>
        <v>0</v>
      </c>
      <c r="V69" s="45">
        <f t="shared" si="10"/>
        <v>2.0301486902829537E-2</v>
      </c>
      <c r="W69" s="45">
        <f t="shared" si="11"/>
        <v>0</v>
      </c>
      <c r="X69" s="45">
        <f t="shared" si="12"/>
        <v>0</v>
      </c>
      <c r="Y69" s="46">
        <f>0</f>
        <v>0</v>
      </c>
      <c r="Z69" s="11"/>
    </row>
    <row r="70" spans="11:26" x14ac:dyDescent="0.45">
      <c r="K70" s="39">
        <f t="shared" si="7"/>
        <v>9.56</v>
      </c>
      <c r="L70" s="40">
        <f t="shared" si="0"/>
        <v>49.56</v>
      </c>
      <c r="M70" s="41">
        <f t="shared" si="1"/>
        <v>44.56</v>
      </c>
      <c r="N70" s="49">
        <f t="shared" si="2"/>
        <v>2.8636321478087333E-2</v>
      </c>
      <c r="O70" s="50">
        <f t="shared" si="3"/>
        <v>1.8611644116738369E-2</v>
      </c>
      <c r="P70" s="50">
        <f t="shared" si="8"/>
        <v>2.8636321478087333E-2</v>
      </c>
      <c r="Q70" s="51">
        <f t="shared" si="9"/>
        <v>1.8611644116738369E-2</v>
      </c>
      <c r="R70" s="4">
        <f t="shared" si="4"/>
        <v>-4.5229620745625553E-2</v>
      </c>
      <c r="S70">
        <f t="shared" si="5"/>
        <v>0</v>
      </c>
      <c r="T70">
        <f t="shared" si="6"/>
        <v>0</v>
      </c>
      <c r="U70" s="5">
        <f>0</f>
        <v>0</v>
      </c>
      <c r="V70" s="45">
        <f t="shared" si="10"/>
        <v>2.0754622853596628E-2</v>
      </c>
      <c r="W70" s="45">
        <f t="shared" si="11"/>
        <v>0</v>
      </c>
      <c r="X70" s="45">
        <f t="shared" si="12"/>
        <v>0</v>
      </c>
      <c r="Y70" s="46">
        <f>0</f>
        <v>0</v>
      </c>
      <c r="Z70" s="11"/>
    </row>
    <row r="71" spans="11:26" x14ac:dyDescent="0.45">
      <c r="K71" s="39">
        <f t="shared" si="7"/>
        <v>9.5500000000000007</v>
      </c>
      <c r="L71" s="40">
        <f t="shared" si="0"/>
        <v>49.55</v>
      </c>
      <c r="M71" s="41">
        <f t="shared" si="1"/>
        <v>44.55</v>
      </c>
      <c r="N71" s="49">
        <f t="shared" si="2"/>
        <v>2.8611653986413962E-2</v>
      </c>
      <c r="O71" s="50">
        <f t="shared" si="3"/>
        <v>1.85956119396786E-2</v>
      </c>
      <c r="P71" s="50">
        <f t="shared" si="8"/>
        <v>2.8611653986413962E-2</v>
      </c>
      <c r="Q71" s="51">
        <f t="shared" si="9"/>
        <v>1.85956119396786E-2</v>
      </c>
      <c r="R71" s="4">
        <f t="shared" si="4"/>
        <v>-4.5145799305451678E-2</v>
      </c>
      <c r="S71">
        <f t="shared" si="5"/>
        <v>0</v>
      </c>
      <c r="T71">
        <f t="shared" si="6"/>
        <v>0</v>
      </c>
      <c r="U71" s="5">
        <f>0</f>
        <v>0</v>
      </c>
      <c r="V71" s="45">
        <f t="shared" si="10"/>
        <v>2.1206919061052883E-2</v>
      </c>
      <c r="W71" s="45">
        <f t="shared" si="11"/>
        <v>0</v>
      </c>
      <c r="X71" s="45">
        <f t="shared" si="12"/>
        <v>0</v>
      </c>
      <c r="Y71" s="46">
        <f>0</f>
        <v>0</v>
      </c>
      <c r="Z71" s="11"/>
    </row>
    <row r="72" spans="11:26" x14ac:dyDescent="0.45">
      <c r="K72" s="39">
        <f t="shared" si="7"/>
        <v>9.5399999999999991</v>
      </c>
      <c r="L72" s="40">
        <f t="shared" si="0"/>
        <v>49.54</v>
      </c>
      <c r="M72" s="41">
        <f t="shared" si="1"/>
        <v>44.54</v>
      </c>
      <c r="N72" s="49">
        <f t="shared" si="2"/>
        <v>2.8587007743459521E-2</v>
      </c>
      <c r="O72" s="50">
        <f t="shared" si="3"/>
        <v>1.8579593572828176E-2</v>
      </c>
      <c r="P72" s="50">
        <f t="shared" si="8"/>
        <v>2.8587007743459521E-2</v>
      </c>
      <c r="Q72" s="51">
        <f t="shared" si="9"/>
        <v>1.8579593572828176E-2</v>
      </c>
      <c r="R72" s="4">
        <f t="shared" si="4"/>
        <v>-4.5062130427913405E-2</v>
      </c>
      <c r="S72">
        <f t="shared" si="5"/>
        <v>0</v>
      </c>
      <c r="T72">
        <f t="shared" si="6"/>
        <v>0</v>
      </c>
      <c r="U72" s="5">
        <f>0</f>
        <v>0</v>
      </c>
      <c r="V72" s="45">
        <f t="shared" si="10"/>
        <v>2.1658377054107399E-2</v>
      </c>
      <c r="W72" s="45">
        <f t="shared" si="11"/>
        <v>0</v>
      </c>
      <c r="X72" s="45">
        <f t="shared" si="12"/>
        <v>0</v>
      </c>
      <c r="Y72" s="46">
        <f>0</f>
        <v>0</v>
      </c>
      <c r="Z72" s="11"/>
    </row>
    <row r="73" spans="11:26" x14ac:dyDescent="0.45">
      <c r="K73" s="39">
        <f t="shared" si="7"/>
        <v>9.5299999999999994</v>
      </c>
      <c r="L73" s="40">
        <f t="shared" si="0"/>
        <v>49.53</v>
      </c>
      <c r="M73" s="41">
        <f t="shared" si="1"/>
        <v>44.53</v>
      </c>
      <c r="N73" s="49">
        <f t="shared" si="2"/>
        <v>2.8562382730920214E-2</v>
      </c>
      <c r="O73" s="50">
        <f t="shared" si="3"/>
        <v>1.8563589004290889E-2</v>
      </c>
      <c r="P73" s="50">
        <f t="shared" si="8"/>
        <v>2.8562382730920214E-2</v>
      </c>
      <c r="Q73" s="51">
        <f t="shared" si="9"/>
        <v>1.8563589004290889E-2</v>
      </c>
      <c r="R73" s="4">
        <f t="shared" si="4"/>
        <v>-4.4978613785560624E-2</v>
      </c>
      <c r="S73">
        <f t="shared" si="5"/>
        <v>0</v>
      </c>
      <c r="T73">
        <f t="shared" si="6"/>
        <v>0</v>
      </c>
      <c r="U73" s="5">
        <f>0</f>
        <v>0</v>
      </c>
      <c r="V73" s="45">
        <f t="shared" si="10"/>
        <v>2.2108998358386533E-2</v>
      </c>
      <c r="W73" s="45">
        <f t="shared" si="11"/>
        <v>0</v>
      </c>
      <c r="X73" s="45">
        <f t="shared" si="12"/>
        <v>0</v>
      </c>
      <c r="Y73" s="46">
        <f>0</f>
        <v>0</v>
      </c>
      <c r="Z73" s="11"/>
    </row>
    <row r="74" spans="11:26" x14ac:dyDescent="0.45">
      <c r="K74" s="39">
        <f t="shared" si="7"/>
        <v>9.52</v>
      </c>
      <c r="L74" s="40">
        <f t="shared" si="0"/>
        <v>49.519999999999996</v>
      </c>
      <c r="M74" s="41">
        <f t="shared" si="1"/>
        <v>44.519999999999996</v>
      </c>
      <c r="N74" s="49">
        <f t="shared" si="2"/>
        <v>2.8537778930508014E-2</v>
      </c>
      <c r="O74" s="50">
        <f t="shared" si="3"/>
        <v>1.8547598222180786E-2</v>
      </c>
      <c r="P74" s="50">
        <f t="shared" si="8"/>
        <v>2.8537778930508014E-2</v>
      </c>
      <c r="Q74" s="51">
        <f t="shared" si="9"/>
        <v>1.8547598222180786E-2</v>
      </c>
      <c r="R74" s="4">
        <f t="shared" si="4"/>
        <v>-4.4895249051764903E-2</v>
      </c>
      <c r="S74">
        <f t="shared" si="5"/>
        <v>0</v>
      </c>
      <c r="T74">
        <f t="shared" si="6"/>
        <v>0</v>
      </c>
      <c r="U74" s="5">
        <f>0</f>
        <v>0</v>
      </c>
      <c r="V74" s="45">
        <f t="shared" si="10"/>
        <v>2.255878449624214E-2</v>
      </c>
      <c r="W74" s="45">
        <f t="shared" si="11"/>
        <v>0</v>
      </c>
      <c r="X74" s="45">
        <f t="shared" si="12"/>
        <v>0</v>
      </c>
      <c r="Y74" s="46">
        <f>0</f>
        <v>0</v>
      </c>
      <c r="Z74" s="11"/>
    </row>
    <row r="75" spans="11:26" x14ac:dyDescent="0.45">
      <c r="K75" s="39">
        <f t="shared" si="7"/>
        <v>9.51</v>
      </c>
      <c r="L75" s="40">
        <f t="shared" si="0"/>
        <v>49.51</v>
      </c>
      <c r="M75" s="41">
        <f t="shared" si="1"/>
        <v>44.51</v>
      </c>
      <c r="N75" s="49">
        <f t="shared" si="2"/>
        <v>2.8513196323950718E-2</v>
      </c>
      <c r="O75" s="50">
        <f t="shared" si="3"/>
        <v>1.8531621214622176E-2</v>
      </c>
      <c r="P75" s="50">
        <f t="shared" si="8"/>
        <v>2.8513196323950718E-2</v>
      </c>
      <c r="Q75" s="51">
        <f t="shared" si="9"/>
        <v>1.8531621214622176E-2</v>
      </c>
      <c r="R75" s="4">
        <f t="shared" si="4"/>
        <v>-4.4812035900717306E-2</v>
      </c>
      <c r="S75">
        <f t="shared" si="5"/>
        <v>0</v>
      </c>
      <c r="T75">
        <f t="shared" si="6"/>
        <v>0</v>
      </c>
      <c r="U75" s="5">
        <f>0</f>
        <v>0</v>
      </c>
      <c r="V75" s="45">
        <f t="shared" si="10"/>
        <v>2.3007736986759789E-2</v>
      </c>
      <c r="W75" s="45">
        <f t="shared" si="11"/>
        <v>0</v>
      </c>
      <c r="X75" s="45">
        <f t="shared" si="12"/>
        <v>0</v>
      </c>
      <c r="Y75" s="46">
        <f>0</f>
        <v>0</v>
      </c>
      <c r="Z75" s="11"/>
    </row>
    <row r="76" spans="11:26" x14ac:dyDescent="0.45">
      <c r="K76" s="39">
        <f t="shared" si="7"/>
        <v>9.5</v>
      </c>
      <c r="L76" s="40">
        <f t="shared" si="0"/>
        <v>49.5</v>
      </c>
      <c r="M76" s="41">
        <f t="shared" si="1"/>
        <v>44.5</v>
      </c>
      <c r="N76" s="49">
        <f t="shared" si="2"/>
        <v>2.8488634892991822E-2</v>
      </c>
      <c r="O76" s="50">
        <f t="shared" si="3"/>
        <v>1.8515657969749574E-2</v>
      </c>
      <c r="P76" s="50">
        <f t="shared" si="8"/>
        <v>2.8488634892991822E-2</v>
      </c>
      <c r="Q76" s="51">
        <f t="shared" si="9"/>
        <v>1.8515657969749574E-2</v>
      </c>
      <c r="R76" s="4">
        <f t="shared" si="4"/>
        <v>-4.4728974007425933E-2</v>
      </c>
      <c r="S76">
        <f t="shared" si="5"/>
        <v>0</v>
      </c>
      <c r="T76">
        <f t="shared" si="6"/>
        <v>0</v>
      </c>
      <c r="U76" s="5">
        <f>0</f>
        <v>0</v>
      </c>
      <c r="V76" s="45">
        <f t="shared" si="10"/>
        <v>2.3455857345766964E-2</v>
      </c>
      <c r="W76" s="45">
        <f t="shared" si="11"/>
        <v>0</v>
      </c>
      <c r="X76" s="45">
        <f t="shared" si="12"/>
        <v>0</v>
      </c>
      <c r="Y76" s="46">
        <f>0</f>
        <v>0</v>
      </c>
      <c r="Z76" s="11"/>
    </row>
    <row r="77" spans="11:26" x14ac:dyDescent="0.45">
      <c r="K77" s="39">
        <f t="shared" si="7"/>
        <v>9.49</v>
      </c>
      <c r="L77" s="40">
        <f t="shared" si="0"/>
        <v>49.49</v>
      </c>
      <c r="M77" s="41">
        <f t="shared" si="1"/>
        <v>44.49</v>
      </c>
      <c r="N77" s="49">
        <f t="shared" si="2"/>
        <v>2.84640946193905E-2</v>
      </c>
      <c r="O77" s="50">
        <f t="shared" si="3"/>
        <v>1.8499708475707734E-2</v>
      </c>
      <c r="P77" s="50">
        <f t="shared" si="8"/>
        <v>2.84640946193905E-2</v>
      </c>
      <c r="Q77" s="51">
        <f t="shared" si="9"/>
        <v>1.8499708475707734E-2</v>
      </c>
      <c r="R77" s="4">
        <f t="shared" si="4"/>
        <v>-4.4646063047713555E-2</v>
      </c>
      <c r="S77">
        <f t="shared" si="5"/>
        <v>0</v>
      </c>
      <c r="T77">
        <f t="shared" si="6"/>
        <v>0</v>
      </c>
      <c r="U77" s="5">
        <f>0</f>
        <v>0</v>
      </c>
      <c r="V77" s="45">
        <f t="shared" si="10"/>
        <v>2.3903147085841223E-2</v>
      </c>
      <c r="W77" s="45">
        <f t="shared" si="11"/>
        <v>0</v>
      </c>
      <c r="X77" s="45">
        <f t="shared" si="12"/>
        <v>0</v>
      </c>
      <c r="Y77" s="46">
        <f>0</f>
        <v>0</v>
      </c>
      <c r="Z77" s="11"/>
    </row>
    <row r="78" spans="11:26" x14ac:dyDescent="0.45">
      <c r="K78" s="39">
        <f t="shared" si="7"/>
        <v>9.48</v>
      </c>
      <c r="L78" s="40">
        <f t="shared" si="0"/>
        <v>49.480000000000004</v>
      </c>
      <c r="M78" s="41">
        <f t="shared" si="1"/>
        <v>44.480000000000004</v>
      </c>
      <c r="N78" s="49">
        <f t="shared" si="2"/>
        <v>2.8439575484921695E-2</v>
      </c>
      <c r="O78" s="50">
        <f t="shared" si="3"/>
        <v>1.8483772720651586E-2</v>
      </c>
      <c r="P78" s="50">
        <f t="shared" si="8"/>
        <v>2.8439575484921695E-2</v>
      </c>
      <c r="Q78" s="51">
        <f t="shared" si="9"/>
        <v>1.8483772720651586E-2</v>
      </c>
      <c r="R78" s="4">
        <f t="shared" si="4"/>
        <v>-4.4563302698215436E-2</v>
      </c>
      <c r="S78">
        <f t="shared" si="5"/>
        <v>0</v>
      </c>
      <c r="T78">
        <f t="shared" si="6"/>
        <v>0</v>
      </c>
      <c r="U78" s="5">
        <f>0</f>
        <v>0</v>
      </c>
      <c r="V78" s="45">
        <f t="shared" si="10"/>
        <v>2.4349607716318358E-2</v>
      </c>
      <c r="W78" s="45">
        <f t="shared" si="11"/>
        <v>0</v>
      </c>
      <c r="X78" s="45">
        <f t="shared" si="12"/>
        <v>0</v>
      </c>
      <c r="Y78" s="46">
        <f>0</f>
        <v>0</v>
      </c>
      <c r="Z78" s="11"/>
    </row>
    <row r="79" spans="11:26" x14ac:dyDescent="0.45">
      <c r="K79" s="39">
        <f t="shared" si="7"/>
        <v>9.4700000000000006</v>
      </c>
      <c r="L79" s="40">
        <f t="shared" si="0"/>
        <v>49.47</v>
      </c>
      <c r="M79" s="41">
        <f t="shared" si="1"/>
        <v>44.47</v>
      </c>
      <c r="N79" s="49">
        <f t="shared" si="2"/>
        <v>2.8415077471376022E-2</v>
      </c>
      <c r="O79" s="50">
        <f t="shared" si="3"/>
        <v>1.8467850692746295E-2</v>
      </c>
      <c r="P79" s="50">
        <f t="shared" si="8"/>
        <v>2.8415077471376022E-2</v>
      </c>
      <c r="Q79" s="51">
        <f t="shared" si="9"/>
        <v>1.8467850692746295E-2</v>
      </c>
      <c r="R79" s="4">
        <f t="shared" si="4"/>
        <v>-4.4480692636377009E-2</v>
      </c>
      <c r="S79">
        <f t="shared" si="5"/>
        <v>0</v>
      </c>
      <c r="T79">
        <f t="shared" si="6"/>
        <v>0</v>
      </c>
      <c r="U79" s="5">
        <f>0</f>
        <v>0</v>
      </c>
      <c r="V79" s="45">
        <f t="shared" si="10"/>
        <v>2.4795240743300511E-2</v>
      </c>
      <c r="W79" s="45">
        <f t="shared" si="11"/>
        <v>0</v>
      </c>
      <c r="X79" s="45">
        <f t="shared" si="12"/>
        <v>0</v>
      </c>
      <c r="Y79" s="46">
        <f>0</f>
        <v>0</v>
      </c>
      <c r="Z79" s="11"/>
    </row>
    <row r="80" spans="11:26" x14ac:dyDescent="0.45">
      <c r="K80" s="39">
        <f t="shared" si="7"/>
        <v>9.4600000000000009</v>
      </c>
      <c r="L80" s="40">
        <f t="shared" si="0"/>
        <v>49.46</v>
      </c>
      <c r="M80" s="41">
        <f t="shared" si="1"/>
        <v>44.46</v>
      </c>
      <c r="N80" s="49">
        <f t="shared" si="2"/>
        <v>2.8390600560559844E-2</v>
      </c>
      <c r="O80" s="50">
        <f t="shared" si="3"/>
        <v>1.8451942380167244E-2</v>
      </c>
      <c r="P80" s="50">
        <f t="shared" si="8"/>
        <v>2.8390600560559844E-2</v>
      </c>
      <c r="Q80" s="51">
        <f t="shared" si="9"/>
        <v>1.8451942380167244E-2</v>
      </c>
      <c r="R80" s="4">
        <f t="shared" si="4"/>
        <v>-4.4398232540451624E-2</v>
      </c>
      <c r="S80">
        <f t="shared" si="5"/>
        <v>0</v>
      </c>
      <c r="T80">
        <f t="shared" si="6"/>
        <v>0</v>
      </c>
      <c r="U80" s="5">
        <f>0</f>
        <v>0</v>
      </c>
      <c r="V80" s="45">
        <f t="shared" si="10"/>
        <v>2.524004766966428E-2</v>
      </c>
      <c r="W80" s="45">
        <f t="shared" si="11"/>
        <v>0</v>
      </c>
      <c r="X80" s="45">
        <f t="shared" si="12"/>
        <v>0</v>
      </c>
      <c r="Y80" s="46">
        <f>0</f>
        <v>0</v>
      </c>
      <c r="Z80" s="11"/>
    </row>
    <row r="81" spans="11:26" x14ac:dyDescent="0.45">
      <c r="K81" s="39">
        <f t="shared" si="7"/>
        <v>9.4499999999999993</v>
      </c>
      <c r="L81" s="40">
        <f t="shared" si="0"/>
        <v>49.45</v>
      </c>
      <c r="M81" s="41">
        <f t="shared" si="1"/>
        <v>44.45</v>
      </c>
      <c r="N81" s="49">
        <f t="shared" si="2"/>
        <v>2.8366144734295128E-2</v>
      </c>
      <c r="O81" s="50">
        <f t="shared" si="3"/>
        <v>1.8436047771099941E-2</v>
      </c>
      <c r="P81" s="50">
        <f t="shared" si="8"/>
        <v>2.8366144734295128E-2</v>
      </c>
      <c r="Q81" s="51">
        <f t="shared" si="9"/>
        <v>1.8436047771099941E-2</v>
      </c>
      <c r="R81" s="4">
        <f t="shared" si="4"/>
        <v>-4.4315922089498076E-2</v>
      </c>
      <c r="S81">
        <f t="shared" si="5"/>
        <v>0</v>
      </c>
      <c r="T81">
        <f t="shared" si="6"/>
        <v>0</v>
      </c>
      <c r="U81" s="5">
        <f>0</f>
        <v>0</v>
      </c>
      <c r="V81" s="45">
        <f t="shared" si="10"/>
        <v>2.5684029995068795E-2</v>
      </c>
      <c r="W81" s="45">
        <f t="shared" si="11"/>
        <v>0</v>
      </c>
      <c r="X81" s="45">
        <f t="shared" si="12"/>
        <v>0</v>
      </c>
      <c r="Y81" s="46">
        <f>0</f>
        <v>0</v>
      </c>
      <c r="Z81" s="11"/>
    </row>
    <row r="82" spans="11:26" x14ac:dyDescent="0.45">
      <c r="K82" s="39">
        <f t="shared" si="7"/>
        <v>9.44</v>
      </c>
      <c r="L82" s="40">
        <f t="shared" si="0"/>
        <v>49.44</v>
      </c>
      <c r="M82" s="41">
        <f t="shared" si="1"/>
        <v>44.44</v>
      </c>
      <c r="N82" s="49">
        <f t="shared" si="2"/>
        <v>2.834170997441951E-2</v>
      </c>
      <c r="O82" s="50">
        <f t="shared" si="3"/>
        <v>1.8420166853740098E-2</v>
      </c>
      <c r="P82" s="50">
        <f t="shared" si="8"/>
        <v>2.834170997441951E-2</v>
      </c>
      <c r="Q82" s="51">
        <f t="shared" si="9"/>
        <v>1.8420166853740098E-2</v>
      </c>
      <c r="R82" s="4">
        <f t="shared" si="4"/>
        <v>-4.4233760963378499E-2</v>
      </c>
      <c r="S82">
        <f t="shared" si="5"/>
        <v>0</v>
      </c>
      <c r="T82">
        <f t="shared" si="6"/>
        <v>0</v>
      </c>
      <c r="U82" s="5">
        <f>0</f>
        <v>0</v>
      </c>
      <c r="V82" s="45">
        <f t="shared" si="10"/>
        <v>2.6127189215963777E-2</v>
      </c>
      <c r="W82" s="45">
        <f t="shared" si="11"/>
        <v>0</v>
      </c>
      <c r="X82" s="45">
        <f t="shared" si="12"/>
        <v>0</v>
      </c>
      <c r="Y82" s="46">
        <f>0</f>
        <v>0</v>
      </c>
      <c r="Z82" s="11"/>
    </row>
    <row r="83" spans="11:26" x14ac:dyDescent="0.45">
      <c r="K83" s="39">
        <f t="shared" si="7"/>
        <v>9.43</v>
      </c>
      <c r="L83" s="40">
        <f t="shared" si="0"/>
        <v>49.43</v>
      </c>
      <c r="M83" s="41">
        <f t="shared" si="1"/>
        <v>44.43</v>
      </c>
      <c r="N83" s="49">
        <f t="shared" si="2"/>
        <v>2.8317296262786285E-2</v>
      </c>
      <c r="O83" s="50">
        <f t="shared" si="3"/>
        <v>1.8404299616293637E-2</v>
      </c>
      <c r="P83" s="50">
        <f t="shared" si="8"/>
        <v>2.8317296262786285E-2</v>
      </c>
      <c r="Q83" s="51">
        <f t="shared" si="9"/>
        <v>1.8404299616293637E-2</v>
      </c>
      <c r="R83" s="4">
        <f t="shared" si="4"/>
        <v>-4.4151748842756099E-2</v>
      </c>
      <c r="S83">
        <f t="shared" si="5"/>
        <v>0</v>
      </c>
      <c r="T83">
        <f t="shared" si="6"/>
        <v>0</v>
      </c>
      <c r="U83" s="5">
        <f>0</f>
        <v>0</v>
      </c>
      <c r="V83" s="45">
        <f t="shared" si="10"/>
        <v>2.6569526825597562E-2</v>
      </c>
      <c r="W83" s="45">
        <f t="shared" si="11"/>
        <v>0</v>
      </c>
      <c r="X83" s="45">
        <f t="shared" si="12"/>
        <v>0</v>
      </c>
      <c r="Y83" s="46">
        <f>0</f>
        <v>0</v>
      </c>
      <c r="Z83" s="11"/>
    </row>
    <row r="84" spans="11:26" x14ac:dyDescent="0.45">
      <c r="K84" s="39">
        <f t="shared" si="7"/>
        <v>9.42</v>
      </c>
      <c r="L84" s="40">
        <f t="shared" si="0"/>
        <v>49.42</v>
      </c>
      <c r="M84" s="41">
        <f t="shared" si="1"/>
        <v>44.42</v>
      </c>
      <c r="N84" s="49">
        <f t="shared" si="2"/>
        <v>2.8292903581264375E-2</v>
      </c>
      <c r="O84" s="50">
        <f t="shared" si="3"/>
        <v>1.8388446046976568E-2</v>
      </c>
      <c r="P84" s="50">
        <f t="shared" si="8"/>
        <v>2.8292903581264375E-2</v>
      </c>
      <c r="Q84" s="51">
        <f t="shared" si="9"/>
        <v>1.8388446046976568E-2</v>
      </c>
      <c r="R84" s="4">
        <f t="shared" si="4"/>
        <v>-4.4069885409092777E-2</v>
      </c>
      <c r="S84">
        <f t="shared" si="5"/>
        <v>0</v>
      </c>
      <c r="T84">
        <f t="shared" si="6"/>
        <v>0</v>
      </c>
      <c r="U84" s="5">
        <f>0</f>
        <v>0</v>
      </c>
      <c r="V84" s="45">
        <f t="shared" si="10"/>
        <v>2.7011044314025123E-2</v>
      </c>
      <c r="W84" s="45">
        <f t="shared" si="11"/>
        <v>0</v>
      </c>
      <c r="X84" s="45">
        <f t="shared" si="12"/>
        <v>0</v>
      </c>
      <c r="Y84" s="46">
        <f>0</f>
        <v>0</v>
      </c>
      <c r="Z84" s="11"/>
    </row>
    <row r="85" spans="11:26" x14ac:dyDescent="0.45">
      <c r="K85" s="39">
        <f t="shared" si="7"/>
        <v>9.41</v>
      </c>
      <c r="L85" s="40">
        <f t="shared" si="0"/>
        <v>49.41</v>
      </c>
      <c r="M85" s="41">
        <f t="shared" si="1"/>
        <v>44.41</v>
      </c>
      <c r="N85" s="49">
        <f t="shared" si="2"/>
        <v>2.8268531911738309E-2</v>
      </c>
      <c r="O85" s="50">
        <f t="shared" si="3"/>
        <v>1.8372606134015097E-2</v>
      </c>
      <c r="P85" s="50">
        <f t="shared" si="8"/>
        <v>2.8268531911738309E-2</v>
      </c>
      <c r="Q85" s="51">
        <f t="shared" si="9"/>
        <v>1.8372606134015097E-2</v>
      </c>
      <c r="R85" s="4">
        <f t="shared" si="4"/>
        <v>-4.3988170344646936E-2</v>
      </c>
      <c r="S85">
        <f t="shared" si="5"/>
        <v>0</v>
      </c>
      <c r="T85">
        <f t="shared" si="6"/>
        <v>0</v>
      </c>
      <c r="U85" s="5">
        <f>0</f>
        <v>0</v>
      </c>
      <c r="V85" s="45">
        <f t="shared" si="10"/>
        <v>2.745174316811605E-2</v>
      </c>
      <c r="W85" s="45">
        <f t="shared" si="11"/>
        <v>0</v>
      </c>
      <c r="X85" s="45">
        <f t="shared" si="12"/>
        <v>0</v>
      </c>
      <c r="Y85" s="46">
        <f>0</f>
        <v>0</v>
      </c>
      <c r="Z85" s="11"/>
    </row>
    <row r="86" spans="11:26" x14ac:dyDescent="0.45">
      <c r="K86" s="39">
        <f t="shared" si="7"/>
        <v>9.4</v>
      </c>
      <c r="L86" s="40">
        <f t="shared" si="0"/>
        <v>49.4</v>
      </c>
      <c r="M86" s="41">
        <f t="shared" si="1"/>
        <v>44.4</v>
      </c>
      <c r="N86" s="49">
        <f t="shared" si="2"/>
        <v>2.8244181236108269E-2</v>
      </c>
      <c r="O86" s="50">
        <f t="shared" si="3"/>
        <v>1.8356779865645562E-2</v>
      </c>
      <c r="P86" s="50">
        <f t="shared" si="8"/>
        <v>2.8244181236108269E-2</v>
      </c>
      <c r="Q86" s="51">
        <f t="shared" si="9"/>
        <v>1.8356779865645562E-2</v>
      </c>
      <c r="R86" s="4">
        <f t="shared" si="4"/>
        <v>-4.390660333247131E-2</v>
      </c>
      <c r="S86">
        <f t="shared" si="5"/>
        <v>0</v>
      </c>
      <c r="T86">
        <f t="shared" si="6"/>
        <v>0</v>
      </c>
      <c r="U86" s="5">
        <f>0</f>
        <v>0</v>
      </c>
      <c r="V86" s="45">
        <f t="shared" si="10"/>
        <v>2.789162487156252E-2</v>
      </c>
      <c r="W86" s="45">
        <f t="shared" si="11"/>
        <v>0</v>
      </c>
      <c r="X86" s="45">
        <f t="shared" si="12"/>
        <v>0</v>
      </c>
      <c r="Y86" s="46">
        <f>0</f>
        <v>0</v>
      </c>
      <c r="Z86" s="11"/>
    </row>
    <row r="87" spans="11:26" x14ac:dyDescent="0.45">
      <c r="K87" s="39">
        <f t="shared" si="7"/>
        <v>9.39</v>
      </c>
      <c r="L87" s="40">
        <f t="shared" si="0"/>
        <v>49.39</v>
      </c>
      <c r="M87" s="41">
        <f t="shared" si="1"/>
        <v>44.39</v>
      </c>
      <c r="N87" s="49">
        <f t="shared" si="2"/>
        <v>2.8219851536289975E-2</v>
      </c>
      <c r="O87" s="50">
        <f t="shared" si="3"/>
        <v>1.8340967230114434E-2</v>
      </c>
      <c r="P87" s="50">
        <f t="shared" si="8"/>
        <v>2.8219851536289975E-2</v>
      </c>
      <c r="Q87" s="51">
        <f t="shared" si="9"/>
        <v>1.8340967230114434E-2</v>
      </c>
      <c r="R87" s="4">
        <f t="shared" si="4"/>
        <v>-4.3825184056410574E-2</v>
      </c>
      <c r="S87">
        <f t="shared" si="5"/>
        <v>0</v>
      </c>
      <c r="T87">
        <f t="shared" si="6"/>
        <v>0</v>
      </c>
      <c r="U87" s="5">
        <f>0</f>
        <v>0</v>
      </c>
      <c r="V87" s="45">
        <f t="shared" si="10"/>
        <v>2.8330690904887233E-2</v>
      </c>
      <c r="W87" s="45">
        <f t="shared" si="11"/>
        <v>0</v>
      </c>
      <c r="X87" s="45">
        <f t="shared" si="12"/>
        <v>0</v>
      </c>
      <c r="Y87" s="46">
        <f>0</f>
        <v>0</v>
      </c>
      <c r="Z87" s="11"/>
    </row>
    <row r="88" spans="11:26" x14ac:dyDescent="0.45">
      <c r="K88" s="39">
        <f t="shared" si="7"/>
        <v>9.3800000000000008</v>
      </c>
      <c r="L88" s="40">
        <f t="shared" si="0"/>
        <v>49.38</v>
      </c>
      <c r="M88" s="41">
        <f t="shared" si="1"/>
        <v>44.38</v>
      </c>
      <c r="N88" s="49">
        <f t="shared" si="2"/>
        <v>2.819554279421474E-2</v>
      </c>
      <c r="O88" s="50">
        <f t="shared" si="3"/>
        <v>1.8325168215678308E-2</v>
      </c>
      <c r="P88" s="50">
        <f t="shared" si="8"/>
        <v>2.819554279421474E-2</v>
      </c>
      <c r="Q88" s="51">
        <f t="shared" si="9"/>
        <v>1.8325168215678308E-2</v>
      </c>
      <c r="R88" s="4">
        <f t="shared" si="4"/>
        <v>-4.3743912201099182E-2</v>
      </c>
      <c r="S88">
        <f t="shared" si="5"/>
        <v>0</v>
      </c>
      <c r="T88">
        <f t="shared" si="6"/>
        <v>0</v>
      </c>
      <c r="U88" s="5">
        <f>0</f>
        <v>0</v>
      </c>
      <c r="V88" s="45">
        <f t="shared" si="10"/>
        <v>2.8768942745451338E-2</v>
      </c>
      <c r="W88" s="45">
        <f t="shared" si="11"/>
        <v>0</v>
      </c>
      <c r="X88" s="45">
        <f t="shared" si="12"/>
        <v>0</v>
      </c>
      <c r="Y88" s="46">
        <f>0</f>
        <v>0</v>
      </c>
      <c r="Z88" s="11"/>
    </row>
    <row r="89" spans="11:26" x14ac:dyDescent="0.45">
      <c r="K89" s="39">
        <f t="shared" si="7"/>
        <v>9.3699999999999992</v>
      </c>
      <c r="L89" s="40">
        <f t="shared" si="0"/>
        <v>49.37</v>
      </c>
      <c r="M89" s="41">
        <f t="shared" si="1"/>
        <v>44.37</v>
      </c>
      <c r="N89" s="49">
        <f t="shared" si="2"/>
        <v>2.8171254991829438E-2</v>
      </c>
      <c r="O89" s="50">
        <f t="shared" si="3"/>
        <v>1.8309382810603878E-2</v>
      </c>
      <c r="P89" s="50">
        <f t="shared" si="8"/>
        <v>2.8171254991829438E-2</v>
      </c>
      <c r="Q89" s="51">
        <f t="shared" si="9"/>
        <v>1.8309382810603878E-2</v>
      </c>
      <c r="R89" s="4">
        <f t="shared" si="4"/>
        <v>-4.3662787451959124E-2</v>
      </c>
      <c r="S89">
        <f t="shared" si="5"/>
        <v>0</v>
      </c>
      <c r="T89">
        <f t="shared" si="6"/>
        <v>0</v>
      </c>
      <c r="U89" s="5">
        <f>0</f>
        <v>0</v>
      </c>
      <c r="V89" s="45">
        <f t="shared" si="10"/>
        <v>2.9206381867462331E-2</v>
      </c>
      <c r="W89" s="45">
        <f t="shared" si="11"/>
        <v>0</v>
      </c>
      <c r="X89" s="45">
        <f t="shared" si="12"/>
        <v>0</v>
      </c>
      <c r="Y89" s="46">
        <f>0</f>
        <v>0</v>
      </c>
      <c r="Z89" s="11"/>
    </row>
    <row r="90" spans="11:26" x14ac:dyDescent="0.45">
      <c r="K90" s="39">
        <f t="shared" si="7"/>
        <v>9.36</v>
      </c>
      <c r="L90" s="40">
        <f t="shared" ref="L90:L153" si="13">InitialAge_x+K90</f>
        <v>49.36</v>
      </c>
      <c r="M90" s="41">
        <f t="shared" ref="M90:M153" si="14">InitialAge_y+K90</f>
        <v>44.36</v>
      </c>
      <c r="N90" s="49">
        <f t="shared" ref="N90:N153" si="15">muParameter_B*muParameter_c^L90</f>
        <v>2.8146988111096505E-2</v>
      </c>
      <c r="O90" s="50">
        <f t="shared" ref="O90:O153" si="16">muParameter_B*muParameter_c^M90</f>
        <v>1.8293611003167991E-2</v>
      </c>
      <c r="P90" s="50">
        <f t="shared" si="8"/>
        <v>2.8146988111096505E-2</v>
      </c>
      <c r="Q90" s="51">
        <f t="shared" si="9"/>
        <v>1.8293611003167991E-2</v>
      </c>
      <c r="R90" s="4">
        <f t="shared" ref="R90:R153" si="17">V90*Delta-Constant_b1-(O90*(Constant_b12+W90-V90)+N90*(Constant_b13+X90-V90))</f>
        <v>-4.3581809495197771E-2</v>
      </c>
      <c r="S90">
        <f t="shared" ref="S90:S153" si="18">W90*Delta-Constant_b2-(P90*(Constant_b24+Y90-W90)+Q90*(Constant_b34+Y90-X90))</f>
        <v>0</v>
      </c>
      <c r="T90">
        <f t="shared" ref="T90:T153" si="19">X90*Delta-Constant_b3-(Q90*(Constant_b34+Y90-X90))</f>
        <v>0</v>
      </c>
      <c r="U90" s="5">
        <f>0</f>
        <v>0</v>
      </c>
      <c r="V90" s="45">
        <f t="shared" si="10"/>
        <v>2.9643009741981922E-2</v>
      </c>
      <c r="W90" s="45">
        <f t="shared" si="11"/>
        <v>0</v>
      </c>
      <c r="X90" s="45">
        <f t="shared" si="12"/>
        <v>0</v>
      </c>
      <c r="Y90" s="46">
        <f>0</f>
        <v>0</v>
      </c>
      <c r="Z90" s="11"/>
    </row>
    <row r="91" spans="11:26" x14ac:dyDescent="0.45">
      <c r="K91" s="39">
        <f t="shared" ref="K91:K154" si="20">ROUND(K90-StepSize,2)</f>
        <v>9.35</v>
      </c>
      <c r="L91" s="40">
        <f t="shared" si="13"/>
        <v>49.35</v>
      </c>
      <c r="M91" s="41">
        <f t="shared" si="14"/>
        <v>44.35</v>
      </c>
      <c r="N91" s="49">
        <f t="shared" si="15"/>
        <v>2.8122742133993916E-2</v>
      </c>
      <c r="O91" s="50">
        <f t="shared" si="16"/>
        <v>1.8277852781657548E-2</v>
      </c>
      <c r="P91" s="50">
        <f t="shared" ref="P91:P154" si="21">N91</f>
        <v>2.8122742133993916E-2</v>
      </c>
      <c r="Q91" s="51">
        <f t="shared" ref="Q91:Q154" si="22">O91</f>
        <v>1.8277852781657548E-2</v>
      </c>
      <c r="R91" s="4">
        <f t="shared" si="17"/>
        <v>-4.3500978017805579E-2</v>
      </c>
      <c r="S91">
        <f t="shared" si="18"/>
        <v>0</v>
      </c>
      <c r="T91">
        <f t="shared" si="19"/>
        <v>0</v>
      </c>
      <c r="U91" s="5">
        <f>0</f>
        <v>0</v>
      </c>
      <c r="V91" s="45">
        <f t="shared" ref="V91:V154" si="23">V90-StepSize*(R90)</f>
        <v>3.00788278369339E-2</v>
      </c>
      <c r="W91" s="45">
        <f t="shared" ref="W91:W154" si="24">W90-StepSize*(S90)</f>
        <v>0</v>
      </c>
      <c r="X91" s="45">
        <f t="shared" ref="X91:X154" si="25">X90-StepSize*(T90)</f>
        <v>0</v>
      </c>
      <c r="Y91" s="46">
        <f>0</f>
        <v>0</v>
      </c>
      <c r="Z91" s="11"/>
    </row>
    <row r="92" spans="11:26" x14ac:dyDescent="0.45">
      <c r="K92" s="39">
        <f t="shared" si="20"/>
        <v>9.34</v>
      </c>
      <c r="L92" s="40">
        <f t="shared" si="13"/>
        <v>49.34</v>
      </c>
      <c r="M92" s="41">
        <f t="shared" si="14"/>
        <v>44.34</v>
      </c>
      <c r="N92" s="49">
        <f t="shared" si="15"/>
        <v>2.8098517042515155E-2</v>
      </c>
      <c r="O92" s="50">
        <f t="shared" si="16"/>
        <v>1.8262108134369549E-2</v>
      </c>
      <c r="P92" s="50">
        <f t="shared" si="21"/>
        <v>2.8098517042515155E-2</v>
      </c>
      <c r="Q92" s="51">
        <f t="shared" si="22"/>
        <v>1.8262108134369549E-2</v>
      </c>
      <c r="R92" s="4">
        <f t="shared" si="17"/>
        <v>-4.3420292707553855E-2</v>
      </c>
      <c r="S92">
        <f t="shared" si="18"/>
        <v>0</v>
      </c>
      <c r="T92">
        <f t="shared" si="19"/>
        <v>0</v>
      </c>
      <c r="U92" s="5">
        <f>0</f>
        <v>0</v>
      </c>
      <c r="V92" s="45">
        <f t="shared" si="23"/>
        <v>3.0513837617111954E-2</v>
      </c>
      <c r="W92" s="45">
        <f t="shared" si="24"/>
        <v>0</v>
      </c>
      <c r="X92" s="45">
        <f t="shared" si="25"/>
        <v>0</v>
      </c>
      <c r="Y92" s="46">
        <f>0</f>
        <v>0</v>
      </c>
      <c r="Z92" s="11"/>
    </row>
    <row r="93" spans="11:26" x14ac:dyDescent="0.45">
      <c r="K93" s="39">
        <f t="shared" si="20"/>
        <v>9.33</v>
      </c>
      <c r="L93" s="40">
        <f t="shared" si="13"/>
        <v>49.33</v>
      </c>
      <c r="M93" s="41">
        <f t="shared" si="14"/>
        <v>44.33</v>
      </c>
      <c r="N93" s="49">
        <f t="shared" si="15"/>
        <v>2.8074312818669206E-2</v>
      </c>
      <c r="O93" s="50">
        <f t="shared" si="16"/>
        <v>1.8246377049611084E-2</v>
      </c>
      <c r="P93" s="50">
        <f t="shared" si="21"/>
        <v>2.8074312818669206E-2</v>
      </c>
      <c r="Q93" s="51">
        <f t="shared" si="22"/>
        <v>1.8246377049611084E-2</v>
      </c>
      <c r="R93" s="4">
        <f t="shared" si="17"/>
        <v>-4.3339753252992635E-2</v>
      </c>
      <c r="S93">
        <f t="shared" si="18"/>
        <v>0</v>
      </c>
      <c r="T93">
        <f t="shared" si="19"/>
        <v>0</v>
      </c>
      <c r="U93" s="5">
        <f>0</f>
        <v>0</v>
      </c>
      <c r="V93" s="45">
        <f t="shared" si="23"/>
        <v>3.0948040544187493E-2</v>
      </c>
      <c r="W93" s="45">
        <f t="shared" si="24"/>
        <v>0</v>
      </c>
      <c r="X93" s="45">
        <f t="shared" si="25"/>
        <v>0</v>
      </c>
      <c r="Y93" s="46">
        <f>0</f>
        <v>0</v>
      </c>
      <c r="Z93" s="11"/>
    </row>
    <row r="94" spans="11:26" x14ac:dyDescent="0.45">
      <c r="K94" s="39">
        <f t="shared" si="20"/>
        <v>9.32</v>
      </c>
      <c r="L94" s="40">
        <f t="shared" si="13"/>
        <v>49.32</v>
      </c>
      <c r="M94" s="41">
        <f t="shared" si="14"/>
        <v>44.32</v>
      </c>
      <c r="N94" s="49">
        <f t="shared" si="15"/>
        <v>2.8050129444480616E-2</v>
      </c>
      <c r="O94" s="50">
        <f t="shared" si="16"/>
        <v>1.8230659515699323E-2</v>
      </c>
      <c r="P94" s="50">
        <f t="shared" si="21"/>
        <v>2.8050129444480616E-2</v>
      </c>
      <c r="Q94" s="51">
        <f t="shared" si="22"/>
        <v>1.8230659515699323E-2</v>
      </c>
      <c r="R94" s="4">
        <f t="shared" si="17"/>
        <v>-4.3259359343448552E-2</v>
      </c>
      <c r="S94">
        <f t="shared" si="18"/>
        <v>0</v>
      </c>
      <c r="T94">
        <f t="shared" si="19"/>
        <v>0</v>
      </c>
      <c r="U94" s="5">
        <f>0</f>
        <v>0</v>
      </c>
      <c r="V94" s="45">
        <f t="shared" si="23"/>
        <v>3.1381438076717422E-2</v>
      </c>
      <c r="W94" s="45">
        <f t="shared" si="24"/>
        <v>0</v>
      </c>
      <c r="X94" s="45">
        <f t="shared" si="25"/>
        <v>0</v>
      </c>
      <c r="Y94" s="46">
        <f>0</f>
        <v>0</v>
      </c>
      <c r="Z94" s="11"/>
    </row>
    <row r="95" spans="11:26" x14ac:dyDescent="0.45">
      <c r="K95" s="39">
        <f t="shared" si="20"/>
        <v>9.31</v>
      </c>
      <c r="L95" s="40">
        <f t="shared" si="13"/>
        <v>49.31</v>
      </c>
      <c r="M95" s="41">
        <f t="shared" si="14"/>
        <v>44.31</v>
      </c>
      <c r="N95" s="49">
        <f t="shared" si="15"/>
        <v>2.8025966901989347E-2</v>
      </c>
      <c r="O95" s="50">
        <f t="shared" si="16"/>
        <v>1.821495552096148E-2</v>
      </c>
      <c r="P95" s="50">
        <f t="shared" si="21"/>
        <v>2.8025966901989347E-2</v>
      </c>
      <c r="Q95" s="51">
        <f t="shared" si="22"/>
        <v>1.821495552096148E-2</v>
      </c>
      <c r="R95" s="4">
        <f t="shared" si="17"/>
        <v>-4.3179110669022434E-2</v>
      </c>
      <c r="S95">
        <f t="shared" si="18"/>
        <v>0</v>
      </c>
      <c r="T95">
        <f t="shared" si="19"/>
        <v>0</v>
      </c>
      <c r="U95" s="5">
        <f>0</f>
        <v>0</v>
      </c>
      <c r="V95" s="45">
        <f t="shared" si="23"/>
        <v>3.1814031670151906E-2</v>
      </c>
      <c r="W95" s="45">
        <f t="shared" si="24"/>
        <v>0</v>
      </c>
      <c r="X95" s="45">
        <f t="shared" si="25"/>
        <v>0</v>
      </c>
      <c r="Y95" s="46">
        <f>0</f>
        <v>0</v>
      </c>
      <c r="Z95" s="11"/>
    </row>
    <row r="96" spans="11:26" x14ac:dyDescent="0.45">
      <c r="K96" s="39">
        <f t="shared" si="20"/>
        <v>9.3000000000000007</v>
      </c>
      <c r="L96" s="40">
        <f t="shared" si="13"/>
        <v>49.3</v>
      </c>
      <c r="M96" s="41">
        <f t="shared" si="14"/>
        <v>44.3</v>
      </c>
      <c r="N96" s="49">
        <f t="shared" si="15"/>
        <v>2.8001825173250856E-2</v>
      </c>
      <c r="O96" s="50">
        <f t="shared" si="16"/>
        <v>1.8199265053734825E-2</v>
      </c>
      <c r="P96" s="50">
        <f t="shared" si="21"/>
        <v>2.8001825173250856E-2</v>
      </c>
      <c r="Q96" s="51">
        <f t="shared" si="22"/>
        <v>1.8199265053734825E-2</v>
      </c>
      <c r="R96" s="4">
        <f t="shared" si="17"/>
        <v>-4.3099006920587296E-2</v>
      </c>
      <c r="S96">
        <f t="shared" si="18"/>
        <v>0</v>
      </c>
      <c r="T96">
        <f t="shared" si="19"/>
        <v>0</v>
      </c>
      <c r="U96" s="5">
        <f>0</f>
        <v>0</v>
      </c>
      <c r="V96" s="45">
        <f t="shared" si="23"/>
        <v>3.2245822776842133E-2</v>
      </c>
      <c r="W96" s="45">
        <f t="shared" si="24"/>
        <v>0</v>
      </c>
      <c r="X96" s="45">
        <f t="shared" si="25"/>
        <v>0</v>
      </c>
      <c r="Y96" s="46">
        <f>0</f>
        <v>0</v>
      </c>
      <c r="Z96" s="11"/>
    </row>
    <row r="97" spans="11:26" x14ac:dyDescent="0.45">
      <c r="K97" s="39">
        <f t="shared" si="20"/>
        <v>9.2899999999999991</v>
      </c>
      <c r="L97" s="40">
        <f t="shared" si="13"/>
        <v>49.29</v>
      </c>
      <c r="M97" s="41">
        <f t="shared" si="14"/>
        <v>44.29</v>
      </c>
      <c r="N97" s="49">
        <f t="shared" si="15"/>
        <v>2.7977704240336056E-2</v>
      </c>
      <c r="O97" s="50">
        <f t="shared" si="16"/>
        <v>1.8183588102366699E-2</v>
      </c>
      <c r="P97" s="50">
        <f t="shared" si="21"/>
        <v>2.7977704240336056E-2</v>
      </c>
      <c r="Q97" s="51">
        <f t="shared" si="22"/>
        <v>1.8183588102366699E-2</v>
      </c>
      <c r="R97" s="4">
        <f t="shared" si="17"/>
        <v>-4.3019047789786144E-2</v>
      </c>
      <c r="S97">
        <f t="shared" si="18"/>
        <v>0</v>
      </c>
      <c r="T97">
        <f t="shared" si="19"/>
        <v>0</v>
      </c>
      <c r="U97" s="5">
        <f>0</f>
        <v>0</v>
      </c>
      <c r="V97" s="45">
        <f t="shared" si="23"/>
        <v>3.2676812846048009E-2</v>
      </c>
      <c r="W97" s="45">
        <f t="shared" si="24"/>
        <v>0</v>
      </c>
      <c r="X97" s="45">
        <f t="shared" si="25"/>
        <v>0</v>
      </c>
      <c r="Y97" s="46">
        <f>0</f>
        <v>0</v>
      </c>
      <c r="Z97" s="11"/>
    </row>
    <row r="98" spans="11:26" x14ac:dyDescent="0.45">
      <c r="K98" s="39">
        <f t="shared" si="20"/>
        <v>9.2799999999999994</v>
      </c>
      <c r="L98" s="40">
        <f t="shared" si="13"/>
        <v>49.28</v>
      </c>
      <c r="M98" s="41">
        <f t="shared" si="14"/>
        <v>44.28</v>
      </c>
      <c r="N98" s="49">
        <f t="shared" si="15"/>
        <v>2.7953604085331308E-2</v>
      </c>
      <c r="O98" s="50">
        <f t="shared" si="16"/>
        <v>1.8167924655214458E-2</v>
      </c>
      <c r="P98" s="50">
        <f t="shared" si="21"/>
        <v>2.7953604085331308E-2</v>
      </c>
      <c r="Q98" s="51">
        <f t="shared" si="22"/>
        <v>1.8167924655214458E-2</v>
      </c>
      <c r="R98" s="4">
        <f t="shared" si="17"/>
        <v>-4.293923296902976E-2</v>
      </c>
      <c r="S98">
        <f t="shared" si="18"/>
        <v>0</v>
      </c>
      <c r="T98">
        <f t="shared" si="19"/>
        <v>0</v>
      </c>
      <c r="U98" s="5">
        <f>0</f>
        <v>0</v>
      </c>
      <c r="V98" s="45">
        <f t="shared" si="23"/>
        <v>3.3107003323945873E-2</v>
      </c>
      <c r="W98" s="45">
        <f t="shared" si="24"/>
        <v>0</v>
      </c>
      <c r="X98" s="45">
        <f t="shared" si="25"/>
        <v>0</v>
      </c>
      <c r="Y98" s="46">
        <f>0</f>
        <v>0</v>
      </c>
      <c r="Z98" s="11"/>
    </row>
    <row r="99" spans="11:26" x14ac:dyDescent="0.45">
      <c r="K99" s="39">
        <f t="shared" si="20"/>
        <v>9.27</v>
      </c>
      <c r="L99" s="40">
        <f t="shared" si="13"/>
        <v>49.269999999999996</v>
      </c>
      <c r="M99" s="41">
        <f t="shared" si="14"/>
        <v>44.269999999999996</v>
      </c>
      <c r="N99" s="49">
        <f t="shared" si="15"/>
        <v>2.7929524690338374E-2</v>
      </c>
      <c r="O99" s="50">
        <f t="shared" si="16"/>
        <v>1.8152274700645486E-2</v>
      </c>
      <c r="P99" s="50">
        <f t="shared" si="21"/>
        <v>2.7929524690338374E-2</v>
      </c>
      <c r="Q99" s="51">
        <f t="shared" si="22"/>
        <v>1.8152274700645486E-2</v>
      </c>
      <c r="R99" s="4">
        <f t="shared" si="17"/>
        <v>-4.2859562151494522E-2</v>
      </c>
      <c r="S99">
        <f t="shared" si="18"/>
        <v>0</v>
      </c>
      <c r="T99">
        <f t="shared" si="19"/>
        <v>0</v>
      </c>
      <c r="U99" s="5">
        <f>0</f>
        <v>0</v>
      </c>
      <c r="V99" s="45">
        <f t="shared" si="23"/>
        <v>3.353639565363617E-2</v>
      </c>
      <c r="W99" s="45">
        <f t="shared" si="24"/>
        <v>0</v>
      </c>
      <c r="X99" s="45">
        <f t="shared" si="25"/>
        <v>0</v>
      </c>
      <c r="Y99" s="46">
        <f>0</f>
        <v>0</v>
      </c>
      <c r="Z99" s="11"/>
    </row>
    <row r="100" spans="11:26" x14ac:dyDescent="0.45">
      <c r="K100" s="39">
        <f t="shared" si="20"/>
        <v>9.26</v>
      </c>
      <c r="L100" s="40">
        <f t="shared" si="13"/>
        <v>49.26</v>
      </c>
      <c r="M100" s="41">
        <f t="shared" si="14"/>
        <v>44.26</v>
      </c>
      <c r="N100" s="49">
        <f t="shared" si="15"/>
        <v>2.7905466037474503E-2</v>
      </c>
      <c r="O100" s="50">
        <f t="shared" si="16"/>
        <v>1.8136638227037198E-2</v>
      </c>
      <c r="P100" s="50">
        <f t="shared" si="21"/>
        <v>2.7905466037474503E-2</v>
      </c>
      <c r="Q100" s="51">
        <f t="shared" si="22"/>
        <v>1.8136638227037198E-2</v>
      </c>
      <c r="R100" s="4">
        <f t="shared" si="17"/>
        <v>-4.2780035031120413E-2</v>
      </c>
      <c r="S100">
        <f t="shared" si="18"/>
        <v>0</v>
      </c>
      <c r="T100">
        <f t="shared" si="19"/>
        <v>0</v>
      </c>
      <c r="U100" s="5">
        <f>0</f>
        <v>0</v>
      </c>
      <c r="V100" s="45">
        <f t="shared" si="23"/>
        <v>3.3964991275151117E-2</v>
      </c>
      <c r="W100" s="45">
        <f t="shared" si="24"/>
        <v>0</v>
      </c>
      <c r="X100" s="45">
        <f t="shared" si="25"/>
        <v>0</v>
      </c>
      <c r="Y100" s="46">
        <f>0</f>
        <v>0</v>
      </c>
      <c r="Z100" s="11"/>
    </row>
    <row r="101" spans="11:26" x14ac:dyDescent="0.45">
      <c r="K101" s="39">
        <f t="shared" si="20"/>
        <v>9.25</v>
      </c>
      <c r="L101" s="40">
        <f t="shared" si="13"/>
        <v>49.25</v>
      </c>
      <c r="M101" s="41">
        <f t="shared" si="14"/>
        <v>44.25</v>
      </c>
      <c r="N101" s="49">
        <f t="shared" si="15"/>
        <v>2.7881428108872296E-2</v>
      </c>
      <c r="O101" s="50">
        <f t="shared" si="16"/>
        <v>1.8121015222777027E-2</v>
      </c>
      <c r="P101" s="50">
        <f t="shared" si="21"/>
        <v>2.7881428108872296E-2</v>
      </c>
      <c r="Q101" s="51">
        <f t="shared" si="22"/>
        <v>1.8121015222777027E-2</v>
      </c>
      <c r="R101" s="4">
        <f t="shared" si="17"/>
        <v>-4.270065130260866E-2</v>
      </c>
      <c r="S101">
        <f t="shared" si="18"/>
        <v>0</v>
      </c>
      <c r="T101">
        <f t="shared" si="19"/>
        <v>0</v>
      </c>
      <c r="U101" s="5">
        <f>0</f>
        <v>0</v>
      </c>
      <c r="V101" s="45">
        <f t="shared" si="23"/>
        <v>3.439279162546232E-2</v>
      </c>
      <c r="W101" s="45">
        <f t="shared" si="24"/>
        <v>0</v>
      </c>
      <c r="X101" s="45">
        <f t="shared" si="25"/>
        <v>0</v>
      </c>
      <c r="Y101" s="46">
        <f>0</f>
        <v>0</v>
      </c>
      <c r="Z101" s="11"/>
    </row>
    <row r="102" spans="11:26" x14ac:dyDescent="0.45">
      <c r="K102" s="39">
        <f t="shared" si="20"/>
        <v>9.24</v>
      </c>
      <c r="L102" s="40">
        <f t="shared" si="13"/>
        <v>49.24</v>
      </c>
      <c r="M102" s="41">
        <f t="shared" si="14"/>
        <v>44.24</v>
      </c>
      <c r="N102" s="49">
        <f t="shared" si="15"/>
        <v>2.785741088667975E-2</v>
      </c>
      <c r="O102" s="50">
        <f t="shared" si="16"/>
        <v>1.8105405676262388E-2</v>
      </c>
      <c r="P102" s="50">
        <f t="shared" si="21"/>
        <v>2.785741088667975E-2</v>
      </c>
      <c r="Q102" s="51">
        <f t="shared" si="22"/>
        <v>1.8105405676262388E-2</v>
      </c>
      <c r="R102" s="4">
        <f t="shared" si="17"/>
        <v>-4.2621410661419695E-2</v>
      </c>
      <c r="S102">
        <f t="shared" si="18"/>
        <v>0</v>
      </c>
      <c r="T102">
        <f t="shared" si="19"/>
        <v>0</v>
      </c>
      <c r="U102" s="5">
        <f>0</f>
        <v>0</v>
      </c>
      <c r="V102" s="45">
        <f t="shared" si="23"/>
        <v>3.4819798138488407E-2</v>
      </c>
      <c r="W102" s="45">
        <f t="shared" si="24"/>
        <v>0</v>
      </c>
      <c r="X102" s="45">
        <f t="shared" si="25"/>
        <v>0</v>
      </c>
      <c r="Y102" s="46">
        <f>0</f>
        <v>0</v>
      </c>
      <c r="Z102" s="11"/>
    </row>
    <row r="103" spans="11:26" x14ac:dyDescent="0.45">
      <c r="K103" s="39">
        <f t="shared" si="20"/>
        <v>9.23</v>
      </c>
      <c r="L103" s="40">
        <f t="shared" si="13"/>
        <v>49.230000000000004</v>
      </c>
      <c r="M103" s="41">
        <f t="shared" si="14"/>
        <v>44.230000000000004</v>
      </c>
      <c r="N103" s="49">
        <f t="shared" si="15"/>
        <v>2.7833414353060235E-2</v>
      </c>
      <c r="O103" s="50">
        <f t="shared" si="16"/>
        <v>1.8089809575900704E-2</v>
      </c>
      <c r="P103" s="50">
        <f t="shared" si="21"/>
        <v>2.7833414353060235E-2</v>
      </c>
      <c r="Q103" s="51">
        <f t="shared" si="22"/>
        <v>1.8089809575900704E-2</v>
      </c>
      <c r="R103" s="4">
        <f t="shared" si="17"/>
        <v>-4.2542312803771062E-2</v>
      </c>
      <c r="S103">
        <f t="shared" si="18"/>
        <v>0</v>
      </c>
      <c r="T103">
        <f t="shared" si="19"/>
        <v>0</v>
      </c>
      <c r="U103" s="5">
        <f>0</f>
        <v>0</v>
      </c>
      <c r="V103" s="45">
        <f t="shared" si="23"/>
        <v>3.5246012245102605E-2</v>
      </c>
      <c r="W103" s="45">
        <f t="shared" si="24"/>
        <v>0</v>
      </c>
      <c r="X103" s="45">
        <f t="shared" si="25"/>
        <v>0</v>
      </c>
      <c r="Y103" s="46">
        <f>0</f>
        <v>0</v>
      </c>
      <c r="Z103" s="11"/>
    </row>
    <row r="104" spans="11:26" x14ac:dyDescent="0.45">
      <c r="K104" s="39">
        <f t="shared" si="20"/>
        <v>9.2200000000000006</v>
      </c>
      <c r="L104" s="40">
        <f t="shared" si="13"/>
        <v>49.22</v>
      </c>
      <c r="M104" s="41">
        <f t="shared" si="14"/>
        <v>44.22</v>
      </c>
      <c r="N104" s="49">
        <f t="shared" si="15"/>
        <v>2.780943849019251E-2</v>
      </c>
      <c r="O104" s="50">
        <f t="shared" si="16"/>
        <v>1.8074226910109372E-2</v>
      </c>
      <c r="P104" s="50">
        <f t="shared" si="21"/>
        <v>2.780943849019251E-2</v>
      </c>
      <c r="Q104" s="51">
        <f t="shared" si="22"/>
        <v>1.8074226910109372E-2</v>
      </c>
      <c r="R104" s="4">
        <f t="shared" si="17"/>
        <v>-4.24633574266352E-2</v>
      </c>
      <c r="S104">
        <f t="shared" si="18"/>
        <v>0</v>
      </c>
      <c r="T104">
        <f t="shared" si="19"/>
        <v>0</v>
      </c>
      <c r="U104" s="5">
        <f>0</f>
        <v>0</v>
      </c>
      <c r="V104" s="45">
        <f t="shared" si="23"/>
        <v>3.5671435373140319E-2</v>
      </c>
      <c r="W104" s="45">
        <f t="shared" si="24"/>
        <v>0</v>
      </c>
      <c r="X104" s="45">
        <f t="shared" si="25"/>
        <v>0</v>
      </c>
      <c r="Y104" s="46">
        <f>0</f>
        <v>0</v>
      </c>
      <c r="Z104" s="11"/>
    </row>
    <row r="105" spans="11:26" x14ac:dyDescent="0.45">
      <c r="K105" s="39">
        <f t="shared" si="20"/>
        <v>9.2100000000000009</v>
      </c>
      <c r="L105" s="40">
        <f t="shared" si="13"/>
        <v>49.21</v>
      </c>
      <c r="M105" s="41">
        <f t="shared" si="14"/>
        <v>44.21</v>
      </c>
      <c r="N105" s="49">
        <f t="shared" si="15"/>
        <v>2.7785483280270654E-2</v>
      </c>
      <c r="O105" s="50">
        <f t="shared" si="16"/>
        <v>1.8058657667315799E-2</v>
      </c>
      <c r="P105" s="50">
        <f t="shared" si="21"/>
        <v>2.7785483280270654E-2</v>
      </c>
      <c r="Q105" s="51">
        <f t="shared" si="22"/>
        <v>1.8058657667315799E-2</v>
      </c>
      <c r="R105" s="4">
        <f t="shared" si="17"/>
        <v>-4.2384544227737402E-2</v>
      </c>
      <c r="S105">
        <f t="shared" si="18"/>
        <v>0</v>
      </c>
      <c r="T105">
        <f t="shared" si="19"/>
        <v>0</v>
      </c>
      <c r="U105" s="5">
        <f>0</f>
        <v>0</v>
      </c>
      <c r="V105" s="45">
        <f t="shared" si="23"/>
        <v>3.6096068947406669E-2</v>
      </c>
      <c r="W105" s="45">
        <f t="shared" si="24"/>
        <v>0</v>
      </c>
      <c r="X105" s="45">
        <f t="shared" si="25"/>
        <v>0</v>
      </c>
      <c r="Y105" s="46">
        <f>0</f>
        <v>0</v>
      </c>
      <c r="Z105" s="11"/>
    </row>
    <row r="106" spans="11:26" x14ac:dyDescent="0.45">
      <c r="K106" s="39">
        <f t="shared" si="20"/>
        <v>9.1999999999999993</v>
      </c>
      <c r="L106" s="40">
        <f t="shared" si="13"/>
        <v>49.2</v>
      </c>
      <c r="M106" s="41">
        <f t="shared" si="14"/>
        <v>44.2</v>
      </c>
      <c r="N106" s="49">
        <f t="shared" si="15"/>
        <v>2.7761548705504117E-2</v>
      </c>
      <c r="O106" s="50">
        <f t="shared" si="16"/>
        <v>1.804310183595732E-2</v>
      </c>
      <c r="P106" s="50">
        <f t="shared" si="21"/>
        <v>2.7761548705504117E-2</v>
      </c>
      <c r="Q106" s="51">
        <f t="shared" si="22"/>
        <v>1.804310183595732E-2</v>
      </c>
      <c r="R106" s="4">
        <f t="shared" si="17"/>
        <v>-4.2305872905553668E-2</v>
      </c>
      <c r="S106">
        <f t="shared" si="18"/>
        <v>0</v>
      </c>
      <c r="T106">
        <f t="shared" si="19"/>
        <v>0</v>
      </c>
      <c r="U106" s="5">
        <f>0</f>
        <v>0</v>
      </c>
      <c r="V106" s="45">
        <f t="shared" si="23"/>
        <v>3.6519914389684043E-2</v>
      </c>
      <c r="W106" s="45">
        <f t="shared" si="24"/>
        <v>0</v>
      </c>
      <c r="X106" s="45">
        <f t="shared" si="25"/>
        <v>0</v>
      </c>
      <c r="Y106" s="46">
        <f>0</f>
        <v>0</v>
      </c>
      <c r="Z106" s="11"/>
    </row>
    <row r="107" spans="11:26" x14ac:dyDescent="0.45">
      <c r="K107" s="39">
        <f t="shared" si="20"/>
        <v>9.19</v>
      </c>
      <c r="L107" s="40">
        <f t="shared" si="13"/>
        <v>49.19</v>
      </c>
      <c r="M107" s="41">
        <f t="shared" si="14"/>
        <v>44.19</v>
      </c>
      <c r="N107" s="49">
        <f t="shared" si="15"/>
        <v>2.7737634748117627E-2</v>
      </c>
      <c r="O107" s="50">
        <f t="shared" si="16"/>
        <v>1.8027559404481246E-2</v>
      </c>
      <c r="P107" s="50">
        <f t="shared" si="21"/>
        <v>2.7737634748117627E-2</v>
      </c>
      <c r="Q107" s="51">
        <f t="shared" si="22"/>
        <v>1.8027559404481246E-2</v>
      </c>
      <c r="R107" s="4">
        <f t="shared" si="17"/>
        <v>-4.2227343159308539E-2</v>
      </c>
      <c r="S107">
        <f t="shared" si="18"/>
        <v>0</v>
      </c>
      <c r="T107">
        <f t="shared" si="19"/>
        <v>0</v>
      </c>
      <c r="U107" s="5">
        <f>0</f>
        <v>0</v>
      </c>
      <c r="V107" s="45">
        <f t="shared" si="23"/>
        <v>3.6942973118739578E-2</v>
      </c>
      <c r="W107" s="45">
        <f t="shared" si="24"/>
        <v>0</v>
      </c>
      <c r="X107" s="45">
        <f t="shared" si="25"/>
        <v>0</v>
      </c>
      <c r="Y107" s="46">
        <f>0</f>
        <v>0</v>
      </c>
      <c r="Z107" s="11"/>
    </row>
    <row r="108" spans="11:26" x14ac:dyDescent="0.45">
      <c r="K108" s="39">
        <f t="shared" si="20"/>
        <v>9.18</v>
      </c>
      <c r="L108" s="40">
        <f t="shared" si="13"/>
        <v>49.18</v>
      </c>
      <c r="M108" s="41">
        <f t="shared" si="14"/>
        <v>44.18</v>
      </c>
      <c r="N108" s="49">
        <f t="shared" si="15"/>
        <v>2.7713741390351307E-2</v>
      </c>
      <c r="O108" s="50">
        <f t="shared" si="16"/>
        <v>1.8012030361344855E-2</v>
      </c>
      <c r="P108" s="50">
        <f t="shared" si="21"/>
        <v>2.7713741390351307E-2</v>
      </c>
      <c r="Q108" s="51">
        <f t="shared" si="22"/>
        <v>1.8012030361344855E-2</v>
      </c>
      <c r="R108" s="4">
        <f t="shared" si="17"/>
        <v>-4.2148954688973159E-2</v>
      </c>
      <c r="S108">
        <f t="shared" si="18"/>
        <v>0</v>
      </c>
      <c r="T108">
        <f t="shared" si="19"/>
        <v>0</v>
      </c>
      <c r="U108" s="5">
        <f>0</f>
        <v>0</v>
      </c>
      <c r="V108" s="45">
        <f t="shared" si="23"/>
        <v>3.7365246550332666E-2</v>
      </c>
      <c r="W108" s="45">
        <f t="shared" si="24"/>
        <v>0</v>
      </c>
      <c r="X108" s="45">
        <f t="shared" si="25"/>
        <v>0</v>
      </c>
      <c r="Y108" s="46">
        <f>0</f>
        <v>0</v>
      </c>
      <c r="Z108" s="11"/>
    </row>
    <row r="109" spans="11:26" x14ac:dyDescent="0.45">
      <c r="K109" s="39">
        <f t="shared" si="20"/>
        <v>9.17</v>
      </c>
      <c r="L109" s="40">
        <f t="shared" si="13"/>
        <v>49.17</v>
      </c>
      <c r="M109" s="41">
        <f t="shared" si="14"/>
        <v>44.17</v>
      </c>
      <c r="N109" s="49">
        <f t="shared" si="15"/>
        <v>2.7689868614460489E-2</v>
      </c>
      <c r="O109" s="50">
        <f t="shared" si="16"/>
        <v>1.7996514695015349E-2</v>
      </c>
      <c r="P109" s="50">
        <f t="shared" si="21"/>
        <v>2.7689868614460489E-2</v>
      </c>
      <c r="Q109" s="51">
        <f t="shared" si="22"/>
        <v>1.7996514695015349E-2</v>
      </c>
      <c r="R109" s="4">
        <f t="shared" si="17"/>
        <v>-4.2070707195263006E-2</v>
      </c>
      <c r="S109">
        <f t="shared" si="18"/>
        <v>0</v>
      </c>
      <c r="T109">
        <f t="shared" si="19"/>
        <v>0</v>
      </c>
      <c r="U109" s="5">
        <f>0</f>
        <v>0</v>
      </c>
      <c r="V109" s="45">
        <f t="shared" si="23"/>
        <v>3.7786736097222398E-2</v>
      </c>
      <c r="W109" s="45">
        <f t="shared" si="24"/>
        <v>0</v>
      </c>
      <c r="X109" s="45">
        <f t="shared" si="25"/>
        <v>0</v>
      </c>
      <c r="Y109" s="46">
        <f>0</f>
        <v>0</v>
      </c>
      <c r="Z109" s="11"/>
    </row>
    <row r="110" spans="11:26" x14ac:dyDescent="0.45">
      <c r="K110" s="39">
        <f t="shared" si="20"/>
        <v>9.16</v>
      </c>
      <c r="L110" s="40">
        <f t="shared" si="13"/>
        <v>49.16</v>
      </c>
      <c r="M110" s="41">
        <f t="shared" si="14"/>
        <v>44.16</v>
      </c>
      <c r="N110" s="49">
        <f t="shared" si="15"/>
        <v>2.7666016402715845E-2</v>
      </c>
      <c r="O110" s="50">
        <f t="shared" si="16"/>
        <v>1.7981012393969865E-2</v>
      </c>
      <c r="P110" s="50">
        <f t="shared" si="21"/>
        <v>2.7666016402715845E-2</v>
      </c>
      <c r="Q110" s="51">
        <f t="shared" si="22"/>
        <v>1.7981012393969865E-2</v>
      </c>
      <c r="R110" s="4">
        <f t="shared" si="17"/>
        <v>-4.199260037963589E-2</v>
      </c>
      <c r="S110">
        <f t="shared" si="18"/>
        <v>0</v>
      </c>
      <c r="T110">
        <f t="shared" si="19"/>
        <v>0</v>
      </c>
      <c r="U110" s="5">
        <f>0</f>
        <v>0</v>
      </c>
      <c r="V110" s="45">
        <f t="shared" si="23"/>
        <v>3.8207443169175029E-2</v>
      </c>
      <c r="W110" s="45">
        <f t="shared" si="24"/>
        <v>0</v>
      </c>
      <c r="X110" s="45">
        <f t="shared" si="25"/>
        <v>0</v>
      </c>
      <c r="Y110" s="46">
        <f>0</f>
        <v>0</v>
      </c>
      <c r="Z110" s="11"/>
    </row>
    <row r="111" spans="11:26" x14ac:dyDescent="0.45">
      <c r="K111" s="39">
        <f t="shared" si="20"/>
        <v>9.15</v>
      </c>
      <c r="L111" s="40">
        <f t="shared" si="13"/>
        <v>49.15</v>
      </c>
      <c r="M111" s="41">
        <f t="shared" si="14"/>
        <v>44.15</v>
      </c>
      <c r="N111" s="49">
        <f t="shared" si="15"/>
        <v>2.7642184737403284E-2</v>
      </c>
      <c r="O111" s="50">
        <f t="shared" si="16"/>
        <v>1.7965523446695476E-2</v>
      </c>
      <c r="P111" s="50">
        <f t="shared" si="21"/>
        <v>2.7642184737403284E-2</v>
      </c>
      <c r="Q111" s="51">
        <f t="shared" si="22"/>
        <v>1.7965523446695476E-2</v>
      </c>
      <c r="R111" s="4">
        <f t="shared" si="17"/>
        <v>-4.1914633944289861E-2</v>
      </c>
      <c r="S111">
        <f t="shared" si="18"/>
        <v>0</v>
      </c>
      <c r="T111">
        <f t="shared" si="19"/>
        <v>0</v>
      </c>
      <c r="U111" s="5">
        <f>0</f>
        <v>0</v>
      </c>
      <c r="V111" s="45">
        <f t="shared" si="23"/>
        <v>3.8627369172971389E-2</v>
      </c>
      <c r="W111" s="45">
        <f t="shared" si="24"/>
        <v>0</v>
      </c>
      <c r="X111" s="45">
        <f t="shared" si="25"/>
        <v>0</v>
      </c>
      <c r="Y111" s="46">
        <f>0</f>
        <v>0</v>
      </c>
      <c r="Z111" s="11"/>
    </row>
    <row r="112" spans="11:26" x14ac:dyDescent="0.45">
      <c r="K112" s="39">
        <f t="shared" si="20"/>
        <v>9.14</v>
      </c>
      <c r="L112" s="40">
        <f t="shared" si="13"/>
        <v>49.14</v>
      </c>
      <c r="M112" s="41">
        <f t="shared" si="14"/>
        <v>44.14</v>
      </c>
      <c r="N112" s="49">
        <f t="shared" si="15"/>
        <v>2.7618373600824003E-2</v>
      </c>
      <c r="O112" s="50">
        <f t="shared" si="16"/>
        <v>1.7950047841689163E-2</v>
      </c>
      <c r="P112" s="50">
        <f t="shared" si="21"/>
        <v>2.7618373600824003E-2</v>
      </c>
      <c r="Q112" s="51">
        <f t="shared" si="22"/>
        <v>1.7950047841689163E-2</v>
      </c>
      <c r="R112" s="4">
        <f t="shared" si="17"/>
        <v>-4.1836807592161129E-2</v>
      </c>
      <c r="S112">
        <f t="shared" si="18"/>
        <v>0</v>
      </c>
      <c r="T112">
        <f t="shared" si="19"/>
        <v>0</v>
      </c>
      <c r="U112" s="5">
        <f>0</f>
        <v>0</v>
      </c>
      <c r="V112" s="45">
        <f t="shared" si="23"/>
        <v>3.9046515512414288E-2</v>
      </c>
      <c r="W112" s="45">
        <f t="shared" si="24"/>
        <v>0</v>
      </c>
      <c r="X112" s="45">
        <f t="shared" si="25"/>
        <v>0</v>
      </c>
      <c r="Y112" s="46">
        <f>0</f>
        <v>0</v>
      </c>
      <c r="Z112" s="11"/>
    </row>
    <row r="113" spans="11:26" x14ac:dyDescent="0.45">
      <c r="K113" s="39">
        <f t="shared" si="20"/>
        <v>9.1300000000000008</v>
      </c>
      <c r="L113" s="40">
        <f t="shared" si="13"/>
        <v>49.13</v>
      </c>
      <c r="M113" s="41">
        <f t="shared" si="14"/>
        <v>44.13</v>
      </c>
      <c r="N113" s="49">
        <f t="shared" si="15"/>
        <v>2.7594582975294435E-2</v>
      </c>
      <c r="O113" s="50">
        <f t="shared" si="16"/>
        <v>1.7934585567457827E-2</v>
      </c>
      <c r="P113" s="50">
        <f t="shared" si="21"/>
        <v>2.7594582975294435E-2</v>
      </c>
      <c r="Q113" s="51">
        <f t="shared" si="22"/>
        <v>1.7934585567457827E-2</v>
      </c>
      <c r="R113" s="4">
        <f t="shared" si="17"/>
        <v>-4.1759121026922023E-2</v>
      </c>
      <c r="S113">
        <f t="shared" si="18"/>
        <v>0</v>
      </c>
      <c r="T113">
        <f t="shared" si="19"/>
        <v>0</v>
      </c>
      <c r="U113" s="5">
        <f>0</f>
        <v>0</v>
      </c>
      <c r="V113" s="45">
        <f t="shared" si="23"/>
        <v>3.94648835883359E-2</v>
      </c>
      <c r="W113" s="45">
        <f t="shared" si="24"/>
        <v>0</v>
      </c>
      <c r="X113" s="45">
        <f t="shared" si="25"/>
        <v>0</v>
      </c>
      <c r="Y113" s="46">
        <f>0</f>
        <v>0</v>
      </c>
      <c r="Z113" s="11"/>
    </row>
    <row r="114" spans="11:26" x14ac:dyDescent="0.45">
      <c r="K114" s="39">
        <f t="shared" si="20"/>
        <v>9.1199999999999992</v>
      </c>
      <c r="L114" s="40">
        <f t="shared" si="13"/>
        <v>49.12</v>
      </c>
      <c r="M114" s="41">
        <f t="shared" si="14"/>
        <v>44.12</v>
      </c>
      <c r="N114" s="49">
        <f t="shared" si="15"/>
        <v>2.7570812843146213E-2</v>
      </c>
      <c r="O114" s="50">
        <f t="shared" si="16"/>
        <v>1.7919136612518243E-2</v>
      </c>
      <c r="P114" s="50">
        <f t="shared" si="21"/>
        <v>2.7570812843146213E-2</v>
      </c>
      <c r="Q114" s="51">
        <f t="shared" si="22"/>
        <v>1.7919136612518243E-2</v>
      </c>
      <c r="R114" s="4">
        <f t="shared" si="17"/>
        <v>-4.1681573952978841E-2</v>
      </c>
      <c r="S114">
        <f t="shared" si="18"/>
        <v>0</v>
      </c>
      <c r="T114">
        <f t="shared" si="19"/>
        <v>0</v>
      </c>
      <c r="U114" s="5">
        <f>0</f>
        <v>0</v>
      </c>
      <c r="V114" s="45">
        <f t="shared" si="23"/>
        <v>3.9882474798605121E-2</v>
      </c>
      <c r="W114" s="45">
        <f t="shared" si="24"/>
        <v>0</v>
      </c>
      <c r="X114" s="45">
        <f t="shared" si="25"/>
        <v>0</v>
      </c>
      <c r="Y114" s="46">
        <f>0</f>
        <v>0</v>
      </c>
      <c r="Z114" s="11"/>
    </row>
    <row r="115" spans="11:26" x14ac:dyDescent="0.45">
      <c r="K115" s="39">
        <f t="shared" si="20"/>
        <v>9.11</v>
      </c>
      <c r="L115" s="40">
        <f t="shared" si="13"/>
        <v>49.11</v>
      </c>
      <c r="M115" s="41">
        <f t="shared" si="14"/>
        <v>44.11</v>
      </c>
      <c r="N115" s="49">
        <f t="shared" si="15"/>
        <v>2.754706318672627E-2</v>
      </c>
      <c r="O115" s="50">
        <f t="shared" si="16"/>
        <v>1.7903700965397118E-2</v>
      </c>
      <c r="P115" s="50">
        <f t="shared" si="21"/>
        <v>2.754706318672627E-2</v>
      </c>
      <c r="Q115" s="51">
        <f t="shared" si="22"/>
        <v>1.7903700965397118E-2</v>
      </c>
      <c r="R115" s="4">
        <f t="shared" si="17"/>
        <v>-4.1604166075469975E-2</v>
      </c>
      <c r="S115">
        <f t="shared" si="18"/>
        <v>0</v>
      </c>
      <c r="T115">
        <f t="shared" si="19"/>
        <v>0</v>
      </c>
      <c r="U115" s="5">
        <f>0</f>
        <v>0</v>
      </c>
      <c r="V115" s="45">
        <f t="shared" si="23"/>
        <v>4.0299290538134906E-2</v>
      </c>
      <c r="W115" s="45">
        <f t="shared" si="24"/>
        <v>0</v>
      </c>
      <c r="X115" s="45">
        <f t="shared" si="25"/>
        <v>0</v>
      </c>
      <c r="Y115" s="46">
        <f>0</f>
        <v>0</v>
      </c>
      <c r="Z115" s="11"/>
    </row>
    <row r="116" spans="11:26" x14ac:dyDescent="0.45">
      <c r="K116" s="39">
        <f t="shared" si="20"/>
        <v>9.1</v>
      </c>
      <c r="L116" s="40">
        <f t="shared" si="13"/>
        <v>49.1</v>
      </c>
      <c r="M116" s="41">
        <f t="shared" si="14"/>
        <v>44.1</v>
      </c>
      <c r="N116" s="49">
        <f t="shared" si="15"/>
        <v>2.7523333988396695E-2</v>
      </c>
      <c r="O116" s="50">
        <f t="shared" si="16"/>
        <v>1.7888278614631017E-2</v>
      </c>
      <c r="P116" s="50">
        <f t="shared" si="21"/>
        <v>2.7523333988396695E-2</v>
      </c>
      <c r="Q116" s="51">
        <f t="shared" si="22"/>
        <v>1.7888278614631017E-2</v>
      </c>
      <c r="R116" s="4">
        <f t="shared" si="17"/>
        <v>-4.1526897100263679E-2</v>
      </c>
      <c r="S116">
        <f t="shared" si="18"/>
        <v>0</v>
      </c>
      <c r="T116">
        <f t="shared" si="19"/>
        <v>0</v>
      </c>
      <c r="U116" s="5">
        <f>0</f>
        <v>0</v>
      </c>
      <c r="V116" s="45">
        <f t="shared" si="23"/>
        <v>4.0715332198889606E-2</v>
      </c>
      <c r="W116" s="45">
        <f t="shared" si="24"/>
        <v>0</v>
      </c>
      <c r="X116" s="45">
        <f t="shared" si="25"/>
        <v>0</v>
      </c>
      <c r="Y116" s="46">
        <f>0</f>
        <v>0</v>
      </c>
      <c r="Z116" s="11"/>
    </row>
    <row r="117" spans="11:26" x14ac:dyDescent="0.45">
      <c r="K117" s="39">
        <f t="shared" si="20"/>
        <v>9.09</v>
      </c>
      <c r="L117" s="40">
        <f t="shared" si="13"/>
        <v>49.09</v>
      </c>
      <c r="M117" s="41">
        <f t="shared" si="14"/>
        <v>44.09</v>
      </c>
      <c r="N117" s="49">
        <f t="shared" si="15"/>
        <v>2.749962523053473E-2</v>
      </c>
      <c r="O117" s="50">
        <f t="shared" si="16"/>
        <v>1.7872869548766383E-2</v>
      </c>
      <c r="P117" s="50">
        <f t="shared" si="21"/>
        <v>2.749962523053473E-2</v>
      </c>
      <c r="Q117" s="51">
        <f t="shared" si="22"/>
        <v>1.7872869548766383E-2</v>
      </c>
      <c r="R117" s="4">
        <f t="shared" si="17"/>
        <v>-4.1449766733956048E-2</v>
      </c>
      <c r="S117">
        <f t="shared" si="18"/>
        <v>0</v>
      </c>
      <c r="T117">
        <f t="shared" si="19"/>
        <v>0</v>
      </c>
      <c r="U117" s="5">
        <f>0</f>
        <v>0</v>
      </c>
      <c r="V117" s="45">
        <f t="shared" si="23"/>
        <v>4.1130601169892242E-2</v>
      </c>
      <c r="W117" s="45">
        <f t="shared" si="24"/>
        <v>0</v>
      </c>
      <c r="X117" s="45">
        <f t="shared" si="25"/>
        <v>0</v>
      </c>
      <c r="Y117" s="46">
        <f>0</f>
        <v>0</v>
      </c>
      <c r="Z117" s="11"/>
    </row>
    <row r="118" spans="11:26" x14ac:dyDescent="0.45">
      <c r="K118" s="39">
        <f t="shared" si="20"/>
        <v>9.08</v>
      </c>
      <c r="L118" s="40">
        <f t="shared" si="13"/>
        <v>49.08</v>
      </c>
      <c r="M118" s="41">
        <f t="shared" si="14"/>
        <v>44.08</v>
      </c>
      <c r="N118" s="49">
        <f t="shared" si="15"/>
        <v>2.7475936895532831E-2</v>
      </c>
      <c r="O118" s="50">
        <f t="shared" si="16"/>
        <v>1.7857473756359502E-2</v>
      </c>
      <c r="P118" s="50">
        <f t="shared" si="21"/>
        <v>2.7475936895532831E-2</v>
      </c>
      <c r="Q118" s="51">
        <f t="shared" si="22"/>
        <v>1.7857473756359502E-2</v>
      </c>
      <c r="R118" s="4">
        <f t="shared" si="17"/>
        <v>-4.137277468386906E-2</v>
      </c>
      <c r="S118">
        <f t="shared" si="18"/>
        <v>0</v>
      </c>
      <c r="T118">
        <f t="shared" si="19"/>
        <v>0</v>
      </c>
      <c r="U118" s="5">
        <f>0</f>
        <v>0</v>
      </c>
      <c r="V118" s="45">
        <f t="shared" si="23"/>
        <v>4.15450988372318E-2</v>
      </c>
      <c r="W118" s="45">
        <f t="shared" si="24"/>
        <v>0</v>
      </c>
      <c r="X118" s="45">
        <f t="shared" si="25"/>
        <v>0</v>
      </c>
      <c r="Y118" s="46">
        <f>0</f>
        <v>0</v>
      </c>
      <c r="Z118" s="11"/>
    </row>
    <row r="119" spans="11:26" x14ac:dyDescent="0.45">
      <c r="K119" s="39">
        <f t="shared" si="20"/>
        <v>9.07</v>
      </c>
      <c r="L119" s="40">
        <f t="shared" si="13"/>
        <v>49.07</v>
      </c>
      <c r="M119" s="41">
        <f t="shared" si="14"/>
        <v>44.07</v>
      </c>
      <c r="N119" s="49">
        <f t="shared" si="15"/>
        <v>2.7452268965798683E-2</v>
      </c>
      <c r="O119" s="50">
        <f t="shared" si="16"/>
        <v>1.7842091225976575E-2</v>
      </c>
      <c r="P119" s="50">
        <f t="shared" si="21"/>
        <v>2.7452268965798683E-2</v>
      </c>
      <c r="Q119" s="51">
        <f t="shared" si="22"/>
        <v>1.7842091225976575E-2</v>
      </c>
      <c r="R119" s="4">
        <f t="shared" si="17"/>
        <v>-4.1295920658048609E-2</v>
      </c>
      <c r="S119">
        <f t="shared" si="18"/>
        <v>0</v>
      </c>
      <c r="T119">
        <f t="shared" si="19"/>
        <v>0</v>
      </c>
      <c r="U119" s="5">
        <f>0</f>
        <v>0</v>
      </c>
      <c r="V119" s="45">
        <f t="shared" si="23"/>
        <v>4.1958826584070491E-2</v>
      </c>
      <c r="W119" s="45">
        <f t="shared" si="24"/>
        <v>0</v>
      </c>
      <c r="X119" s="45">
        <f t="shared" si="25"/>
        <v>0</v>
      </c>
      <c r="Y119" s="46">
        <f>0</f>
        <v>0</v>
      </c>
      <c r="Z119" s="11"/>
    </row>
    <row r="120" spans="11:26" x14ac:dyDescent="0.45">
      <c r="K120" s="39">
        <f t="shared" si="20"/>
        <v>9.06</v>
      </c>
      <c r="L120" s="40">
        <f t="shared" si="13"/>
        <v>49.06</v>
      </c>
      <c r="M120" s="41">
        <f t="shared" si="14"/>
        <v>44.06</v>
      </c>
      <c r="N120" s="49">
        <f t="shared" si="15"/>
        <v>2.7428621423755045E-2</v>
      </c>
      <c r="O120" s="50">
        <f t="shared" si="16"/>
        <v>1.7826721946193613E-2</v>
      </c>
      <c r="P120" s="50">
        <f t="shared" si="21"/>
        <v>2.7428621423755045E-2</v>
      </c>
      <c r="Q120" s="51">
        <f t="shared" si="22"/>
        <v>1.7826721946193613E-2</v>
      </c>
      <c r="R120" s="4">
        <f t="shared" si="17"/>
        <v>-4.1219204365262295E-2</v>
      </c>
      <c r="S120">
        <f t="shared" si="18"/>
        <v>0</v>
      </c>
      <c r="T120">
        <f t="shared" si="19"/>
        <v>0</v>
      </c>
      <c r="U120" s="5">
        <f>0</f>
        <v>0</v>
      </c>
      <c r="V120" s="45">
        <f t="shared" si="23"/>
        <v>4.2371785790650977E-2</v>
      </c>
      <c r="W120" s="45">
        <f t="shared" si="24"/>
        <v>0</v>
      </c>
      <c r="X120" s="45">
        <f t="shared" si="25"/>
        <v>0</v>
      </c>
      <c r="Y120" s="46">
        <f>0</f>
        <v>0</v>
      </c>
      <c r="Z120" s="11"/>
    </row>
    <row r="121" spans="11:26" x14ac:dyDescent="0.45">
      <c r="K121" s="39">
        <f t="shared" si="20"/>
        <v>9.0500000000000007</v>
      </c>
      <c r="L121" s="40">
        <f t="shared" si="13"/>
        <v>49.05</v>
      </c>
      <c r="M121" s="41">
        <f t="shared" si="14"/>
        <v>44.05</v>
      </c>
      <c r="N121" s="49">
        <f t="shared" si="15"/>
        <v>2.7404994251839822E-2</v>
      </c>
      <c r="O121" s="50">
        <f t="shared" si="16"/>
        <v>1.7811365905596441E-2</v>
      </c>
      <c r="P121" s="50">
        <f t="shared" si="21"/>
        <v>2.7404994251839822E-2</v>
      </c>
      <c r="Q121" s="51">
        <f t="shared" si="22"/>
        <v>1.7811365905596441E-2</v>
      </c>
      <c r="R121" s="4">
        <f t="shared" si="17"/>
        <v>-4.1142625514997436E-2</v>
      </c>
      <c r="S121">
        <f t="shared" si="18"/>
        <v>0</v>
      </c>
      <c r="T121">
        <f t="shared" si="19"/>
        <v>0</v>
      </c>
      <c r="U121" s="5">
        <f>0</f>
        <v>0</v>
      </c>
      <c r="V121" s="45">
        <f t="shared" si="23"/>
        <v>4.2783977834303599E-2</v>
      </c>
      <c r="W121" s="45">
        <f t="shared" si="24"/>
        <v>0</v>
      </c>
      <c r="X121" s="45">
        <f t="shared" si="25"/>
        <v>0</v>
      </c>
      <c r="Y121" s="46">
        <f>0</f>
        <v>0</v>
      </c>
      <c r="Z121" s="11"/>
    </row>
    <row r="122" spans="11:26" x14ac:dyDescent="0.45">
      <c r="K122" s="39">
        <f t="shared" si="20"/>
        <v>9.0399999999999991</v>
      </c>
      <c r="L122" s="40">
        <f t="shared" si="13"/>
        <v>49.04</v>
      </c>
      <c r="M122" s="41">
        <f t="shared" si="14"/>
        <v>44.04</v>
      </c>
      <c r="N122" s="49">
        <f t="shared" si="15"/>
        <v>2.7381387432506132E-2</v>
      </c>
      <c r="O122" s="50">
        <f t="shared" si="16"/>
        <v>1.7796023092780788E-2</v>
      </c>
      <c r="P122" s="50">
        <f t="shared" si="21"/>
        <v>2.7381387432506132E-2</v>
      </c>
      <c r="Q122" s="51">
        <f t="shared" si="22"/>
        <v>1.7796023092780788E-2</v>
      </c>
      <c r="R122" s="4">
        <f t="shared" si="17"/>
        <v>-4.1066183817459342E-2</v>
      </c>
      <c r="S122">
        <f t="shared" si="18"/>
        <v>0</v>
      </c>
      <c r="T122">
        <f t="shared" si="19"/>
        <v>0</v>
      </c>
      <c r="U122" s="5">
        <f>0</f>
        <v>0</v>
      </c>
      <c r="V122" s="45">
        <f t="shared" si="23"/>
        <v>4.3195404089453576E-2</v>
      </c>
      <c r="W122" s="45">
        <f t="shared" si="24"/>
        <v>0</v>
      </c>
      <c r="X122" s="45">
        <f t="shared" si="25"/>
        <v>0</v>
      </c>
      <c r="Y122" s="46">
        <f>0</f>
        <v>0</v>
      </c>
      <c r="Z122" s="11"/>
    </row>
    <row r="123" spans="11:26" x14ac:dyDescent="0.45">
      <c r="K123" s="39">
        <f t="shared" si="20"/>
        <v>9.0299999999999994</v>
      </c>
      <c r="L123" s="40">
        <f t="shared" si="13"/>
        <v>49.03</v>
      </c>
      <c r="M123" s="41">
        <f t="shared" si="14"/>
        <v>44.03</v>
      </c>
      <c r="N123" s="49">
        <f t="shared" si="15"/>
        <v>2.7357800948222082E-2</v>
      </c>
      <c r="O123" s="50">
        <f t="shared" si="16"/>
        <v>1.7780693496352157E-2</v>
      </c>
      <c r="P123" s="50">
        <f t="shared" si="21"/>
        <v>2.7357800948222082E-2</v>
      </c>
      <c r="Q123" s="51">
        <f t="shared" si="22"/>
        <v>1.7780693496352157E-2</v>
      </c>
      <c r="R123" s="4">
        <f t="shared" si="17"/>
        <v>-4.0989878983568852E-2</v>
      </c>
      <c r="S123">
        <f t="shared" si="18"/>
        <v>0</v>
      </c>
      <c r="T123">
        <f t="shared" si="19"/>
        <v>0</v>
      </c>
      <c r="U123" s="5">
        <f>0</f>
        <v>0</v>
      </c>
      <c r="V123" s="45">
        <f t="shared" si="23"/>
        <v>4.3606065927628168E-2</v>
      </c>
      <c r="W123" s="45">
        <f t="shared" si="24"/>
        <v>0</v>
      </c>
      <c r="X123" s="45">
        <f t="shared" si="25"/>
        <v>0</v>
      </c>
      <c r="Y123" s="46">
        <f>0</f>
        <v>0</v>
      </c>
      <c r="Z123" s="11"/>
    </row>
    <row r="124" spans="11:26" x14ac:dyDescent="0.45">
      <c r="K124" s="39">
        <f t="shared" si="20"/>
        <v>9.02</v>
      </c>
      <c r="L124" s="40">
        <f t="shared" si="13"/>
        <v>49.019999999999996</v>
      </c>
      <c r="M124" s="41">
        <f t="shared" si="14"/>
        <v>44.019999999999996</v>
      </c>
      <c r="N124" s="49">
        <f t="shared" si="15"/>
        <v>2.7334234781470942E-2</v>
      </c>
      <c r="O124" s="50">
        <f t="shared" si="16"/>
        <v>1.7765377104925852E-2</v>
      </c>
      <c r="P124" s="50">
        <f t="shared" si="21"/>
        <v>2.7334234781470942E-2</v>
      </c>
      <c r="Q124" s="51">
        <f t="shared" si="22"/>
        <v>1.7765377104925852E-2</v>
      </c>
      <c r="R124" s="4">
        <f t="shared" si="17"/>
        <v>-4.0913710724960646E-2</v>
      </c>
      <c r="S124">
        <f t="shared" si="18"/>
        <v>0</v>
      </c>
      <c r="T124">
        <f t="shared" si="19"/>
        <v>0</v>
      </c>
      <c r="U124" s="5">
        <f>0</f>
        <v>0</v>
      </c>
      <c r="V124" s="45">
        <f t="shared" si="23"/>
        <v>4.4015964717463857E-2</v>
      </c>
      <c r="W124" s="45">
        <f t="shared" si="24"/>
        <v>0</v>
      </c>
      <c r="X124" s="45">
        <f t="shared" si="25"/>
        <v>0</v>
      </c>
      <c r="Y124" s="46">
        <f>0</f>
        <v>0</v>
      </c>
      <c r="Z124" s="11"/>
    </row>
    <row r="125" spans="11:26" x14ac:dyDescent="0.45">
      <c r="K125" s="39">
        <f t="shared" si="20"/>
        <v>9.01</v>
      </c>
      <c r="L125" s="40">
        <f t="shared" si="13"/>
        <v>49.01</v>
      </c>
      <c r="M125" s="41">
        <f t="shared" si="14"/>
        <v>44.01</v>
      </c>
      <c r="N125" s="49">
        <f t="shared" si="15"/>
        <v>2.7310688914751115E-2</v>
      </c>
      <c r="O125" s="50">
        <f t="shared" si="16"/>
        <v>1.7750073907127038E-2</v>
      </c>
      <c r="P125" s="50">
        <f t="shared" si="21"/>
        <v>2.7310688914751115E-2</v>
      </c>
      <c r="Q125" s="51">
        <f t="shared" si="22"/>
        <v>1.7750073907127038E-2</v>
      </c>
      <c r="R125" s="4">
        <f t="shared" si="17"/>
        <v>-4.0837678753981282E-2</v>
      </c>
      <c r="S125">
        <f t="shared" si="18"/>
        <v>0</v>
      </c>
      <c r="T125">
        <f t="shared" si="19"/>
        <v>0</v>
      </c>
      <c r="U125" s="5">
        <f>0</f>
        <v>0</v>
      </c>
      <c r="V125" s="45">
        <f t="shared" si="23"/>
        <v>4.4425101824713466E-2</v>
      </c>
      <c r="W125" s="45">
        <f t="shared" si="24"/>
        <v>0</v>
      </c>
      <c r="X125" s="45">
        <f t="shared" si="25"/>
        <v>0</v>
      </c>
      <c r="Y125" s="46">
        <f>0</f>
        <v>0</v>
      </c>
      <c r="Z125" s="11"/>
    </row>
    <row r="126" spans="11:26" x14ac:dyDescent="0.45">
      <c r="K126" s="39">
        <f t="shared" si="20"/>
        <v>9</v>
      </c>
      <c r="L126" s="40">
        <f t="shared" si="13"/>
        <v>49</v>
      </c>
      <c r="M126" s="41">
        <f t="shared" si="14"/>
        <v>44</v>
      </c>
      <c r="N126" s="49">
        <f t="shared" si="15"/>
        <v>2.7287163330575983E-2</v>
      </c>
      <c r="O126" s="50">
        <f t="shared" si="16"/>
        <v>1.7734783891590621E-2</v>
      </c>
      <c r="P126" s="50">
        <f t="shared" si="21"/>
        <v>2.7287163330575983E-2</v>
      </c>
      <c r="Q126" s="51">
        <f t="shared" si="22"/>
        <v>1.7734783891590621E-2</v>
      </c>
      <c r="R126" s="4">
        <f t="shared" si="17"/>
        <v>-4.0761782783686938E-2</v>
      </c>
      <c r="S126">
        <f t="shared" si="18"/>
        <v>0</v>
      </c>
      <c r="T126">
        <f t="shared" si="19"/>
        <v>0</v>
      </c>
      <c r="U126" s="5">
        <f>0</f>
        <v>0</v>
      </c>
      <c r="V126" s="45">
        <f t="shared" si="23"/>
        <v>4.4833478612253279E-2</v>
      </c>
      <c r="W126" s="45">
        <f t="shared" si="24"/>
        <v>0</v>
      </c>
      <c r="X126" s="45">
        <f t="shared" si="25"/>
        <v>0</v>
      </c>
      <c r="Y126" s="46">
        <f>0</f>
        <v>0</v>
      </c>
      <c r="Z126" s="11"/>
    </row>
    <row r="127" spans="11:26" x14ac:dyDescent="0.45">
      <c r="K127" s="39">
        <f t="shared" si="20"/>
        <v>8.99</v>
      </c>
      <c r="L127" s="40">
        <f t="shared" si="13"/>
        <v>48.99</v>
      </c>
      <c r="M127" s="41">
        <f t="shared" si="14"/>
        <v>43.99</v>
      </c>
      <c r="N127" s="49">
        <f t="shared" si="15"/>
        <v>2.7263658011474151E-2</v>
      </c>
      <c r="O127" s="50">
        <f t="shared" si="16"/>
        <v>1.7719507046961382E-2</v>
      </c>
      <c r="P127" s="50">
        <f t="shared" si="21"/>
        <v>2.7263658011474151E-2</v>
      </c>
      <c r="Q127" s="51">
        <f t="shared" si="22"/>
        <v>1.7719507046961382E-2</v>
      </c>
      <c r="R127" s="4">
        <f t="shared" si="17"/>
        <v>-4.0686022527841856E-2</v>
      </c>
      <c r="S127">
        <f t="shared" si="18"/>
        <v>0</v>
      </c>
      <c r="T127">
        <f t="shared" si="19"/>
        <v>0</v>
      </c>
      <c r="U127" s="5">
        <f>0</f>
        <v>0</v>
      </c>
      <c r="V127" s="45">
        <f t="shared" si="23"/>
        <v>4.5241096440090146E-2</v>
      </c>
      <c r="W127" s="45">
        <f t="shared" si="24"/>
        <v>0</v>
      </c>
      <c r="X127" s="45">
        <f t="shared" si="25"/>
        <v>0</v>
      </c>
      <c r="Y127" s="46">
        <f>0</f>
        <v>0</v>
      </c>
      <c r="Z127" s="11"/>
    </row>
    <row r="128" spans="11:26" x14ac:dyDescent="0.45">
      <c r="K128" s="39">
        <f t="shared" si="20"/>
        <v>8.98</v>
      </c>
      <c r="L128" s="40">
        <f t="shared" si="13"/>
        <v>48.980000000000004</v>
      </c>
      <c r="M128" s="41">
        <f t="shared" si="14"/>
        <v>43.980000000000004</v>
      </c>
      <c r="N128" s="49">
        <f t="shared" si="15"/>
        <v>2.7240172939989062E-2</v>
      </c>
      <c r="O128" s="50">
        <f t="shared" si="16"/>
        <v>1.7704243361893763E-2</v>
      </c>
      <c r="P128" s="50">
        <f t="shared" si="21"/>
        <v>2.7240172939989062E-2</v>
      </c>
      <c r="Q128" s="51">
        <f t="shared" si="22"/>
        <v>1.7704243361893763E-2</v>
      </c>
      <c r="R128" s="4">
        <f t="shared" si="17"/>
        <v>-4.0610397700915769E-2</v>
      </c>
      <c r="S128">
        <f t="shared" si="18"/>
        <v>0</v>
      </c>
      <c r="T128">
        <f t="shared" si="19"/>
        <v>0</v>
      </c>
      <c r="U128" s="5">
        <f>0</f>
        <v>0</v>
      </c>
      <c r="V128" s="45">
        <f t="shared" si="23"/>
        <v>4.5647956665368562E-2</v>
      </c>
      <c r="W128" s="45">
        <f t="shared" si="24"/>
        <v>0</v>
      </c>
      <c r="X128" s="45">
        <f t="shared" si="25"/>
        <v>0</v>
      </c>
      <c r="Y128" s="46">
        <f>0</f>
        <v>0</v>
      </c>
      <c r="Z128" s="11"/>
    </row>
    <row r="129" spans="11:26" x14ac:dyDescent="0.45">
      <c r="K129" s="39">
        <f t="shared" si="20"/>
        <v>8.9700000000000006</v>
      </c>
      <c r="L129" s="40">
        <f t="shared" si="13"/>
        <v>48.97</v>
      </c>
      <c r="M129" s="41">
        <f t="shared" si="14"/>
        <v>43.97</v>
      </c>
      <c r="N129" s="49">
        <f t="shared" si="15"/>
        <v>2.7216708098679335E-2</v>
      </c>
      <c r="O129" s="50">
        <f t="shared" si="16"/>
        <v>1.7688992825052055E-2</v>
      </c>
      <c r="P129" s="50">
        <f t="shared" si="21"/>
        <v>2.7216708098679335E-2</v>
      </c>
      <c r="Q129" s="51">
        <f t="shared" si="22"/>
        <v>1.7688992825052055E-2</v>
      </c>
      <c r="R129" s="4">
        <f t="shared" si="17"/>
        <v>-4.0534908018082502E-2</v>
      </c>
      <c r="S129">
        <f t="shared" si="18"/>
        <v>0</v>
      </c>
      <c r="T129">
        <f t="shared" si="19"/>
        <v>0</v>
      </c>
      <c r="U129" s="5">
        <f>0</f>
        <v>0</v>
      </c>
      <c r="V129" s="45">
        <f t="shared" si="23"/>
        <v>4.6054060642377721E-2</v>
      </c>
      <c r="W129" s="45">
        <f t="shared" si="24"/>
        <v>0</v>
      </c>
      <c r="X129" s="45">
        <f t="shared" si="25"/>
        <v>0</v>
      </c>
      <c r="Y129" s="46">
        <f>0</f>
        <v>0</v>
      </c>
      <c r="Z129" s="11"/>
    </row>
    <row r="130" spans="11:26" x14ac:dyDescent="0.45">
      <c r="K130" s="39">
        <f t="shared" si="20"/>
        <v>8.9600000000000009</v>
      </c>
      <c r="L130" s="40">
        <f t="shared" si="13"/>
        <v>48.96</v>
      </c>
      <c r="M130" s="41">
        <f t="shared" si="14"/>
        <v>43.96</v>
      </c>
      <c r="N130" s="49">
        <f t="shared" si="15"/>
        <v>2.7193263470118582E-2</v>
      </c>
      <c r="O130" s="50">
        <f t="shared" si="16"/>
        <v>1.7673755425110318E-2</v>
      </c>
      <c r="P130" s="50">
        <f t="shared" si="21"/>
        <v>2.7193263470118582E-2</v>
      </c>
      <c r="Q130" s="51">
        <f t="shared" si="22"/>
        <v>1.7673755425110318E-2</v>
      </c>
      <c r="R130" s="4">
        <f t="shared" si="17"/>
        <v>-4.0459553195217754E-2</v>
      </c>
      <c r="S130">
        <f t="shared" si="18"/>
        <v>0</v>
      </c>
      <c r="T130">
        <f t="shared" si="19"/>
        <v>0</v>
      </c>
      <c r="U130" s="5">
        <f>0</f>
        <v>0</v>
      </c>
      <c r="V130" s="45">
        <f t="shared" si="23"/>
        <v>4.6459409722558548E-2</v>
      </c>
      <c r="W130" s="45">
        <f t="shared" si="24"/>
        <v>0</v>
      </c>
      <c r="X130" s="45">
        <f t="shared" si="25"/>
        <v>0</v>
      </c>
      <c r="Y130" s="46">
        <f>0</f>
        <v>0</v>
      </c>
      <c r="Z130" s="11"/>
    </row>
    <row r="131" spans="11:26" x14ac:dyDescent="0.45">
      <c r="K131" s="39">
        <f t="shared" si="20"/>
        <v>8.9499999999999993</v>
      </c>
      <c r="L131" s="40">
        <f t="shared" si="13"/>
        <v>48.95</v>
      </c>
      <c r="M131" s="41">
        <f t="shared" si="14"/>
        <v>43.95</v>
      </c>
      <c r="N131" s="49">
        <f t="shared" si="15"/>
        <v>2.7169839036895436E-2</v>
      </c>
      <c r="O131" s="50">
        <f t="shared" si="16"/>
        <v>1.7658531150752343E-2</v>
      </c>
      <c r="P131" s="50">
        <f t="shared" si="21"/>
        <v>2.7169839036895436E-2</v>
      </c>
      <c r="Q131" s="51">
        <f t="shared" si="22"/>
        <v>1.7658531150752343E-2</v>
      </c>
      <c r="R131" s="4">
        <f t="shared" si="17"/>
        <v>-4.0384332948897164E-2</v>
      </c>
      <c r="S131">
        <f t="shared" si="18"/>
        <v>0</v>
      </c>
      <c r="T131">
        <f t="shared" si="19"/>
        <v>0</v>
      </c>
      <c r="U131" s="5">
        <f>0</f>
        <v>0</v>
      </c>
      <c r="V131" s="45">
        <f t="shared" si="23"/>
        <v>4.6864005254510725E-2</v>
      </c>
      <c r="W131" s="45">
        <f t="shared" si="24"/>
        <v>0</v>
      </c>
      <c r="X131" s="45">
        <f t="shared" si="25"/>
        <v>0</v>
      </c>
      <c r="Y131" s="46">
        <f>0</f>
        <v>0</v>
      </c>
      <c r="Z131" s="11"/>
    </row>
    <row r="132" spans="11:26" x14ac:dyDescent="0.45">
      <c r="K132" s="39">
        <f t="shared" si="20"/>
        <v>8.94</v>
      </c>
      <c r="L132" s="40">
        <f t="shared" si="13"/>
        <v>48.94</v>
      </c>
      <c r="M132" s="41">
        <f t="shared" si="14"/>
        <v>43.94</v>
      </c>
      <c r="N132" s="49">
        <f t="shared" si="15"/>
        <v>2.7146434781613472E-2</v>
      </c>
      <c r="O132" s="50">
        <f t="shared" si="16"/>
        <v>1.7643319990671667E-2</v>
      </c>
      <c r="P132" s="50">
        <f t="shared" si="21"/>
        <v>2.7146434781613472E-2</v>
      </c>
      <c r="Q132" s="51">
        <f t="shared" si="22"/>
        <v>1.7643319990671667E-2</v>
      </c>
      <c r="R132" s="4">
        <f t="shared" si="17"/>
        <v>-4.0309246996394307E-2</v>
      </c>
      <c r="S132">
        <f t="shared" si="18"/>
        <v>0</v>
      </c>
      <c r="T132">
        <f t="shared" si="19"/>
        <v>0</v>
      </c>
      <c r="U132" s="5">
        <f>0</f>
        <v>0</v>
      </c>
      <c r="V132" s="45">
        <f t="shared" si="23"/>
        <v>4.7267848583999697E-2</v>
      </c>
      <c r="W132" s="45">
        <f t="shared" si="24"/>
        <v>0</v>
      </c>
      <c r="X132" s="45">
        <f t="shared" si="25"/>
        <v>0</v>
      </c>
      <c r="Y132" s="46">
        <f>0</f>
        <v>0</v>
      </c>
      <c r="Z132" s="11"/>
    </row>
    <row r="133" spans="11:26" x14ac:dyDescent="0.45">
      <c r="K133" s="39">
        <f t="shared" si="20"/>
        <v>8.93</v>
      </c>
      <c r="L133" s="40">
        <f t="shared" si="13"/>
        <v>48.93</v>
      </c>
      <c r="M133" s="41">
        <f t="shared" si="14"/>
        <v>43.93</v>
      </c>
      <c r="N133" s="49">
        <f t="shared" si="15"/>
        <v>2.7123050686891362E-2</v>
      </c>
      <c r="O133" s="50">
        <f t="shared" si="16"/>
        <v>1.7628121933571592E-2</v>
      </c>
      <c r="P133" s="50">
        <f t="shared" si="21"/>
        <v>2.7123050686891362E-2</v>
      </c>
      <c r="Q133" s="51">
        <f t="shared" si="22"/>
        <v>1.7628121933571592E-2</v>
      </c>
      <c r="R133" s="4">
        <f t="shared" si="17"/>
        <v>-4.0234295055678937E-2</v>
      </c>
      <c r="S133">
        <f t="shared" si="18"/>
        <v>0</v>
      </c>
      <c r="T133">
        <f t="shared" si="19"/>
        <v>0</v>
      </c>
      <c r="U133" s="5">
        <f>0</f>
        <v>0</v>
      </c>
      <c r="V133" s="45">
        <f t="shared" si="23"/>
        <v>4.7670941053963641E-2</v>
      </c>
      <c r="W133" s="45">
        <f t="shared" si="24"/>
        <v>0</v>
      </c>
      <c r="X133" s="45">
        <f t="shared" si="25"/>
        <v>0</v>
      </c>
      <c r="Y133" s="46">
        <f>0</f>
        <v>0</v>
      </c>
      <c r="Z133" s="11"/>
    </row>
    <row r="134" spans="11:26" x14ac:dyDescent="0.45">
      <c r="K134" s="39">
        <f t="shared" si="20"/>
        <v>8.92</v>
      </c>
      <c r="L134" s="40">
        <f t="shared" si="13"/>
        <v>48.92</v>
      </c>
      <c r="M134" s="41">
        <f t="shared" si="14"/>
        <v>43.92</v>
      </c>
      <c r="N134" s="49">
        <f t="shared" si="15"/>
        <v>2.7099686735362657E-2</v>
      </c>
      <c r="O134" s="50">
        <f t="shared" si="16"/>
        <v>1.7612936968165134E-2</v>
      </c>
      <c r="P134" s="50">
        <f t="shared" si="21"/>
        <v>2.7099686735362657E-2</v>
      </c>
      <c r="Q134" s="51">
        <f t="shared" si="22"/>
        <v>1.7612936968165134E-2</v>
      </c>
      <c r="R134" s="4">
        <f t="shared" si="17"/>
        <v>-4.0159476845414828E-2</v>
      </c>
      <c r="S134">
        <f t="shared" si="18"/>
        <v>0</v>
      </c>
      <c r="T134">
        <f t="shared" si="19"/>
        <v>0</v>
      </c>
      <c r="U134" s="5">
        <f>0</f>
        <v>0</v>
      </c>
      <c r="V134" s="45">
        <f t="shared" si="23"/>
        <v>4.8073284004520427E-2</v>
      </c>
      <c r="W134" s="45">
        <f t="shared" si="24"/>
        <v>0</v>
      </c>
      <c r="X134" s="45">
        <f t="shared" si="25"/>
        <v>0</v>
      </c>
      <c r="Y134" s="46">
        <f>0</f>
        <v>0</v>
      </c>
      <c r="Z134" s="11"/>
    </row>
    <row r="135" spans="11:26" x14ac:dyDescent="0.45">
      <c r="K135" s="39">
        <f t="shared" si="20"/>
        <v>8.91</v>
      </c>
      <c r="L135" s="40">
        <f t="shared" si="13"/>
        <v>48.91</v>
      </c>
      <c r="M135" s="41">
        <f t="shared" si="14"/>
        <v>43.91</v>
      </c>
      <c r="N135" s="49">
        <f t="shared" si="15"/>
        <v>2.7076342909675886E-2</v>
      </c>
      <c r="O135" s="50">
        <f t="shared" si="16"/>
        <v>1.7597765083175013E-2</v>
      </c>
      <c r="P135" s="50">
        <f t="shared" si="21"/>
        <v>2.7076342909675886E-2</v>
      </c>
      <c r="Q135" s="51">
        <f t="shared" si="22"/>
        <v>1.7597765083175013E-2</v>
      </c>
      <c r="R135" s="4">
        <f t="shared" si="17"/>
        <v>-4.0084792084957951E-2</v>
      </c>
      <c r="S135">
        <f t="shared" si="18"/>
        <v>0</v>
      </c>
      <c r="T135">
        <f t="shared" si="19"/>
        <v>0</v>
      </c>
      <c r="U135" s="5">
        <f>0</f>
        <v>0</v>
      </c>
      <c r="V135" s="45">
        <f t="shared" si="23"/>
        <v>4.8474878772974572E-2</v>
      </c>
      <c r="W135" s="45">
        <f t="shared" si="24"/>
        <v>0</v>
      </c>
      <c r="X135" s="45">
        <f t="shared" si="25"/>
        <v>0</v>
      </c>
      <c r="Y135" s="46">
        <f>0</f>
        <v>0</v>
      </c>
      <c r="Z135" s="11"/>
    </row>
    <row r="136" spans="11:26" x14ac:dyDescent="0.45">
      <c r="K136" s="39">
        <f t="shared" si="20"/>
        <v>8.9</v>
      </c>
      <c r="L136" s="40">
        <f t="shared" si="13"/>
        <v>48.9</v>
      </c>
      <c r="M136" s="41">
        <f t="shared" si="14"/>
        <v>43.9</v>
      </c>
      <c r="N136" s="49">
        <f t="shared" si="15"/>
        <v>2.7053019192494539E-2</v>
      </c>
      <c r="O136" s="50">
        <f t="shared" si="16"/>
        <v>1.7582606267333715E-2</v>
      </c>
      <c r="P136" s="50">
        <f t="shared" si="21"/>
        <v>2.7053019192494539E-2</v>
      </c>
      <c r="Q136" s="51">
        <f t="shared" si="22"/>
        <v>1.7582606267333715E-2</v>
      </c>
      <c r="R136" s="4">
        <f t="shared" si="17"/>
        <v>-4.0010240494354581E-2</v>
      </c>
      <c r="S136">
        <f t="shared" si="18"/>
        <v>0</v>
      </c>
      <c r="T136">
        <f t="shared" si="19"/>
        <v>0</v>
      </c>
      <c r="U136" s="5">
        <f>0</f>
        <v>0</v>
      </c>
      <c r="V136" s="45">
        <f t="shared" si="23"/>
        <v>4.8875726693824152E-2</v>
      </c>
      <c r="W136" s="45">
        <f t="shared" si="24"/>
        <v>0</v>
      </c>
      <c r="X136" s="45">
        <f t="shared" si="25"/>
        <v>0</v>
      </c>
      <c r="Y136" s="46">
        <f>0</f>
        <v>0</v>
      </c>
      <c r="Z136" s="11"/>
    </row>
    <row r="137" spans="11:26" x14ac:dyDescent="0.45">
      <c r="K137" s="39">
        <f t="shared" si="20"/>
        <v>8.89</v>
      </c>
      <c r="L137" s="40">
        <f t="shared" si="13"/>
        <v>48.89</v>
      </c>
      <c r="M137" s="41">
        <f t="shared" si="14"/>
        <v>43.89</v>
      </c>
      <c r="N137" s="49">
        <f t="shared" si="15"/>
        <v>2.7029715566497033E-2</v>
      </c>
      <c r="O137" s="50">
        <f t="shared" si="16"/>
        <v>1.7567460509383379E-2</v>
      </c>
      <c r="P137" s="50">
        <f t="shared" si="21"/>
        <v>2.7029715566497033E-2</v>
      </c>
      <c r="Q137" s="51">
        <f t="shared" si="22"/>
        <v>1.7567460509383379E-2</v>
      </c>
      <c r="R137" s="4">
        <f t="shared" si="17"/>
        <v>-3.9935821794339285E-2</v>
      </c>
      <c r="S137">
        <f t="shared" si="18"/>
        <v>0</v>
      </c>
      <c r="T137">
        <f t="shared" si="19"/>
        <v>0</v>
      </c>
      <c r="U137" s="5">
        <f>0</f>
        <v>0</v>
      </c>
      <c r="V137" s="45">
        <f t="shared" si="23"/>
        <v>4.9275829098767696E-2</v>
      </c>
      <c r="W137" s="45">
        <f t="shared" si="24"/>
        <v>0</v>
      </c>
      <c r="X137" s="45">
        <f t="shared" si="25"/>
        <v>0</v>
      </c>
      <c r="Y137" s="46">
        <f>0</f>
        <v>0</v>
      </c>
      <c r="Z137" s="11"/>
    </row>
    <row r="138" spans="11:26" x14ac:dyDescent="0.45">
      <c r="K138" s="39">
        <f t="shared" si="20"/>
        <v>8.8800000000000008</v>
      </c>
      <c r="L138" s="40">
        <f t="shared" si="13"/>
        <v>48.88</v>
      </c>
      <c r="M138" s="41">
        <f t="shared" si="14"/>
        <v>43.88</v>
      </c>
      <c r="N138" s="49">
        <f t="shared" si="15"/>
        <v>2.7006432014376715E-2</v>
      </c>
      <c r="O138" s="50">
        <f t="shared" si="16"/>
        <v>1.7552327798075865E-2</v>
      </c>
      <c r="P138" s="50">
        <f t="shared" si="21"/>
        <v>2.7006432014376715E-2</v>
      </c>
      <c r="Q138" s="51">
        <f t="shared" si="22"/>
        <v>1.7552327798075865E-2</v>
      </c>
      <c r="R138" s="4">
        <f t="shared" si="17"/>
        <v>-3.9861535706333107E-2</v>
      </c>
      <c r="S138">
        <f t="shared" si="18"/>
        <v>0</v>
      </c>
      <c r="T138">
        <f t="shared" si="19"/>
        <v>0</v>
      </c>
      <c r="U138" s="5">
        <f>0</f>
        <v>0</v>
      </c>
      <c r="V138" s="45">
        <f t="shared" si="23"/>
        <v>4.9675187316711091E-2</v>
      </c>
      <c r="W138" s="45">
        <f t="shared" si="24"/>
        <v>0</v>
      </c>
      <c r="X138" s="45">
        <f t="shared" si="25"/>
        <v>0</v>
      </c>
      <c r="Y138" s="46">
        <f>0</f>
        <v>0</v>
      </c>
      <c r="Z138" s="11"/>
    </row>
    <row r="139" spans="11:26" x14ac:dyDescent="0.45">
      <c r="K139" s="39">
        <f t="shared" si="20"/>
        <v>8.8699999999999992</v>
      </c>
      <c r="L139" s="40">
        <f t="shared" si="13"/>
        <v>48.87</v>
      </c>
      <c r="M139" s="41">
        <f t="shared" si="14"/>
        <v>43.87</v>
      </c>
      <c r="N139" s="49">
        <f t="shared" si="15"/>
        <v>2.6983168518841791E-2</v>
      </c>
      <c r="O139" s="50">
        <f t="shared" si="16"/>
        <v>1.7537208122172718E-2</v>
      </c>
      <c r="P139" s="50">
        <f t="shared" si="21"/>
        <v>2.6983168518841791E-2</v>
      </c>
      <c r="Q139" s="51">
        <f t="shared" si="22"/>
        <v>1.7537208122172718E-2</v>
      </c>
      <c r="R139" s="4">
        <f t="shared" si="17"/>
        <v>-3.9787381952441511E-2</v>
      </c>
      <c r="S139">
        <f t="shared" si="18"/>
        <v>0</v>
      </c>
      <c r="T139">
        <f t="shared" si="19"/>
        <v>0</v>
      </c>
      <c r="U139" s="5">
        <f>0</f>
        <v>0</v>
      </c>
      <c r="V139" s="45">
        <f t="shared" si="23"/>
        <v>5.0073802673774419E-2</v>
      </c>
      <c r="W139" s="45">
        <f t="shared" si="24"/>
        <v>0</v>
      </c>
      <c r="X139" s="45">
        <f t="shared" si="25"/>
        <v>0</v>
      </c>
      <c r="Y139" s="46">
        <f>0</f>
        <v>0</v>
      </c>
      <c r="Z139" s="11"/>
    </row>
    <row r="140" spans="11:26" x14ac:dyDescent="0.45">
      <c r="K140" s="39">
        <f t="shared" si="20"/>
        <v>8.86</v>
      </c>
      <c r="L140" s="40">
        <f t="shared" si="13"/>
        <v>48.86</v>
      </c>
      <c r="M140" s="41">
        <f t="shared" si="14"/>
        <v>43.86</v>
      </c>
      <c r="N140" s="49">
        <f t="shared" si="15"/>
        <v>2.6959925062615464E-2</v>
      </c>
      <c r="O140" s="50">
        <f t="shared" si="16"/>
        <v>1.7522101470445178E-2</v>
      </c>
      <c r="P140" s="50">
        <f t="shared" si="21"/>
        <v>2.6959925062615464E-2</v>
      </c>
      <c r="Q140" s="51">
        <f t="shared" si="22"/>
        <v>1.7522101470445178E-2</v>
      </c>
      <c r="R140" s="4">
        <f t="shared" si="17"/>
        <v>-3.9713360255452725E-2</v>
      </c>
      <c r="S140">
        <f t="shared" si="18"/>
        <v>0</v>
      </c>
      <c r="T140">
        <f t="shared" si="19"/>
        <v>0</v>
      </c>
      <c r="U140" s="5">
        <f>0</f>
        <v>0</v>
      </c>
      <c r="V140" s="45">
        <f t="shared" si="23"/>
        <v>5.0471676493298832E-2</v>
      </c>
      <c r="W140" s="45">
        <f t="shared" si="24"/>
        <v>0</v>
      </c>
      <c r="X140" s="45">
        <f t="shared" si="25"/>
        <v>0</v>
      </c>
      <c r="Y140" s="46">
        <f>0</f>
        <v>0</v>
      </c>
      <c r="Z140" s="11"/>
    </row>
    <row r="141" spans="11:26" x14ac:dyDescent="0.45">
      <c r="K141" s="39">
        <f t="shared" si="20"/>
        <v>8.85</v>
      </c>
      <c r="L141" s="40">
        <f t="shared" si="13"/>
        <v>48.85</v>
      </c>
      <c r="M141" s="41">
        <f t="shared" si="14"/>
        <v>43.85</v>
      </c>
      <c r="N141" s="49">
        <f t="shared" si="15"/>
        <v>2.6936701628435731E-2</v>
      </c>
      <c r="O141" s="50">
        <f t="shared" si="16"/>
        <v>1.7507007831674134E-2</v>
      </c>
      <c r="P141" s="50">
        <f t="shared" si="21"/>
        <v>2.6936701628435731E-2</v>
      </c>
      <c r="Q141" s="51">
        <f t="shared" si="22"/>
        <v>1.7507007831674134E-2</v>
      </c>
      <c r="R141" s="4">
        <f t="shared" si="17"/>
        <v>-3.9639470338835588E-2</v>
      </c>
      <c r="S141">
        <f t="shared" si="18"/>
        <v>0</v>
      </c>
      <c r="T141">
        <f t="shared" si="19"/>
        <v>0</v>
      </c>
      <c r="U141" s="5">
        <f>0</f>
        <v>0</v>
      </c>
      <c r="V141" s="45">
        <f t="shared" si="23"/>
        <v>5.086881009585336E-2</v>
      </c>
      <c r="W141" s="45">
        <f t="shared" si="24"/>
        <v>0</v>
      </c>
      <c r="X141" s="45">
        <f t="shared" si="25"/>
        <v>0</v>
      </c>
      <c r="Y141" s="46">
        <f>0</f>
        <v>0</v>
      </c>
      <c r="Z141" s="11"/>
    </row>
    <row r="142" spans="11:26" x14ac:dyDescent="0.45">
      <c r="K142" s="39">
        <f t="shared" si="20"/>
        <v>8.84</v>
      </c>
      <c r="L142" s="40">
        <f t="shared" si="13"/>
        <v>48.84</v>
      </c>
      <c r="M142" s="41">
        <f t="shared" si="14"/>
        <v>43.84</v>
      </c>
      <c r="N142" s="49">
        <f t="shared" si="15"/>
        <v>2.6913498199055488E-2</v>
      </c>
      <c r="O142" s="50">
        <f t="shared" si="16"/>
        <v>1.7491927194650158E-2</v>
      </c>
      <c r="P142" s="50">
        <f t="shared" si="21"/>
        <v>2.6913498199055488E-2</v>
      </c>
      <c r="Q142" s="51">
        <f t="shared" si="22"/>
        <v>1.7491927194650158E-2</v>
      </c>
      <c r="R142" s="4">
        <f t="shared" si="17"/>
        <v>-3.9565711926737787E-2</v>
      </c>
      <c r="S142">
        <f t="shared" si="18"/>
        <v>0</v>
      </c>
      <c r="T142">
        <f t="shared" si="19"/>
        <v>0</v>
      </c>
      <c r="U142" s="5">
        <f>0</f>
        <v>0</v>
      </c>
      <c r="V142" s="45">
        <f t="shared" si="23"/>
        <v>5.1265204799241716E-2</v>
      </c>
      <c r="W142" s="45">
        <f t="shared" si="24"/>
        <v>0</v>
      </c>
      <c r="X142" s="45">
        <f t="shared" si="25"/>
        <v>0</v>
      </c>
      <c r="Y142" s="46">
        <f>0</f>
        <v>0</v>
      </c>
      <c r="Z142" s="11"/>
    </row>
    <row r="143" spans="11:26" x14ac:dyDescent="0.45">
      <c r="K143" s="39">
        <f t="shared" si="20"/>
        <v>8.83</v>
      </c>
      <c r="L143" s="40">
        <f t="shared" si="13"/>
        <v>48.83</v>
      </c>
      <c r="M143" s="41">
        <f t="shared" si="14"/>
        <v>43.83</v>
      </c>
      <c r="N143" s="49">
        <f t="shared" si="15"/>
        <v>2.6890314757242482E-2</v>
      </c>
      <c r="O143" s="50">
        <f t="shared" si="16"/>
        <v>1.7476859548173455E-2</v>
      </c>
      <c r="P143" s="50">
        <f t="shared" si="21"/>
        <v>2.6890314757242482E-2</v>
      </c>
      <c r="Q143" s="51">
        <f t="shared" si="22"/>
        <v>1.7476859548173455E-2</v>
      </c>
      <c r="R143" s="4">
        <f t="shared" si="17"/>
        <v>-3.9492084743983968E-2</v>
      </c>
      <c r="S143">
        <f t="shared" si="18"/>
        <v>0</v>
      </c>
      <c r="T143">
        <f t="shared" si="19"/>
        <v>0</v>
      </c>
      <c r="U143" s="5">
        <f>0</f>
        <v>0</v>
      </c>
      <c r="V143" s="45">
        <f t="shared" si="23"/>
        <v>5.1660861918509091E-2</v>
      </c>
      <c r="W143" s="45">
        <f t="shared" si="24"/>
        <v>0</v>
      </c>
      <c r="X143" s="45">
        <f t="shared" si="25"/>
        <v>0</v>
      </c>
      <c r="Y143" s="46">
        <f>0</f>
        <v>0</v>
      </c>
      <c r="Z143" s="11"/>
    </row>
    <row r="144" spans="11:26" x14ac:dyDescent="0.45">
      <c r="K144" s="39">
        <f t="shared" si="20"/>
        <v>8.82</v>
      </c>
      <c r="L144" s="40">
        <f t="shared" si="13"/>
        <v>48.82</v>
      </c>
      <c r="M144" s="41">
        <f t="shared" si="14"/>
        <v>43.82</v>
      </c>
      <c r="N144" s="49">
        <f t="shared" si="15"/>
        <v>2.6867151285779312E-2</v>
      </c>
      <c r="O144" s="50">
        <f t="shared" si="16"/>
        <v>1.7461804881053915E-2</v>
      </c>
      <c r="P144" s="50">
        <f t="shared" si="21"/>
        <v>2.6867151285779312E-2</v>
      </c>
      <c r="Q144" s="51">
        <f t="shared" si="22"/>
        <v>1.7461804881053915E-2</v>
      </c>
      <c r="R144" s="4">
        <f t="shared" si="17"/>
        <v>-3.9418588516073841E-2</v>
      </c>
      <c r="S144">
        <f t="shared" si="18"/>
        <v>0</v>
      </c>
      <c r="T144">
        <f t="shared" si="19"/>
        <v>0</v>
      </c>
      <c r="U144" s="5">
        <f>0</f>
        <v>0</v>
      </c>
      <c r="V144" s="45">
        <f t="shared" si="23"/>
        <v>5.2055782765948931E-2</v>
      </c>
      <c r="W144" s="45">
        <f t="shared" si="24"/>
        <v>0</v>
      </c>
      <c r="X144" s="45">
        <f t="shared" si="25"/>
        <v>0</v>
      </c>
      <c r="Y144" s="46">
        <f>0</f>
        <v>0</v>
      </c>
      <c r="Z144" s="11"/>
    </row>
    <row r="145" spans="11:26" x14ac:dyDescent="0.45">
      <c r="K145" s="39">
        <f t="shared" si="20"/>
        <v>8.81</v>
      </c>
      <c r="L145" s="40">
        <f t="shared" si="13"/>
        <v>48.81</v>
      </c>
      <c r="M145" s="41">
        <f t="shared" si="14"/>
        <v>43.81</v>
      </c>
      <c r="N145" s="49">
        <f t="shared" si="15"/>
        <v>2.6844007767463405E-2</v>
      </c>
      <c r="O145" s="50">
        <f t="shared" si="16"/>
        <v>1.7446763182111035E-2</v>
      </c>
      <c r="P145" s="50">
        <f t="shared" si="21"/>
        <v>2.6844007767463405E-2</v>
      </c>
      <c r="Q145" s="51">
        <f t="shared" si="22"/>
        <v>1.7446763182111035E-2</v>
      </c>
      <c r="R145" s="4">
        <f t="shared" si="17"/>
        <v>-3.9345222969180298E-2</v>
      </c>
      <c r="S145">
        <f t="shared" si="18"/>
        <v>0</v>
      </c>
      <c r="T145">
        <f t="shared" si="19"/>
        <v>0</v>
      </c>
      <c r="U145" s="5">
        <f>0</f>
        <v>0</v>
      </c>
      <c r="V145" s="45">
        <f t="shared" si="23"/>
        <v>5.2449968651109673E-2</v>
      </c>
      <c r="W145" s="45">
        <f t="shared" si="24"/>
        <v>0</v>
      </c>
      <c r="X145" s="45">
        <f t="shared" si="25"/>
        <v>0</v>
      </c>
      <c r="Y145" s="46">
        <f>0</f>
        <v>0</v>
      </c>
      <c r="Z145" s="11"/>
    </row>
    <row r="146" spans="11:26" x14ac:dyDescent="0.45">
      <c r="K146" s="39">
        <f t="shared" si="20"/>
        <v>8.8000000000000007</v>
      </c>
      <c r="L146" s="40">
        <f t="shared" si="13"/>
        <v>48.8</v>
      </c>
      <c r="M146" s="41">
        <f t="shared" si="14"/>
        <v>43.8</v>
      </c>
      <c r="N146" s="49">
        <f t="shared" si="15"/>
        <v>2.6820884185106975E-2</v>
      </c>
      <c r="O146" s="50">
        <f t="shared" si="16"/>
        <v>1.7431734440173943E-2</v>
      </c>
      <c r="P146" s="50">
        <f t="shared" si="21"/>
        <v>2.6820884185106975E-2</v>
      </c>
      <c r="Q146" s="51">
        <f t="shared" si="22"/>
        <v>1.7431734440173943E-2</v>
      </c>
      <c r="R146" s="4">
        <f t="shared" si="17"/>
        <v>-3.9271987830147528E-2</v>
      </c>
      <c r="S146">
        <f t="shared" si="18"/>
        <v>0</v>
      </c>
      <c r="T146">
        <f t="shared" si="19"/>
        <v>0</v>
      </c>
      <c r="U146" s="5">
        <f>0</f>
        <v>0</v>
      </c>
      <c r="V146" s="45">
        <f t="shared" si="23"/>
        <v>5.2843420880801475E-2</v>
      </c>
      <c r="W146" s="45">
        <f t="shared" si="24"/>
        <v>0</v>
      </c>
      <c r="X146" s="45">
        <f t="shared" si="25"/>
        <v>0</v>
      </c>
      <c r="Y146" s="46">
        <f>0</f>
        <v>0</v>
      </c>
      <c r="Z146" s="11"/>
    </row>
    <row r="147" spans="11:26" x14ac:dyDescent="0.45">
      <c r="K147" s="39">
        <f t="shared" si="20"/>
        <v>8.7899999999999991</v>
      </c>
      <c r="L147" s="40">
        <f t="shared" si="13"/>
        <v>48.79</v>
      </c>
      <c r="M147" s="41">
        <f t="shared" si="14"/>
        <v>43.79</v>
      </c>
      <c r="N147" s="49">
        <f t="shared" si="15"/>
        <v>2.6797780521537126E-2</v>
      </c>
      <c r="O147" s="50">
        <f t="shared" si="16"/>
        <v>1.7416718644081421E-2</v>
      </c>
      <c r="P147" s="50">
        <f t="shared" si="21"/>
        <v>2.6797780521537126E-2</v>
      </c>
      <c r="Q147" s="51">
        <f t="shared" si="22"/>
        <v>1.7416718644081421E-2</v>
      </c>
      <c r="R147" s="4">
        <f t="shared" si="17"/>
        <v>-3.9198882826489291E-2</v>
      </c>
      <c r="S147">
        <f t="shared" si="18"/>
        <v>0</v>
      </c>
      <c r="T147">
        <f t="shared" si="19"/>
        <v>0</v>
      </c>
      <c r="U147" s="5">
        <f>0</f>
        <v>0</v>
      </c>
      <c r="V147" s="45">
        <f t="shared" si="23"/>
        <v>5.3236140759102948E-2</v>
      </c>
      <c r="W147" s="45">
        <f t="shared" si="24"/>
        <v>0</v>
      </c>
      <c r="X147" s="45">
        <f t="shared" si="25"/>
        <v>0</v>
      </c>
      <c r="Y147" s="46">
        <f>0</f>
        <v>0</v>
      </c>
      <c r="Z147" s="11"/>
    </row>
    <row r="148" spans="11:26" x14ac:dyDescent="0.45">
      <c r="K148" s="39">
        <f t="shared" si="20"/>
        <v>8.7799999999999994</v>
      </c>
      <c r="L148" s="40">
        <f t="shared" si="13"/>
        <v>48.78</v>
      </c>
      <c r="M148" s="41">
        <f t="shared" si="14"/>
        <v>43.78</v>
      </c>
      <c r="N148" s="49">
        <f t="shared" si="15"/>
        <v>2.6774696759595668E-2</v>
      </c>
      <c r="O148" s="50">
        <f t="shared" si="16"/>
        <v>1.7401715782681831E-2</v>
      </c>
      <c r="P148" s="50">
        <f t="shared" si="21"/>
        <v>2.6774696759595668E-2</v>
      </c>
      <c r="Q148" s="51">
        <f t="shared" si="22"/>
        <v>1.7401715782681831E-2</v>
      </c>
      <c r="R148" s="4">
        <f t="shared" si="17"/>
        <v>-3.9125907686386824E-2</v>
      </c>
      <c r="S148">
        <f t="shared" si="18"/>
        <v>0</v>
      </c>
      <c r="T148">
        <f t="shared" si="19"/>
        <v>0</v>
      </c>
      <c r="U148" s="5">
        <f>0</f>
        <v>0</v>
      </c>
      <c r="V148" s="45">
        <f t="shared" si="23"/>
        <v>5.3628129587367838E-2</v>
      </c>
      <c r="W148" s="45">
        <f t="shared" si="24"/>
        <v>0</v>
      </c>
      <c r="X148" s="45">
        <f t="shared" si="25"/>
        <v>0</v>
      </c>
      <c r="Y148" s="46">
        <f>0</f>
        <v>0</v>
      </c>
      <c r="Z148" s="11"/>
    </row>
    <row r="149" spans="11:26" x14ac:dyDescent="0.45">
      <c r="K149" s="39">
        <f t="shared" si="20"/>
        <v>8.77</v>
      </c>
      <c r="L149" s="40">
        <f t="shared" si="13"/>
        <v>48.769999999999996</v>
      </c>
      <c r="M149" s="41">
        <f t="shared" si="14"/>
        <v>43.769999999999996</v>
      </c>
      <c r="N149" s="49">
        <f t="shared" si="15"/>
        <v>2.6751632882139241E-2</v>
      </c>
      <c r="O149" s="50">
        <f t="shared" si="16"/>
        <v>1.738672584483315E-2</v>
      </c>
      <c r="P149" s="50">
        <f t="shared" si="21"/>
        <v>2.6751632882139241E-2</v>
      </c>
      <c r="Q149" s="51">
        <f t="shared" si="22"/>
        <v>1.738672584483315E-2</v>
      </c>
      <c r="R149" s="4">
        <f t="shared" si="17"/>
        <v>-3.90530621386872E-2</v>
      </c>
      <c r="S149">
        <f t="shared" si="18"/>
        <v>0</v>
      </c>
      <c r="T149">
        <f t="shared" si="19"/>
        <v>0</v>
      </c>
      <c r="U149" s="5">
        <f>0</f>
        <v>0</v>
      </c>
      <c r="V149" s="45">
        <f t="shared" si="23"/>
        <v>5.4019388664231706E-2</v>
      </c>
      <c r="W149" s="45">
        <f t="shared" si="24"/>
        <v>0</v>
      </c>
      <c r="X149" s="45">
        <f t="shared" si="25"/>
        <v>0</v>
      </c>
      <c r="Y149" s="46">
        <f>0</f>
        <v>0</v>
      </c>
      <c r="Z149" s="11"/>
    </row>
    <row r="150" spans="11:26" x14ac:dyDescent="0.45">
      <c r="K150" s="39">
        <f t="shared" si="20"/>
        <v>8.76</v>
      </c>
      <c r="L150" s="40">
        <f t="shared" si="13"/>
        <v>48.76</v>
      </c>
      <c r="M150" s="41">
        <f t="shared" si="14"/>
        <v>43.76</v>
      </c>
      <c r="N150" s="49">
        <f t="shared" si="15"/>
        <v>2.6728588872039216E-2</v>
      </c>
      <c r="O150" s="50">
        <f t="shared" si="16"/>
        <v>1.7371748819402972E-2</v>
      </c>
      <c r="P150" s="50">
        <f t="shared" si="21"/>
        <v>2.6728588872039216E-2</v>
      </c>
      <c r="Q150" s="51">
        <f t="shared" si="22"/>
        <v>1.7371748819402972E-2</v>
      </c>
      <c r="R150" s="4">
        <f t="shared" si="17"/>
        <v>-3.8980345912901365E-2</v>
      </c>
      <c r="S150">
        <f t="shared" si="18"/>
        <v>0</v>
      </c>
      <c r="T150">
        <f t="shared" si="19"/>
        <v>0</v>
      </c>
      <c r="U150" s="5">
        <f>0</f>
        <v>0</v>
      </c>
      <c r="V150" s="45">
        <f t="shared" si="23"/>
        <v>5.4409919285618578E-2</v>
      </c>
      <c r="W150" s="45">
        <f t="shared" si="24"/>
        <v>0</v>
      </c>
      <c r="X150" s="45">
        <f t="shared" si="25"/>
        <v>0</v>
      </c>
      <c r="Y150" s="46">
        <f>0</f>
        <v>0</v>
      </c>
      <c r="Z150" s="11"/>
    </row>
    <row r="151" spans="11:26" x14ac:dyDescent="0.45">
      <c r="K151" s="39">
        <f t="shared" si="20"/>
        <v>8.75</v>
      </c>
      <c r="L151" s="40">
        <f t="shared" si="13"/>
        <v>48.75</v>
      </c>
      <c r="M151" s="41">
        <f t="shared" si="14"/>
        <v>43.75</v>
      </c>
      <c r="N151" s="49">
        <f t="shared" si="15"/>
        <v>2.6705564712181752E-2</v>
      </c>
      <c r="O151" s="50">
        <f t="shared" si="16"/>
        <v>1.7356784695268454E-2</v>
      </c>
      <c r="P151" s="50">
        <f t="shared" si="21"/>
        <v>2.6705564712181752E-2</v>
      </c>
      <c r="Q151" s="51">
        <f t="shared" si="22"/>
        <v>1.7356784695268454E-2</v>
      </c>
      <c r="R151" s="4">
        <f t="shared" si="17"/>
        <v>-3.890775873920236E-2</v>
      </c>
      <c r="S151">
        <f t="shared" si="18"/>
        <v>0</v>
      </c>
      <c r="T151">
        <f t="shared" si="19"/>
        <v>0</v>
      </c>
      <c r="U151" s="5">
        <f>0</f>
        <v>0</v>
      </c>
      <c r="V151" s="45">
        <f t="shared" si="23"/>
        <v>5.4799722744747592E-2</v>
      </c>
      <c r="W151" s="45">
        <f t="shared" si="24"/>
        <v>0</v>
      </c>
      <c r="X151" s="45">
        <f t="shared" si="25"/>
        <v>0</v>
      </c>
      <c r="Y151" s="46">
        <f>0</f>
        <v>0</v>
      </c>
      <c r="Z151" s="11"/>
    </row>
    <row r="152" spans="11:26" x14ac:dyDescent="0.45">
      <c r="K152" s="39">
        <f t="shared" si="20"/>
        <v>8.74</v>
      </c>
      <c r="L152" s="40">
        <f t="shared" si="13"/>
        <v>48.74</v>
      </c>
      <c r="M152" s="41">
        <f t="shared" si="14"/>
        <v>43.74</v>
      </c>
      <c r="N152" s="49">
        <f t="shared" si="15"/>
        <v>2.6682560385467732E-2</v>
      </c>
      <c r="O152" s="50">
        <f t="shared" si="16"/>
        <v>1.7341833461316351E-2</v>
      </c>
      <c r="P152" s="50">
        <f t="shared" si="21"/>
        <v>2.6682560385467732E-2</v>
      </c>
      <c r="Q152" s="51">
        <f t="shared" si="22"/>
        <v>1.7341833461316351E-2</v>
      </c>
      <c r="R152" s="4">
        <f t="shared" si="17"/>
        <v>-3.883530034842346E-2</v>
      </c>
      <c r="S152">
        <f t="shared" si="18"/>
        <v>0</v>
      </c>
      <c r="T152">
        <f t="shared" si="19"/>
        <v>0</v>
      </c>
      <c r="U152" s="5">
        <f>0</f>
        <v>0</v>
      </c>
      <c r="V152" s="45">
        <f t="shared" si="23"/>
        <v>5.5188800332139618E-2</v>
      </c>
      <c r="W152" s="45">
        <f t="shared" si="24"/>
        <v>0</v>
      </c>
      <c r="X152" s="45">
        <f t="shared" si="25"/>
        <v>0</v>
      </c>
      <c r="Y152" s="46">
        <f>0</f>
        <v>0</v>
      </c>
      <c r="Z152" s="11"/>
    </row>
    <row r="153" spans="11:26" x14ac:dyDescent="0.45">
      <c r="K153" s="39">
        <f t="shared" si="20"/>
        <v>8.73</v>
      </c>
      <c r="L153" s="40">
        <f t="shared" si="13"/>
        <v>48.730000000000004</v>
      </c>
      <c r="M153" s="41">
        <f t="shared" si="14"/>
        <v>43.730000000000004</v>
      </c>
      <c r="N153" s="49">
        <f t="shared" si="15"/>
        <v>2.6659575874812772E-2</v>
      </c>
      <c r="O153" s="50">
        <f t="shared" si="16"/>
        <v>1.7326895106442981E-2</v>
      </c>
      <c r="P153" s="50">
        <f t="shared" si="21"/>
        <v>2.6659575874812772E-2</v>
      </c>
      <c r="Q153" s="51">
        <f t="shared" si="22"/>
        <v>1.7326895106442981E-2</v>
      </c>
      <c r="R153" s="4">
        <f t="shared" si="17"/>
        <v>-3.8762970472056332E-2</v>
      </c>
      <c r="S153">
        <f t="shared" si="18"/>
        <v>0</v>
      </c>
      <c r="T153">
        <f t="shared" si="19"/>
        <v>0</v>
      </c>
      <c r="U153" s="5">
        <f>0</f>
        <v>0</v>
      </c>
      <c r="V153" s="45">
        <f t="shared" si="23"/>
        <v>5.5577153335623852E-2</v>
      </c>
      <c r="W153" s="45">
        <f t="shared" si="24"/>
        <v>0</v>
      </c>
      <c r="X153" s="45">
        <f t="shared" si="25"/>
        <v>0</v>
      </c>
      <c r="Y153" s="46">
        <f>0</f>
        <v>0</v>
      </c>
      <c r="Z153" s="11"/>
    </row>
    <row r="154" spans="11:26" x14ac:dyDescent="0.45">
      <c r="K154" s="39">
        <f t="shared" si="20"/>
        <v>8.7200000000000006</v>
      </c>
      <c r="L154" s="40">
        <f t="shared" ref="L154:L217" si="26">InitialAge_x+K154</f>
        <v>48.72</v>
      </c>
      <c r="M154" s="41">
        <f t="shared" ref="M154:M217" si="27">InitialAge_y+K154</f>
        <v>43.72</v>
      </c>
      <c r="N154" s="49">
        <f t="shared" ref="N154:N217" si="28">muParameter_B*muParameter_c^L154</f>
        <v>2.6636611163147177E-2</v>
      </c>
      <c r="O154" s="50">
        <f t="shared" ref="O154:O217" si="29">muParameter_B*muParameter_c^M154</f>
        <v>1.7311969619554227E-2</v>
      </c>
      <c r="P154" s="50">
        <f t="shared" si="21"/>
        <v>2.6636611163147177E-2</v>
      </c>
      <c r="Q154" s="51">
        <f t="shared" si="22"/>
        <v>1.7311969619554227E-2</v>
      </c>
      <c r="R154" s="4">
        <f t="shared" ref="R154:R217" si="30">V154*Delta-Constant_b1-(O154*(Constant_b12+W154-V154)+N154*(Constant_b13+X154-V154))</f>
        <v>-3.869076884224925E-2</v>
      </c>
      <c r="S154">
        <f t="shared" ref="S154:S217" si="31">W154*Delta-Constant_b2-(P154*(Constant_b24+Y154-W154)+Q154*(Constant_b34+Y154-X154))</f>
        <v>0</v>
      </c>
      <c r="T154">
        <f t="shared" ref="T154:T217" si="32">X154*Delta-Constant_b3-(Q154*(Constant_b34+Y154-X154))</f>
        <v>0</v>
      </c>
      <c r="U154" s="5">
        <f>0</f>
        <v>0</v>
      </c>
      <c r="V154" s="45">
        <f t="shared" si="23"/>
        <v>5.5964783040344412E-2</v>
      </c>
      <c r="W154" s="45">
        <f t="shared" si="24"/>
        <v>0</v>
      </c>
      <c r="X154" s="45">
        <f t="shared" si="25"/>
        <v>0</v>
      </c>
      <c r="Y154" s="46">
        <f>0</f>
        <v>0</v>
      </c>
      <c r="Z154" s="11"/>
    </row>
    <row r="155" spans="11:26" x14ac:dyDescent="0.45">
      <c r="K155" s="39">
        <f t="shared" ref="K155:K218" si="33">ROUND(K154-StepSize,2)</f>
        <v>8.7100000000000009</v>
      </c>
      <c r="L155" s="40">
        <f t="shared" si="26"/>
        <v>48.71</v>
      </c>
      <c r="M155" s="41">
        <f t="shared" si="27"/>
        <v>43.71</v>
      </c>
      <c r="N155" s="49">
        <f t="shared" si="28"/>
        <v>2.6613666233416041E-2</v>
      </c>
      <c r="O155" s="50">
        <f t="shared" si="29"/>
        <v>1.7297056989565553E-2</v>
      </c>
      <c r="P155" s="50">
        <f t="shared" ref="P155:P218" si="34">N155</f>
        <v>2.6613666233416041E-2</v>
      </c>
      <c r="Q155" s="51">
        <f t="shared" ref="Q155:Q218" si="35">O155</f>
        <v>1.7297056989565553E-2</v>
      </c>
      <c r="R155" s="4">
        <f t="shared" si="30"/>
        <v>-3.8618695191805309E-2</v>
      </c>
      <c r="S155">
        <f t="shared" si="31"/>
        <v>0</v>
      </c>
      <c r="T155">
        <f t="shared" si="32"/>
        <v>0</v>
      </c>
      <c r="U155" s="5">
        <f>0</f>
        <v>0</v>
      </c>
      <c r="V155" s="45">
        <f t="shared" ref="V155:V218" si="36">V154-StepSize*(R154)</f>
        <v>5.6351690728766904E-2</v>
      </c>
      <c r="W155" s="45">
        <f t="shared" ref="W155:W218" si="37">W154-StepSize*(S154)</f>
        <v>0</v>
      </c>
      <c r="X155" s="45">
        <f t="shared" ref="X155:X218" si="38">X154-StepSize*(T154)</f>
        <v>0</v>
      </c>
      <c r="Y155" s="46">
        <f>0</f>
        <v>0</v>
      </c>
      <c r="Z155" s="11"/>
    </row>
    <row r="156" spans="11:26" x14ac:dyDescent="0.45">
      <c r="K156" s="39">
        <f t="shared" si="33"/>
        <v>8.6999999999999993</v>
      </c>
      <c r="L156" s="40">
        <f t="shared" si="26"/>
        <v>48.7</v>
      </c>
      <c r="M156" s="41">
        <f t="shared" si="27"/>
        <v>43.7</v>
      </c>
      <c r="N156" s="49">
        <f t="shared" si="28"/>
        <v>2.6590741068579081E-2</v>
      </c>
      <c r="O156" s="50">
        <f t="shared" si="29"/>
        <v>1.7282157205401934E-2</v>
      </c>
      <c r="P156" s="50">
        <f t="shared" si="34"/>
        <v>2.6590741068579081E-2</v>
      </c>
      <c r="Q156" s="51">
        <f t="shared" si="35"/>
        <v>1.7282157205401934E-2</v>
      </c>
      <c r="R156" s="4">
        <f t="shared" si="30"/>
        <v>-3.8546749254180494E-2</v>
      </c>
      <c r="S156">
        <f t="shared" si="31"/>
        <v>0</v>
      </c>
      <c r="T156">
        <f t="shared" si="32"/>
        <v>0</v>
      </c>
      <c r="U156" s="5">
        <f>0</f>
        <v>0</v>
      </c>
      <c r="V156" s="45">
        <f t="shared" si="36"/>
        <v>5.6737877680684959E-2</v>
      </c>
      <c r="W156" s="45">
        <f t="shared" si="37"/>
        <v>0</v>
      </c>
      <c r="X156" s="45">
        <f t="shared" si="38"/>
        <v>0</v>
      </c>
      <c r="Y156" s="46">
        <f>0</f>
        <v>0</v>
      </c>
      <c r="Z156" s="11"/>
    </row>
    <row r="157" spans="11:26" x14ac:dyDescent="0.45">
      <c r="K157" s="39">
        <f t="shared" si="33"/>
        <v>8.69</v>
      </c>
      <c r="L157" s="40">
        <f t="shared" si="26"/>
        <v>48.69</v>
      </c>
      <c r="M157" s="41">
        <f t="shared" si="27"/>
        <v>43.69</v>
      </c>
      <c r="N157" s="49">
        <f t="shared" si="28"/>
        <v>2.6567835651610642E-2</v>
      </c>
      <c r="O157" s="50">
        <f t="shared" si="29"/>
        <v>1.7267270255997905E-2</v>
      </c>
      <c r="P157" s="50">
        <f t="shared" si="34"/>
        <v>2.6567835651610642E-2</v>
      </c>
      <c r="Q157" s="51">
        <f t="shared" si="35"/>
        <v>1.7267270255997905E-2</v>
      </c>
      <c r="R157" s="4">
        <f t="shared" si="30"/>
        <v>-3.8474930763481935E-2</v>
      </c>
      <c r="S157">
        <f t="shared" si="31"/>
        <v>0</v>
      </c>
      <c r="T157">
        <f t="shared" si="32"/>
        <v>0</v>
      </c>
      <c r="U157" s="5">
        <f>0</f>
        <v>0</v>
      </c>
      <c r="V157" s="45">
        <f t="shared" si="36"/>
        <v>5.7123345173226765E-2</v>
      </c>
      <c r="W157" s="45">
        <f t="shared" si="37"/>
        <v>0</v>
      </c>
      <c r="X157" s="45">
        <f t="shared" si="38"/>
        <v>0</v>
      </c>
      <c r="Y157" s="46">
        <f>0</f>
        <v>0</v>
      </c>
      <c r="Z157" s="11"/>
    </row>
    <row r="158" spans="11:26" x14ac:dyDescent="0.45">
      <c r="K158" s="39">
        <f t="shared" si="33"/>
        <v>8.68</v>
      </c>
      <c r="L158" s="40">
        <f t="shared" si="26"/>
        <v>48.68</v>
      </c>
      <c r="M158" s="41">
        <f t="shared" si="27"/>
        <v>43.68</v>
      </c>
      <c r="N158" s="49">
        <f t="shared" si="28"/>
        <v>2.6544949965499866E-2</v>
      </c>
      <c r="O158" s="50">
        <f t="shared" si="29"/>
        <v>1.7252396130297536E-2</v>
      </c>
      <c r="P158" s="50">
        <f t="shared" si="34"/>
        <v>2.6544949965499866E-2</v>
      </c>
      <c r="Q158" s="51">
        <f t="shared" si="35"/>
        <v>1.7252396130297536E-2</v>
      </c>
      <c r="R158" s="4">
        <f t="shared" si="30"/>
        <v>-3.8403239454466213E-2</v>
      </c>
      <c r="S158">
        <f t="shared" si="31"/>
        <v>0</v>
      </c>
      <c r="T158">
        <f t="shared" si="32"/>
        <v>0</v>
      </c>
      <c r="U158" s="5">
        <f>0</f>
        <v>0</v>
      </c>
      <c r="V158" s="45">
        <f t="shared" si="36"/>
        <v>5.7508094480861582E-2</v>
      </c>
      <c r="W158" s="45">
        <f t="shared" si="37"/>
        <v>0</v>
      </c>
      <c r="X158" s="45">
        <f t="shared" si="38"/>
        <v>0</v>
      </c>
      <c r="Y158" s="46">
        <f>0</f>
        <v>0</v>
      </c>
      <c r="Z158" s="11"/>
    </row>
    <row r="159" spans="11:26" x14ac:dyDescent="0.45">
      <c r="K159" s="39">
        <f t="shared" si="33"/>
        <v>8.67</v>
      </c>
      <c r="L159" s="40">
        <f t="shared" si="26"/>
        <v>48.67</v>
      </c>
      <c r="M159" s="41">
        <f t="shared" si="27"/>
        <v>43.67</v>
      </c>
      <c r="N159" s="49">
        <f t="shared" si="28"/>
        <v>2.6522083993250449E-2</v>
      </c>
      <c r="O159" s="50">
        <f t="shared" si="29"/>
        <v>1.7237534817254416E-2</v>
      </c>
      <c r="P159" s="50">
        <f t="shared" si="34"/>
        <v>2.6522083993250449E-2</v>
      </c>
      <c r="Q159" s="51">
        <f t="shared" si="35"/>
        <v>1.7237534817254416E-2</v>
      </c>
      <c r="R159" s="4">
        <f t="shared" si="30"/>
        <v>-3.8331675062537388E-2</v>
      </c>
      <c r="S159">
        <f t="shared" si="31"/>
        <v>0</v>
      </c>
      <c r="T159">
        <f t="shared" si="32"/>
        <v>0</v>
      </c>
      <c r="U159" s="5">
        <f>0</f>
        <v>0</v>
      </c>
      <c r="V159" s="45">
        <f t="shared" si="36"/>
        <v>5.7892126875406243E-2</v>
      </c>
      <c r="W159" s="45">
        <f t="shared" si="37"/>
        <v>0</v>
      </c>
      <c r="X159" s="45">
        <f t="shared" si="38"/>
        <v>0</v>
      </c>
      <c r="Y159" s="46">
        <f>0</f>
        <v>0</v>
      </c>
      <c r="Z159" s="11"/>
    </row>
    <row r="160" spans="11:26" x14ac:dyDescent="0.45">
      <c r="K160" s="39">
        <f t="shared" si="33"/>
        <v>8.66</v>
      </c>
      <c r="L160" s="40">
        <f t="shared" si="26"/>
        <v>48.66</v>
      </c>
      <c r="M160" s="41">
        <f t="shared" si="27"/>
        <v>43.66</v>
      </c>
      <c r="N160" s="49">
        <f t="shared" si="28"/>
        <v>2.6499237717880743E-2</v>
      </c>
      <c r="O160" s="50">
        <f t="shared" si="29"/>
        <v>1.7222686305831632E-2</v>
      </c>
      <c r="P160" s="50">
        <f t="shared" si="34"/>
        <v>2.6499237717880743E-2</v>
      </c>
      <c r="Q160" s="51">
        <f t="shared" si="35"/>
        <v>1.7222686305831632E-2</v>
      </c>
      <c r="R160" s="4">
        <f t="shared" si="30"/>
        <v>-3.8260237323745311E-2</v>
      </c>
      <c r="S160">
        <f t="shared" si="31"/>
        <v>0</v>
      </c>
      <c r="T160">
        <f t="shared" si="32"/>
        <v>0</v>
      </c>
      <c r="U160" s="5">
        <f>0</f>
        <v>0</v>
      </c>
      <c r="V160" s="45">
        <f t="shared" si="36"/>
        <v>5.8275443626031619E-2</v>
      </c>
      <c r="W160" s="45">
        <f t="shared" si="37"/>
        <v>0</v>
      </c>
      <c r="X160" s="45">
        <f t="shared" si="38"/>
        <v>0</v>
      </c>
      <c r="Y160" s="46">
        <f>0</f>
        <v>0</v>
      </c>
      <c r="Z160" s="11"/>
    </row>
    <row r="161" spans="11:26" x14ac:dyDescent="0.45">
      <c r="K161" s="39">
        <f t="shared" si="33"/>
        <v>8.65</v>
      </c>
      <c r="L161" s="40">
        <f t="shared" si="26"/>
        <v>48.65</v>
      </c>
      <c r="M161" s="41">
        <f t="shared" si="27"/>
        <v>43.65</v>
      </c>
      <c r="N161" s="49">
        <f t="shared" si="28"/>
        <v>2.6476411122423781E-2</v>
      </c>
      <c r="O161" s="50">
        <f t="shared" si="29"/>
        <v>1.7207850585001818E-2</v>
      </c>
      <c r="P161" s="50">
        <f t="shared" si="34"/>
        <v>2.6476411122423781E-2</v>
      </c>
      <c r="Q161" s="51">
        <f t="shared" si="35"/>
        <v>1.7207850585001818E-2</v>
      </c>
      <c r="R161" s="4">
        <f t="shared" si="30"/>
        <v>-3.818892597478387E-2</v>
      </c>
      <c r="S161">
        <f t="shared" si="31"/>
        <v>0</v>
      </c>
      <c r="T161">
        <f t="shared" si="32"/>
        <v>0</v>
      </c>
      <c r="U161" s="5">
        <f>0</f>
        <v>0</v>
      </c>
      <c r="V161" s="45">
        <f t="shared" si="36"/>
        <v>5.8658045999269069E-2</v>
      </c>
      <c r="W161" s="45">
        <f t="shared" si="37"/>
        <v>0</v>
      </c>
      <c r="X161" s="45">
        <f t="shared" si="38"/>
        <v>0</v>
      </c>
      <c r="Y161" s="46">
        <f>0</f>
        <v>0</v>
      </c>
      <c r="Z161" s="11"/>
    </row>
    <row r="162" spans="11:26" x14ac:dyDescent="0.45">
      <c r="K162" s="39">
        <f t="shared" si="33"/>
        <v>8.64</v>
      </c>
      <c r="L162" s="40">
        <f t="shared" si="26"/>
        <v>48.64</v>
      </c>
      <c r="M162" s="41">
        <f t="shared" si="27"/>
        <v>43.64</v>
      </c>
      <c r="N162" s="49">
        <f t="shared" si="28"/>
        <v>2.6453604189927184E-2</v>
      </c>
      <c r="O162" s="50">
        <f t="shared" si="29"/>
        <v>1.7193027643747076E-2</v>
      </c>
      <c r="P162" s="50">
        <f t="shared" si="34"/>
        <v>2.6453604189927184E-2</v>
      </c>
      <c r="Q162" s="51">
        <f t="shared" si="35"/>
        <v>1.7193027643747076E-2</v>
      </c>
      <c r="R162" s="4">
        <f t="shared" si="30"/>
        <v>-3.8117740752989134E-2</v>
      </c>
      <c r="S162">
        <f t="shared" si="31"/>
        <v>0</v>
      </c>
      <c r="T162">
        <f t="shared" si="32"/>
        <v>0</v>
      </c>
      <c r="U162" s="5">
        <f>0</f>
        <v>0</v>
      </c>
      <c r="V162" s="45">
        <f t="shared" si="36"/>
        <v>5.9039935259016907E-2</v>
      </c>
      <c r="W162" s="45">
        <f t="shared" si="37"/>
        <v>0</v>
      </c>
      <c r="X162" s="45">
        <f t="shared" si="38"/>
        <v>0</v>
      </c>
      <c r="Y162" s="46">
        <f>0</f>
        <v>0</v>
      </c>
      <c r="Z162" s="11"/>
    </row>
    <row r="163" spans="11:26" x14ac:dyDescent="0.45">
      <c r="K163" s="39">
        <f t="shared" si="33"/>
        <v>8.6300000000000008</v>
      </c>
      <c r="L163" s="40">
        <f t="shared" si="26"/>
        <v>48.63</v>
      </c>
      <c r="M163" s="41">
        <f t="shared" si="27"/>
        <v>43.63</v>
      </c>
      <c r="N163" s="49">
        <f t="shared" si="28"/>
        <v>2.6430816903453103E-2</v>
      </c>
      <c r="O163" s="50">
        <f t="shared" si="29"/>
        <v>1.717821747105901E-2</v>
      </c>
      <c r="P163" s="50">
        <f t="shared" si="34"/>
        <v>2.6430816903453103E-2</v>
      </c>
      <c r="Q163" s="51">
        <f t="shared" si="35"/>
        <v>1.717821747105901E-2</v>
      </c>
      <c r="R163" s="4">
        <f t="shared" si="30"/>
        <v>-3.804668139633758E-2</v>
      </c>
      <c r="S163">
        <f t="shared" si="31"/>
        <v>0</v>
      </c>
      <c r="T163">
        <f t="shared" si="32"/>
        <v>0</v>
      </c>
      <c r="U163" s="5">
        <f>0</f>
        <v>0</v>
      </c>
      <c r="V163" s="45">
        <f t="shared" si="36"/>
        <v>5.9421112666546795E-2</v>
      </c>
      <c r="W163" s="45">
        <f t="shared" si="37"/>
        <v>0</v>
      </c>
      <c r="X163" s="45">
        <f t="shared" si="38"/>
        <v>0</v>
      </c>
      <c r="Y163" s="46">
        <f>0</f>
        <v>0</v>
      </c>
      <c r="Z163" s="11"/>
    </row>
    <row r="164" spans="11:26" x14ac:dyDescent="0.45">
      <c r="K164" s="39">
        <f t="shared" si="33"/>
        <v>8.6199999999999992</v>
      </c>
      <c r="L164" s="40">
        <f t="shared" si="26"/>
        <v>48.62</v>
      </c>
      <c r="M164" s="41">
        <f t="shared" si="27"/>
        <v>43.62</v>
      </c>
      <c r="N164" s="49">
        <f t="shared" si="28"/>
        <v>2.6408049246078355E-2</v>
      </c>
      <c r="O164" s="50">
        <f t="shared" si="29"/>
        <v>1.7163420055938673E-2</v>
      </c>
      <c r="P164" s="50">
        <f t="shared" si="34"/>
        <v>2.6408049246078355E-2</v>
      </c>
      <c r="Q164" s="51">
        <f t="shared" si="35"/>
        <v>1.7163420055938673E-2</v>
      </c>
      <c r="R164" s="4">
        <f t="shared" si="30"/>
        <v>-3.7975747643444344E-2</v>
      </c>
      <c r="S164">
        <f t="shared" si="31"/>
        <v>0</v>
      </c>
      <c r="T164">
        <f t="shared" si="32"/>
        <v>0</v>
      </c>
      <c r="U164" s="5">
        <f>0</f>
        <v>0</v>
      </c>
      <c r="V164" s="45">
        <f t="shared" si="36"/>
        <v>5.9801579480510174E-2</v>
      </c>
      <c r="W164" s="45">
        <f t="shared" si="37"/>
        <v>0</v>
      </c>
      <c r="X164" s="45">
        <f t="shared" si="38"/>
        <v>0</v>
      </c>
      <c r="Y164" s="46">
        <f>0</f>
        <v>0</v>
      </c>
      <c r="Z164" s="11"/>
    </row>
    <row r="165" spans="11:26" x14ac:dyDescent="0.45">
      <c r="K165" s="39">
        <f t="shared" si="33"/>
        <v>8.61</v>
      </c>
      <c r="L165" s="40">
        <f t="shared" si="26"/>
        <v>48.61</v>
      </c>
      <c r="M165" s="41">
        <f t="shared" si="27"/>
        <v>43.61</v>
      </c>
      <c r="N165" s="49">
        <f t="shared" si="28"/>
        <v>2.6385301200894364E-2</v>
      </c>
      <c r="O165" s="50">
        <f t="shared" si="29"/>
        <v>1.7148635387396666E-2</v>
      </c>
      <c r="P165" s="50">
        <f t="shared" si="34"/>
        <v>2.6385301200894364E-2</v>
      </c>
      <c r="Q165" s="51">
        <f t="shared" si="35"/>
        <v>1.7148635387396666E-2</v>
      </c>
      <c r="R165" s="4">
        <f t="shared" si="30"/>
        <v>-3.7904939233561599E-2</v>
      </c>
      <c r="S165">
        <f t="shared" si="31"/>
        <v>0</v>
      </c>
      <c r="T165">
        <f t="shared" si="32"/>
        <v>0</v>
      </c>
      <c r="U165" s="5">
        <f>0</f>
        <v>0</v>
      </c>
      <c r="V165" s="45">
        <f t="shared" si="36"/>
        <v>6.0181336956944616E-2</v>
      </c>
      <c r="W165" s="45">
        <f t="shared" si="37"/>
        <v>0</v>
      </c>
      <c r="X165" s="45">
        <f t="shared" si="38"/>
        <v>0</v>
      </c>
      <c r="Y165" s="46">
        <f>0</f>
        <v>0</v>
      </c>
      <c r="Z165" s="11"/>
    </row>
    <row r="166" spans="11:26" x14ac:dyDescent="0.45">
      <c r="K166" s="39">
        <f t="shared" si="33"/>
        <v>8.6</v>
      </c>
      <c r="L166" s="40">
        <f t="shared" si="26"/>
        <v>48.6</v>
      </c>
      <c r="M166" s="41">
        <f t="shared" si="27"/>
        <v>43.6</v>
      </c>
      <c r="N166" s="49">
        <f t="shared" si="28"/>
        <v>2.6362572751007049E-2</v>
      </c>
      <c r="O166" s="50">
        <f t="shared" si="29"/>
        <v>1.7133863454452995E-2</v>
      </c>
      <c r="P166" s="50">
        <f t="shared" si="34"/>
        <v>2.6362572751007049E-2</v>
      </c>
      <c r="Q166" s="51">
        <f t="shared" si="35"/>
        <v>1.7133863454452995E-2</v>
      </c>
      <c r="R166" s="4">
        <f t="shared" si="30"/>
        <v>-3.7834255906576554E-2</v>
      </c>
      <c r="S166">
        <f t="shared" si="31"/>
        <v>0</v>
      </c>
      <c r="T166">
        <f t="shared" si="32"/>
        <v>0</v>
      </c>
      <c r="U166" s="5">
        <f>0</f>
        <v>0</v>
      </c>
      <c r="V166" s="45">
        <f t="shared" si="36"/>
        <v>6.0560386349280231E-2</v>
      </c>
      <c r="W166" s="45">
        <f t="shared" si="37"/>
        <v>0</v>
      </c>
      <c r="X166" s="45">
        <f t="shared" si="38"/>
        <v>0</v>
      </c>
      <c r="Y166" s="46">
        <f>0</f>
        <v>0</v>
      </c>
      <c r="Z166" s="11"/>
    </row>
    <row r="167" spans="11:26" x14ac:dyDescent="0.45">
      <c r="K167" s="39">
        <f t="shared" si="33"/>
        <v>8.59</v>
      </c>
      <c r="L167" s="40">
        <f t="shared" si="26"/>
        <v>48.59</v>
      </c>
      <c r="M167" s="41">
        <f t="shared" si="27"/>
        <v>43.59</v>
      </c>
      <c r="N167" s="49">
        <f t="shared" si="28"/>
        <v>2.6339863879536917E-2</v>
      </c>
      <c r="O167" s="50">
        <f t="shared" si="29"/>
        <v>1.7119104246137141E-2</v>
      </c>
      <c r="P167" s="50">
        <f t="shared" si="34"/>
        <v>2.6339863879536917E-2</v>
      </c>
      <c r="Q167" s="51">
        <f t="shared" si="35"/>
        <v>1.7119104246137141E-2</v>
      </c>
      <c r="R167" s="4">
        <f t="shared" si="30"/>
        <v>-3.776369740300986E-2</v>
      </c>
      <c r="S167">
        <f t="shared" si="31"/>
        <v>0</v>
      </c>
      <c r="T167">
        <f t="shared" si="32"/>
        <v>0</v>
      </c>
      <c r="U167" s="5">
        <f>0</f>
        <v>0</v>
      </c>
      <c r="V167" s="45">
        <f t="shared" si="36"/>
        <v>6.0938728908345993E-2</v>
      </c>
      <c r="W167" s="45">
        <f t="shared" si="37"/>
        <v>0</v>
      </c>
      <c r="X167" s="45">
        <f t="shared" si="38"/>
        <v>0</v>
      </c>
      <c r="Y167" s="46">
        <f>0</f>
        <v>0</v>
      </c>
      <c r="Z167" s="11"/>
    </row>
    <row r="168" spans="11:26" x14ac:dyDescent="0.45">
      <c r="K168" s="39">
        <f t="shared" si="33"/>
        <v>8.58</v>
      </c>
      <c r="L168" s="40">
        <f t="shared" si="26"/>
        <v>48.58</v>
      </c>
      <c r="M168" s="41">
        <f t="shared" si="27"/>
        <v>43.58</v>
      </c>
      <c r="N168" s="49">
        <f t="shared" si="28"/>
        <v>2.6317174569618993E-2</v>
      </c>
      <c r="O168" s="50">
        <f t="shared" si="29"/>
        <v>1.7104357751488018E-2</v>
      </c>
      <c r="P168" s="50">
        <f t="shared" si="34"/>
        <v>2.6317174569618993E-2</v>
      </c>
      <c r="Q168" s="51">
        <f t="shared" si="35"/>
        <v>1.7104357751488018E-2</v>
      </c>
      <c r="R168" s="4">
        <f t="shared" si="30"/>
        <v>-3.7693263464013797E-2</v>
      </c>
      <c r="S168">
        <f t="shared" si="31"/>
        <v>0</v>
      </c>
      <c r="T168">
        <f t="shared" si="32"/>
        <v>0</v>
      </c>
      <c r="U168" s="5">
        <f>0</f>
        <v>0</v>
      </c>
      <c r="V168" s="45">
        <f t="shared" si="36"/>
        <v>6.1316365882376093E-2</v>
      </c>
      <c r="W168" s="45">
        <f t="shared" si="37"/>
        <v>0</v>
      </c>
      <c r="X168" s="45">
        <f t="shared" si="38"/>
        <v>0</v>
      </c>
      <c r="Y168" s="46">
        <f>0</f>
        <v>0</v>
      </c>
      <c r="Z168" s="11"/>
    </row>
    <row r="169" spans="11:26" x14ac:dyDescent="0.45">
      <c r="K169" s="39">
        <f t="shared" si="33"/>
        <v>8.57</v>
      </c>
      <c r="L169" s="40">
        <f t="shared" si="26"/>
        <v>48.57</v>
      </c>
      <c r="M169" s="41">
        <f t="shared" si="27"/>
        <v>43.57</v>
      </c>
      <c r="N169" s="49">
        <f t="shared" si="28"/>
        <v>2.6294504804402864E-2</v>
      </c>
      <c r="O169" s="50">
        <f t="shared" si="29"/>
        <v>1.7089623959554046E-2</v>
      </c>
      <c r="P169" s="50">
        <f t="shared" si="34"/>
        <v>2.6294504804402864E-2</v>
      </c>
      <c r="Q169" s="51">
        <f t="shared" si="35"/>
        <v>1.7089623959554046E-2</v>
      </c>
      <c r="R169" s="4">
        <f t="shared" si="30"/>
        <v>-3.7622953831370633E-2</v>
      </c>
      <c r="S169">
        <f t="shared" si="31"/>
        <v>0</v>
      </c>
      <c r="T169">
        <f t="shared" si="32"/>
        <v>0</v>
      </c>
      <c r="U169" s="5">
        <f>0</f>
        <v>0</v>
      </c>
      <c r="V169" s="45">
        <f t="shared" si="36"/>
        <v>6.1693298517016229E-2</v>
      </c>
      <c r="W169" s="45">
        <f t="shared" si="37"/>
        <v>0</v>
      </c>
      <c r="X169" s="45">
        <f t="shared" si="38"/>
        <v>0</v>
      </c>
      <c r="Y169" s="46">
        <f>0</f>
        <v>0</v>
      </c>
      <c r="Z169" s="11"/>
    </row>
    <row r="170" spans="11:26" x14ac:dyDescent="0.45">
      <c r="K170" s="39">
        <f t="shared" si="33"/>
        <v>8.56</v>
      </c>
      <c r="L170" s="40">
        <f t="shared" si="26"/>
        <v>48.56</v>
      </c>
      <c r="M170" s="41">
        <f t="shared" si="27"/>
        <v>43.56</v>
      </c>
      <c r="N170" s="49">
        <f t="shared" si="28"/>
        <v>2.6271854567052597E-2</v>
      </c>
      <c r="O170" s="50">
        <f t="shared" si="29"/>
        <v>1.7074902859393001E-2</v>
      </c>
      <c r="P170" s="50">
        <f t="shared" si="34"/>
        <v>2.6271854567052597E-2</v>
      </c>
      <c r="Q170" s="51">
        <f t="shared" si="35"/>
        <v>1.7074902859393001E-2</v>
      </c>
      <c r="R170" s="4">
        <f t="shared" si="30"/>
        <v>-3.7552768247490757E-2</v>
      </c>
      <c r="S170">
        <f t="shared" si="31"/>
        <v>0</v>
      </c>
      <c r="T170">
        <f t="shared" si="32"/>
        <v>0</v>
      </c>
      <c r="U170" s="5">
        <f>0</f>
        <v>0</v>
      </c>
      <c r="V170" s="45">
        <f t="shared" si="36"/>
        <v>6.2069528055329934E-2</v>
      </c>
      <c r="W170" s="45">
        <f t="shared" si="37"/>
        <v>0</v>
      </c>
      <c r="X170" s="45">
        <f t="shared" si="38"/>
        <v>0</v>
      </c>
      <c r="Y170" s="46">
        <f>0</f>
        <v>0</v>
      </c>
      <c r="Z170" s="11"/>
    </row>
    <row r="171" spans="11:26" x14ac:dyDescent="0.45">
      <c r="K171" s="39">
        <f t="shared" si="33"/>
        <v>8.5500000000000007</v>
      </c>
      <c r="L171" s="40">
        <f t="shared" si="26"/>
        <v>48.55</v>
      </c>
      <c r="M171" s="41">
        <f t="shared" si="27"/>
        <v>43.55</v>
      </c>
      <c r="N171" s="49">
        <f t="shared" si="28"/>
        <v>2.6249223840746749E-2</v>
      </c>
      <c r="O171" s="50">
        <f t="shared" si="29"/>
        <v>1.7060194440072111E-2</v>
      </c>
      <c r="P171" s="50">
        <f t="shared" si="34"/>
        <v>2.6249223840746749E-2</v>
      </c>
      <c r="Q171" s="51">
        <f t="shared" si="35"/>
        <v>1.7060194440072111E-2</v>
      </c>
      <c r="R171" s="4">
        <f t="shared" si="30"/>
        <v>-3.7482706455410977E-2</v>
      </c>
      <c r="S171">
        <f t="shared" si="31"/>
        <v>0</v>
      </c>
      <c r="T171">
        <f t="shared" si="32"/>
        <v>0</v>
      </c>
      <c r="U171" s="5">
        <f>0</f>
        <v>0</v>
      </c>
      <c r="V171" s="45">
        <f t="shared" si="36"/>
        <v>6.2445055737804844E-2</v>
      </c>
      <c r="W171" s="45">
        <f t="shared" si="37"/>
        <v>0</v>
      </c>
      <c r="X171" s="45">
        <f t="shared" si="38"/>
        <v>0</v>
      </c>
      <c r="Y171" s="46">
        <f>0</f>
        <v>0</v>
      </c>
      <c r="Z171" s="11"/>
    </row>
    <row r="172" spans="11:26" x14ac:dyDescent="0.45">
      <c r="K172" s="39">
        <f t="shared" si="33"/>
        <v>8.5399999999999991</v>
      </c>
      <c r="L172" s="40">
        <f t="shared" si="26"/>
        <v>48.54</v>
      </c>
      <c r="M172" s="41">
        <f t="shared" si="27"/>
        <v>43.54</v>
      </c>
      <c r="N172" s="49">
        <f t="shared" si="28"/>
        <v>2.6226612608678455E-2</v>
      </c>
      <c r="O172" s="50">
        <f t="shared" si="29"/>
        <v>1.7045498690668053E-2</v>
      </c>
      <c r="P172" s="50">
        <f t="shared" si="34"/>
        <v>2.6226612608678455E-2</v>
      </c>
      <c r="Q172" s="51">
        <f t="shared" si="35"/>
        <v>1.7045498690668053E-2</v>
      </c>
      <c r="R172" s="4">
        <f t="shared" si="30"/>
        <v>-3.7412768198792981E-2</v>
      </c>
      <c r="S172">
        <f t="shared" si="31"/>
        <v>0</v>
      </c>
      <c r="T172">
        <f t="shared" si="32"/>
        <v>0</v>
      </c>
      <c r="U172" s="5">
        <f>0</f>
        <v>0</v>
      </c>
      <c r="V172" s="45">
        <f t="shared" si="36"/>
        <v>6.2819882802358951E-2</v>
      </c>
      <c r="W172" s="45">
        <f t="shared" si="37"/>
        <v>0</v>
      </c>
      <c r="X172" s="45">
        <f t="shared" si="38"/>
        <v>0</v>
      </c>
      <c r="Y172" s="46">
        <f>0</f>
        <v>0</v>
      </c>
      <c r="Z172" s="11"/>
    </row>
    <row r="173" spans="11:26" x14ac:dyDescent="0.45">
      <c r="K173" s="39">
        <f t="shared" si="33"/>
        <v>8.5299999999999994</v>
      </c>
      <c r="L173" s="40">
        <f t="shared" si="26"/>
        <v>48.53</v>
      </c>
      <c r="M173" s="41">
        <f t="shared" si="27"/>
        <v>43.53</v>
      </c>
      <c r="N173" s="49">
        <f t="shared" si="28"/>
        <v>2.6204020854055234E-2</v>
      </c>
      <c r="O173" s="50">
        <f t="shared" si="29"/>
        <v>1.7030815600266872E-2</v>
      </c>
      <c r="P173" s="50">
        <f t="shared" si="34"/>
        <v>2.6204020854055234E-2</v>
      </c>
      <c r="Q173" s="51">
        <f t="shared" si="35"/>
        <v>1.7030815600266872E-2</v>
      </c>
      <c r="R173" s="4">
        <f t="shared" si="30"/>
        <v>-3.7342953221921306E-2</v>
      </c>
      <c r="S173">
        <f t="shared" si="31"/>
        <v>0</v>
      </c>
      <c r="T173">
        <f t="shared" si="32"/>
        <v>0</v>
      </c>
      <c r="U173" s="5">
        <f>0</f>
        <v>0</v>
      </c>
      <c r="V173" s="45">
        <f t="shared" si="36"/>
        <v>6.3194010484346877E-2</v>
      </c>
      <c r="W173" s="45">
        <f t="shared" si="37"/>
        <v>0</v>
      </c>
      <c r="X173" s="45">
        <f t="shared" si="38"/>
        <v>0</v>
      </c>
      <c r="Y173" s="46">
        <f>0</f>
        <v>0</v>
      </c>
      <c r="Z173" s="11"/>
    </row>
    <row r="174" spans="11:26" x14ac:dyDescent="0.45">
      <c r="K174" s="39">
        <f t="shared" si="33"/>
        <v>8.52</v>
      </c>
      <c r="L174" s="40">
        <f t="shared" si="26"/>
        <v>48.519999999999996</v>
      </c>
      <c r="M174" s="41">
        <f t="shared" si="27"/>
        <v>43.519999999999996</v>
      </c>
      <c r="N174" s="49">
        <f t="shared" si="28"/>
        <v>2.6181448560099109E-2</v>
      </c>
      <c r="O174" s="50">
        <f t="shared" si="29"/>
        <v>1.7016145157964024E-2</v>
      </c>
      <c r="P174" s="50">
        <f t="shared" si="34"/>
        <v>2.6181448560099109E-2</v>
      </c>
      <c r="Q174" s="51">
        <f t="shared" si="35"/>
        <v>1.7016145157964024E-2</v>
      </c>
      <c r="R174" s="4">
        <f t="shared" si="30"/>
        <v>-3.727326126970186E-2</v>
      </c>
      <c r="S174">
        <f t="shared" si="31"/>
        <v>0</v>
      </c>
      <c r="T174">
        <f t="shared" si="32"/>
        <v>0</v>
      </c>
      <c r="U174" s="5">
        <f>0</f>
        <v>0</v>
      </c>
      <c r="V174" s="45">
        <f t="shared" si="36"/>
        <v>6.3567440016566085E-2</v>
      </c>
      <c r="W174" s="45">
        <f t="shared" si="37"/>
        <v>0</v>
      </c>
      <c r="X174" s="45">
        <f t="shared" si="38"/>
        <v>0</v>
      </c>
      <c r="Y174" s="46">
        <f>0</f>
        <v>0</v>
      </c>
      <c r="Z174" s="11"/>
    </row>
    <row r="175" spans="11:26" x14ac:dyDescent="0.45">
      <c r="K175" s="39">
        <f t="shared" si="33"/>
        <v>8.51</v>
      </c>
      <c r="L175" s="40">
        <f t="shared" si="26"/>
        <v>48.51</v>
      </c>
      <c r="M175" s="41">
        <f t="shared" si="27"/>
        <v>43.51</v>
      </c>
      <c r="N175" s="49">
        <f t="shared" si="28"/>
        <v>2.6158895710046547E-2</v>
      </c>
      <c r="O175" s="50">
        <f t="shared" si="29"/>
        <v>1.7001487352864386E-2</v>
      </c>
      <c r="P175" s="50">
        <f t="shared" si="34"/>
        <v>2.6158895710046547E-2</v>
      </c>
      <c r="Q175" s="51">
        <f t="shared" si="35"/>
        <v>1.7001487352864386E-2</v>
      </c>
      <c r="R175" s="4">
        <f t="shared" si="30"/>
        <v>-3.7203692087660133E-2</v>
      </c>
      <c r="S175">
        <f t="shared" si="31"/>
        <v>0</v>
      </c>
      <c r="T175">
        <f t="shared" si="32"/>
        <v>0</v>
      </c>
      <c r="U175" s="5">
        <f>0</f>
        <v>0</v>
      </c>
      <c r="V175" s="45">
        <f t="shared" si="36"/>
        <v>6.3940172629263103E-2</v>
      </c>
      <c r="W175" s="45">
        <f t="shared" si="37"/>
        <v>0</v>
      </c>
      <c r="X175" s="45">
        <f t="shared" si="38"/>
        <v>0</v>
      </c>
      <c r="Y175" s="46">
        <f>0</f>
        <v>0</v>
      </c>
      <c r="Z175" s="11"/>
    </row>
    <row r="176" spans="11:26" x14ac:dyDescent="0.45">
      <c r="K176" s="39">
        <f t="shared" si="33"/>
        <v>8.5</v>
      </c>
      <c r="L176" s="40">
        <f t="shared" si="26"/>
        <v>48.5</v>
      </c>
      <c r="M176" s="41">
        <f t="shared" si="27"/>
        <v>43.5</v>
      </c>
      <c r="N176" s="49">
        <f t="shared" si="28"/>
        <v>2.6136362287148458E-2</v>
      </c>
      <c r="O176" s="50">
        <f t="shared" si="29"/>
        <v>1.6986842174082181E-2</v>
      </c>
      <c r="P176" s="50">
        <f t="shared" si="34"/>
        <v>2.6136362287148458E-2</v>
      </c>
      <c r="Q176" s="51">
        <f t="shared" si="35"/>
        <v>1.6986842174082181E-2</v>
      </c>
      <c r="R176" s="4">
        <f t="shared" si="30"/>
        <v>-3.7134245421939466E-2</v>
      </c>
      <c r="S176">
        <f t="shared" si="31"/>
        <v>0</v>
      </c>
      <c r="T176">
        <f t="shared" si="32"/>
        <v>0</v>
      </c>
      <c r="U176" s="5">
        <f>0</f>
        <v>0</v>
      </c>
      <c r="V176" s="45">
        <f t="shared" si="36"/>
        <v>6.4312209550139707E-2</v>
      </c>
      <c r="W176" s="45">
        <f t="shared" si="37"/>
        <v>0</v>
      </c>
      <c r="X176" s="45">
        <f t="shared" si="38"/>
        <v>0</v>
      </c>
      <c r="Y176" s="46">
        <f>0</f>
        <v>0</v>
      </c>
      <c r="Z176" s="11"/>
    </row>
    <row r="177" spans="11:26" x14ac:dyDescent="0.45">
      <c r="K177" s="39">
        <f t="shared" si="33"/>
        <v>8.49</v>
      </c>
      <c r="L177" s="40">
        <f t="shared" si="26"/>
        <v>48.49</v>
      </c>
      <c r="M177" s="41">
        <f t="shared" si="27"/>
        <v>43.49</v>
      </c>
      <c r="N177" s="49">
        <f t="shared" si="28"/>
        <v>2.6113848274670177E-2</v>
      </c>
      <c r="O177" s="50">
        <f t="shared" si="29"/>
        <v>1.6972209610741036E-2</v>
      </c>
      <c r="P177" s="50">
        <f t="shared" si="34"/>
        <v>2.6113848274670177E-2</v>
      </c>
      <c r="Q177" s="51">
        <f t="shared" si="35"/>
        <v>1.6972209610741036E-2</v>
      </c>
      <c r="R177" s="4">
        <f t="shared" si="30"/>
        <v>-3.7064921019299431E-2</v>
      </c>
      <c r="S177">
        <f t="shared" si="31"/>
        <v>0</v>
      </c>
      <c r="T177">
        <f t="shared" si="32"/>
        <v>0</v>
      </c>
      <c r="U177" s="5">
        <f>0</f>
        <v>0</v>
      </c>
      <c r="V177" s="45">
        <f t="shared" si="36"/>
        <v>6.4683552004359102E-2</v>
      </c>
      <c r="W177" s="45">
        <f t="shared" si="37"/>
        <v>0</v>
      </c>
      <c r="X177" s="45">
        <f t="shared" si="38"/>
        <v>0</v>
      </c>
      <c r="Y177" s="46">
        <f>0</f>
        <v>0</v>
      </c>
      <c r="Z177" s="11"/>
    </row>
    <row r="178" spans="11:26" x14ac:dyDescent="0.45">
      <c r="K178" s="39">
        <f t="shared" si="33"/>
        <v>8.48</v>
      </c>
      <c r="L178" s="40">
        <f t="shared" si="26"/>
        <v>48.480000000000004</v>
      </c>
      <c r="M178" s="41">
        <f t="shared" si="27"/>
        <v>43.480000000000004</v>
      </c>
      <c r="N178" s="49">
        <f t="shared" si="28"/>
        <v>2.609135365589146E-2</v>
      </c>
      <c r="O178" s="50">
        <f t="shared" si="29"/>
        <v>1.6957589651973932E-2</v>
      </c>
      <c r="P178" s="50">
        <f t="shared" si="34"/>
        <v>2.609135365589146E-2</v>
      </c>
      <c r="Q178" s="51">
        <f t="shared" si="35"/>
        <v>1.6957589651973932E-2</v>
      </c>
      <c r="R178" s="4">
        <f t="shared" si="30"/>
        <v>-3.6995718627114073E-2</v>
      </c>
      <c r="S178">
        <f t="shared" si="31"/>
        <v>0</v>
      </c>
      <c r="T178">
        <f t="shared" si="32"/>
        <v>0</v>
      </c>
      <c r="U178" s="5">
        <f>0</f>
        <v>0</v>
      </c>
      <c r="V178" s="45">
        <f t="shared" si="36"/>
        <v>6.505420121455209E-2</v>
      </c>
      <c r="W178" s="45">
        <f t="shared" si="37"/>
        <v>0</v>
      </c>
      <c r="X178" s="45">
        <f t="shared" si="38"/>
        <v>0</v>
      </c>
      <c r="Y178" s="46">
        <f>0</f>
        <v>0</v>
      </c>
      <c r="Z178" s="11"/>
    </row>
    <row r="179" spans="11:26" x14ac:dyDescent="0.45">
      <c r="K179" s="39">
        <f t="shared" si="33"/>
        <v>8.4700000000000006</v>
      </c>
      <c r="L179" s="40">
        <f t="shared" si="26"/>
        <v>48.47</v>
      </c>
      <c r="M179" s="41">
        <f t="shared" si="27"/>
        <v>43.47</v>
      </c>
      <c r="N179" s="49">
        <f t="shared" si="28"/>
        <v>2.606887841410644E-2</v>
      </c>
      <c r="O179" s="50">
        <f t="shared" si="29"/>
        <v>1.694298228692321E-2</v>
      </c>
      <c r="P179" s="50">
        <f t="shared" si="34"/>
        <v>2.606887841410644E-2</v>
      </c>
      <c r="Q179" s="51">
        <f t="shared" si="35"/>
        <v>1.694298228692321E-2</v>
      </c>
      <c r="R179" s="4">
        <f t="shared" si="30"/>
        <v>-3.6926637993370183E-2</v>
      </c>
      <c r="S179">
        <f t="shared" si="31"/>
        <v>0</v>
      </c>
      <c r="T179">
        <f t="shared" si="32"/>
        <v>0</v>
      </c>
      <c r="U179" s="5">
        <f>0</f>
        <v>0</v>
      </c>
      <c r="V179" s="45">
        <f t="shared" si="36"/>
        <v>6.5424158400823232E-2</v>
      </c>
      <c r="W179" s="45">
        <f t="shared" si="37"/>
        <v>0</v>
      </c>
      <c r="X179" s="45">
        <f t="shared" si="38"/>
        <v>0</v>
      </c>
      <c r="Y179" s="46">
        <f>0</f>
        <v>0</v>
      </c>
      <c r="Z179" s="11"/>
    </row>
    <row r="180" spans="11:26" x14ac:dyDescent="0.45">
      <c r="K180" s="39">
        <f t="shared" si="33"/>
        <v>8.4600000000000009</v>
      </c>
      <c r="L180" s="40">
        <f t="shared" si="26"/>
        <v>48.46</v>
      </c>
      <c r="M180" s="41">
        <f t="shared" si="27"/>
        <v>43.46</v>
      </c>
      <c r="N180" s="49">
        <f t="shared" si="28"/>
        <v>2.6046422532623705E-2</v>
      </c>
      <c r="O180" s="50">
        <f t="shared" si="29"/>
        <v>1.6928387504740586E-2</v>
      </c>
      <c r="P180" s="50">
        <f t="shared" si="34"/>
        <v>2.6046422532623705E-2</v>
      </c>
      <c r="Q180" s="51">
        <f t="shared" si="35"/>
        <v>1.6928387504740586E-2</v>
      </c>
      <c r="R180" s="4">
        <f t="shared" si="30"/>
        <v>-3.6857678866665806E-2</v>
      </c>
      <c r="S180">
        <f t="shared" si="31"/>
        <v>0</v>
      </c>
      <c r="T180">
        <f t="shared" si="32"/>
        <v>0</v>
      </c>
      <c r="U180" s="5">
        <f>0</f>
        <v>0</v>
      </c>
      <c r="V180" s="45">
        <f t="shared" si="36"/>
        <v>6.5793424780756934E-2</v>
      </c>
      <c r="W180" s="45">
        <f t="shared" si="37"/>
        <v>0</v>
      </c>
      <c r="X180" s="45">
        <f t="shared" si="38"/>
        <v>0</v>
      </c>
      <c r="Y180" s="46">
        <f>0</f>
        <v>0</v>
      </c>
      <c r="Z180" s="11"/>
    </row>
    <row r="181" spans="11:26" x14ac:dyDescent="0.45">
      <c r="K181" s="39">
        <f t="shared" si="33"/>
        <v>8.4499999999999993</v>
      </c>
      <c r="L181" s="40">
        <f t="shared" si="26"/>
        <v>48.45</v>
      </c>
      <c r="M181" s="41">
        <f t="shared" si="27"/>
        <v>43.45</v>
      </c>
      <c r="N181" s="49">
        <f t="shared" si="28"/>
        <v>2.6023985994766161E-2</v>
      </c>
      <c r="O181" s="50">
        <f t="shared" si="29"/>
        <v>1.6913805294587098E-2</v>
      </c>
      <c r="P181" s="50">
        <f t="shared" si="34"/>
        <v>2.6023985994766161E-2</v>
      </c>
      <c r="Q181" s="51">
        <f t="shared" si="35"/>
        <v>1.6913805294587098E-2</v>
      </c>
      <c r="R181" s="4">
        <f t="shared" si="30"/>
        <v>-3.6788840996208313E-2</v>
      </c>
      <c r="S181">
        <f t="shared" si="31"/>
        <v>0</v>
      </c>
      <c r="T181">
        <f t="shared" si="32"/>
        <v>0</v>
      </c>
      <c r="U181" s="5">
        <f>0</f>
        <v>0</v>
      </c>
      <c r="V181" s="45">
        <f t="shared" si="36"/>
        <v>6.616200156942359E-2</v>
      </c>
      <c r="W181" s="45">
        <f t="shared" si="37"/>
        <v>0</v>
      </c>
      <c r="X181" s="45">
        <f t="shared" si="38"/>
        <v>0</v>
      </c>
      <c r="Y181" s="46">
        <f>0</f>
        <v>0</v>
      </c>
      <c r="Z181" s="11"/>
    </row>
    <row r="182" spans="11:26" x14ac:dyDescent="0.45">
      <c r="K182" s="39">
        <f t="shared" si="33"/>
        <v>8.44</v>
      </c>
      <c r="L182" s="40">
        <f t="shared" si="26"/>
        <v>48.44</v>
      </c>
      <c r="M182" s="41">
        <f t="shared" si="27"/>
        <v>43.44</v>
      </c>
      <c r="N182" s="49">
        <f t="shared" si="28"/>
        <v>2.6001568783871103E-2</v>
      </c>
      <c r="O182" s="50">
        <f t="shared" si="29"/>
        <v>1.6899235645633118E-2</v>
      </c>
      <c r="P182" s="50">
        <f t="shared" si="34"/>
        <v>2.6001568783871103E-2</v>
      </c>
      <c r="Q182" s="51">
        <f t="shared" si="35"/>
        <v>1.6899235645633118E-2</v>
      </c>
      <c r="R182" s="4">
        <f t="shared" si="30"/>
        <v>-3.672012413181288E-2</v>
      </c>
      <c r="S182">
        <f t="shared" si="31"/>
        <v>0</v>
      </c>
      <c r="T182">
        <f t="shared" si="32"/>
        <v>0</v>
      </c>
      <c r="U182" s="5">
        <f>0</f>
        <v>0</v>
      </c>
      <c r="V182" s="45">
        <f t="shared" si="36"/>
        <v>6.6529889979385679E-2</v>
      </c>
      <c r="W182" s="45">
        <f t="shared" si="37"/>
        <v>0</v>
      </c>
      <c r="X182" s="45">
        <f t="shared" si="38"/>
        <v>0</v>
      </c>
      <c r="Y182" s="46">
        <f>0</f>
        <v>0</v>
      </c>
      <c r="Z182" s="11"/>
    </row>
    <row r="183" spans="11:26" x14ac:dyDescent="0.45">
      <c r="K183" s="39">
        <f t="shared" si="33"/>
        <v>8.43</v>
      </c>
      <c r="L183" s="40">
        <f t="shared" si="26"/>
        <v>48.43</v>
      </c>
      <c r="M183" s="41">
        <f t="shared" si="27"/>
        <v>43.43</v>
      </c>
      <c r="N183" s="49">
        <f t="shared" si="28"/>
        <v>2.5979170883290166E-2</v>
      </c>
      <c r="O183" s="50">
        <f t="shared" si="29"/>
        <v>1.6884678547058378E-2</v>
      </c>
      <c r="P183" s="50">
        <f t="shared" si="34"/>
        <v>2.5979170883290166E-2</v>
      </c>
      <c r="Q183" s="51">
        <f t="shared" si="35"/>
        <v>1.6884678547058378E-2</v>
      </c>
      <c r="R183" s="4">
        <f t="shared" si="30"/>
        <v>-3.6651528023900808E-2</v>
      </c>
      <c r="S183">
        <f t="shared" si="31"/>
        <v>0</v>
      </c>
      <c r="T183">
        <f t="shared" si="32"/>
        <v>0</v>
      </c>
      <c r="U183" s="5">
        <f>0</f>
        <v>0</v>
      </c>
      <c r="V183" s="45">
        <f t="shared" si="36"/>
        <v>6.6897091220703808E-2</v>
      </c>
      <c r="W183" s="45">
        <f t="shared" si="37"/>
        <v>0</v>
      </c>
      <c r="X183" s="45">
        <f t="shared" si="38"/>
        <v>0</v>
      </c>
      <c r="Y183" s="46">
        <f>0</f>
        <v>0</v>
      </c>
      <c r="Z183" s="11"/>
    </row>
    <row r="184" spans="11:26" x14ac:dyDescent="0.45">
      <c r="K184" s="39">
        <f t="shared" si="33"/>
        <v>8.42</v>
      </c>
      <c r="L184" s="40">
        <f t="shared" si="26"/>
        <v>48.42</v>
      </c>
      <c r="M184" s="41">
        <f t="shared" si="27"/>
        <v>43.42</v>
      </c>
      <c r="N184" s="49">
        <f t="shared" si="28"/>
        <v>2.5956792276389331E-2</v>
      </c>
      <c r="O184" s="50">
        <f t="shared" si="29"/>
        <v>1.6870133988051896E-2</v>
      </c>
      <c r="P184" s="50">
        <f t="shared" si="34"/>
        <v>2.5956792276389331E-2</v>
      </c>
      <c r="Q184" s="51">
        <f t="shared" si="35"/>
        <v>1.6870133988051896E-2</v>
      </c>
      <c r="R184" s="4">
        <f t="shared" si="30"/>
        <v>-3.6583052423497818E-2</v>
      </c>
      <c r="S184">
        <f t="shared" si="31"/>
        <v>0</v>
      </c>
      <c r="T184">
        <f t="shared" si="32"/>
        <v>0</v>
      </c>
      <c r="U184" s="5">
        <f>0</f>
        <v>0</v>
      </c>
      <c r="V184" s="45">
        <f t="shared" si="36"/>
        <v>6.7263606500942819E-2</v>
      </c>
      <c r="W184" s="45">
        <f t="shared" si="37"/>
        <v>0</v>
      </c>
      <c r="X184" s="45">
        <f t="shared" si="38"/>
        <v>0</v>
      </c>
      <c r="Y184" s="46">
        <f>0</f>
        <v>0</v>
      </c>
      <c r="Z184" s="11"/>
    </row>
    <row r="185" spans="11:26" x14ac:dyDescent="0.45">
      <c r="K185" s="39">
        <f t="shared" si="33"/>
        <v>8.41</v>
      </c>
      <c r="L185" s="40">
        <f t="shared" si="26"/>
        <v>48.41</v>
      </c>
      <c r="M185" s="41">
        <f t="shared" si="27"/>
        <v>43.41</v>
      </c>
      <c r="N185" s="49">
        <f t="shared" si="28"/>
        <v>2.5934432946548902E-2</v>
      </c>
      <c r="O185" s="50">
        <f t="shared" si="29"/>
        <v>1.6855601957812012E-2</v>
      </c>
      <c r="P185" s="50">
        <f t="shared" si="34"/>
        <v>2.5934432946548902E-2</v>
      </c>
      <c r="Q185" s="51">
        <f t="shared" si="35"/>
        <v>1.6855601957812012E-2</v>
      </c>
      <c r="R185" s="4">
        <f t="shared" si="30"/>
        <v>-3.6514697082232393E-2</v>
      </c>
      <c r="S185">
        <f t="shared" si="31"/>
        <v>0</v>
      </c>
      <c r="T185">
        <f t="shared" si="32"/>
        <v>0</v>
      </c>
      <c r="U185" s="5">
        <f>0</f>
        <v>0</v>
      </c>
      <c r="V185" s="45">
        <f t="shared" si="36"/>
        <v>6.7629437025177791E-2</v>
      </c>
      <c r="W185" s="45">
        <f t="shared" si="37"/>
        <v>0</v>
      </c>
      <c r="X185" s="45">
        <f t="shared" si="38"/>
        <v>0</v>
      </c>
      <c r="Y185" s="46">
        <f>0</f>
        <v>0</v>
      </c>
      <c r="Z185" s="11"/>
    </row>
    <row r="186" spans="11:26" x14ac:dyDescent="0.45">
      <c r="K186" s="39">
        <f t="shared" si="33"/>
        <v>8.4</v>
      </c>
      <c r="L186" s="40">
        <f t="shared" si="26"/>
        <v>48.4</v>
      </c>
      <c r="M186" s="41">
        <f t="shared" si="27"/>
        <v>43.4</v>
      </c>
      <c r="N186" s="49">
        <f t="shared" si="28"/>
        <v>2.5912092877163544E-2</v>
      </c>
      <c r="O186" s="50">
        <f t="shared" si="29"/>
        <v>1.6841082445546385E-2</v>
      </c>
      <c r="P186" s="50">
        <f t="shared" si="34"/>
        <v>2.5912092877163544E-2</v>
      </c>
      <c r="Q186" s="51">
        <f t="shared" si="35"/>
        <v>1.6841082445546385E-2</v>
      </c>
      <c r="R186" s="4">
        <f t="shared" si="30"/>
        <v>-3.6446461752334201E-2</v>
      </c>
      <c r="S186">
        <f t="shared" si="31"/>
        <v>0</v>
      </c>
      <c r="T186">
        <f t="shared" si="32"/>
        <v>0</v>
      </c>
      <c r="U186" s="5">
        <f>0</f>
        <v>0</v>
      </c>
      <c r="V186" s="45">
        <f t="shared" si="36"/>
        <v>6.7994583996000113E-2</v>
      </c>
      <c r="W186" s="45">
        <f t="shared" si="37"/>
        <v>0</v>
      </c>
      <c r="X186" s="45">
        <f t="shared" si="38"/>
        <v>0</v>
      </c>
      <c r="Y186" s="46">
        <f>0</f>
        <v>0</v>
      </c>
      <c r="Z186" s="11"/>
    </row>
    <row r="187" spans="11:26" x14ac:dyDescent="0.45">
      <c r="K187" s="39">
        <f t="shared" si="33"/>
        <v>8.39</v>
      </c>
      <c r="L187" s="40">
        <f t="shared" si="26"/>
        <v>48.39</v>
      </c>
      <c r="M187" s="41">
        <f t="shared" si="27"/>
        <v>43.39</v>
      </c>
      <c r="N187" s="49">
        <f t="shared" si="28"/>
        <v>2.5889772051642172E-2</v>
      </c>
      <c r="O187" s="50">
        <f t="shared" si="29"/>
        <v>1.6826575440471954E-2</v>
      </c>
      <c r="P187" s="50">
        <f t="shared" si="34"/>
        <v>2.5889772051642172E-2</v>
      </c>
      <c r="Q187" s="51">
        <f t="shared" si="35"/>
        <v>1.6826575440471954E-2</v>
      </c>
      <c r="R187" s="4">
        <f t="shared" si="30"/>
        <v>-3.6378346186632361E-2</v>
      </c>
      <c r="S187">
        <f t="shared" si="31"/>
        <v>0</v>
      </c>
      <c r="T187">
        <f t="shared" si="32"/>
        <v>0</v>
      </c>
      <c r="U187" s="5">
        <f>0</f>
        <v>0</v>
      </c>
      <c r="V187" s="45">
        <f t="shared" si="36"/>
        <v>6.835904861352346E-2</v>
      </c>
      <c r="W187" s="45">
        <f t="shared" si="37"/>
        <v>0</v>
      </c>
      <c r="X187" s="45">
        <f t="shared" si="38"/>
        <v>0</v>
      </c>
      <c r="Y187" s="46">
        <f>0</f>
        <v>0</v>
      </c>
      <c r="Z187" s="11"/>
    </row>
    <row r="188" spans="11:26" x14ac:dyDescent="0.45">
      <c r="K188" s="39">
        <f t="shared" si="33"/>
        <v>8.3800000000000008</v>
      </c>
      <c r="L188" s="40">
        <f t="shared" si="26"/>
        <v>48.38</v>
      </c>
      <c r="M188" s="41">
        <f t="shared" si="27"/>
        <v>43.38</v>
      </c>
      <c r="N188" s="49">
        <f t="shared" si="28"/>
        <v>2.5867470453408009E-2</v>
      </c>
      <c r="O188" s="50">
        <f t="shared" si="29"/>
        <v>1.6812080931814955E-2</v>
      </c>
      <c r="P188" s="50">
        <f t="shared" si="34"/>
        <v>2.5867470453408009E-2</v>
      </c>
      <c r="Q188" s="51">
        <f t="shared" si="35"/>
        <v>1.6812080931814955E-2</v>
      </c>
      <c r="R188" s="4">
        <f t="shared" si="30"/>
        <v>-3.6310350138553833E-2</v>
      </c>
      <c r="S188">
        <f t="shared" si="31"/>
        <v>0</v>
      </c>
      <c r="T188">
        <f t="shared" si="32"/>
        <v>0</v>
      </c>
      <c r="U188" s="5">
        <f>0</f>
        <v>0</v>
      </c>
      <c r="V188" s="45">
        <f t="shared" si="36"/>
        <v>6.8722832075389789E-2</v>
      </c>
      <c r="W188" s="45">
        <f t="shared" si="37"/>
        <v>0</v>
      </c>
      <c r="X188" s="45">
        <f t="shared" si="38"/>
        <v>0</v>
      </c>
      <c r="Y188" s="46">
        <f>0</f>
        <v>0</v>
      </c>
      <c r="Z188" s="11"/>
    </row>
    <row r="189" spans="11:26" x14ac:dyDescent="0.45">
      <c r="K189" s="39">
        <f t="shared" si="33"/>
        <v>8.3699999999999992</v>
      </c>
      <c r="L189" s="40">
        <f t="shared" si="26"/>
        <v>48.37</v>
      </c>
      <c r="M189" s="41">
        <f t="shared" si="27"/>
        <v>43.37</v>
      </c>
      <c r="N189" s="49">
        <f t="shared" si="28"/>
        <v>2.5845188065898562E-2</v>
      </c>
      <c r="O189" s="50">
        <f t="shared" si="29"/>
        <v>1.6797598908810895E-2</v>
      </c>
      <c r="P189" s="50">
        <f t="shared" si="34"/>
        <v>2.5845188065898562E-2</v>
      </c>
      <c r="Q189" s="51">
        <f t="shared" si="35"/>
        <v>1.6797598908810895E-2</v>
      </c>
      <c r="R189" s="4">
        <f t="shared" si="30"/>
        <v>-3.624247336212176E-2</v>
      </c>
      <c r="S189">
        <f t="shared" si="31"/>
        <v>0</v>
      </c>
      <c r="T189">
        <f t="shared" si="32"/>
        <v>0</v>
      </c>
      <c r="U189" s="5">
        <f>0</f>
        <v>0</v>
      </c>
      <c r="V189" s="45">
        <f t="shared" si="36"/>
        <v>6.9085935576775323E-2</v>
      </c>
      <c r="W189" s="45">
        <f t="shared" si="37"/>
        <v>0</v>
      </c>
      <c r="X189" s="45">
        <f t="shared" si="38"/>
        <v>0</v>
      </c>
      <c r="Y189" s="46">
        <f>0</f>
        <v>0</v>
      </c>
      <c r="Z189" s="11"/>
    </row>
    <row r="190" spans="11:26" x14ac:dyDescent="0.45">
      <c r="K190" s="39">
        <f t="shared" si="33"/>
        <v>8.36</v>
      </c>
      <c r="L190" s="40">
        <f t="shared" si="26"/>
        <v>48.36</v>
      </c>
      <c r="M190" s="41">
        <f t="shared" si="27"/>
        <v>43.36</v>
      </c>
      <c r="N190" s="49">
        <f t="shared" si="28"/>
        <v>2.5822924872565597E-2</v>
      </c>
      <c r="O190" s="50">
        <f t="shared" si="29"/>
        <v>1.6783129360704575E-2</v>
      </c>
      <c r="P190" s="50">
        <f t="shared" si="34"/>
        <v>2.5822924872565597E-2</v>
      </c>
      <c r="Q190" s="51">
        <f t="shared" si="35"/>
        <v>1.6783129360704575E-2</v>
      </c>
      <c r="R190" s="4">
        <f t="shared" si="30"/>
        <v>-3.61747156119539E-2</v>
      </c>
      <c r="S190">
        <f t="shared" si="31"/>
        <v>0</v>
      </c>
      <c r="T190">
        <f t="shared" si="32"/>
        <v>0</v>
      </c>
      <c r="U190" s="5">
        <f>0</f>
        <v>0</v>
      </c>
      <c r="V190" s="45">
        <f t="shared" si="36"/>
        <v>6.9448360310396542E-2</v>
      </c>
      <c r="W190" s="45">
        <f t="shared" si="37"/>
        <v>0</v>
      </c>
      <c r="X190" s="45">
        <f t="shared" si="38"/>
        <v>0</v>
      </c>
      <c r="Y190" s="46">
        <f>0</f>
        <v>0</v>
      </c>
      <c r="Z190" s="11"/>
    </row>
    <row r="191" spans="11:26" x14ac:dyDescent="0.45">
      <c r="K191" s="39">
        <f t="shared" si="33"/>
        <v>8.35</v>
      </c>
      <c r="L191" s="40">
        <f t="shared" si="26"/>
        <v>48.35</v>
      </c>
      <c r="M191" s="41">
        <f t="shared" si="27"/>
        <v>43.35</v>
      </c>
      <c r="N191" s="49">
        <f t="shared" si="28"/>
        <v>2.5800680856875147E-2</v>
      </c>
      <c r="O191" s="50">
        <f t="shared" si="29"/>
        <v>1.6768672276750038E-2</v>
      </c>
      <c r="P191" s="50">
        <f t="shared" si="34"/>
        <v>2.5800680856875147E-2</v>
      </c>
      <c r="Q191" s="51">
        <f t="shared" si="35"/>
        <v>1.6768672276750038E-2</v>
      </c>
      <c r="R191" s="4">
        <f t="shared" si="30"/>
        <v>-3.6107076643260932E-2</v>
      </c>
      <c r="S191">
        <f t="shared" si="31"/>
        <v>0</v>
      </c>
      <c r="T191">
        <f t="shared" si="32"/>
        <v>0</v>
      </c>
      <c r="U191" s="5">
        <f>0</f>
        <v>0</v>
      </c>
      <c r="V191" s="45">
        <f t="shared" si="36"/>
        <v>6.9810107466516086E-2</v>
      </c>
      <c r="W191" s="45">
        <f t="shared" si="37"/>
        <v>0</v>
      </c>
      <c r="X191" s="45">
        <f t="shared" si="38"/>
        <v>0</v>
      </c>
      <c r="Y191" s="46">
        <f>0</f>
        <v>0</v>
      </c>
      <c r="Z191" s="11"/>
    </row>
    <row r="192" spans="11:26" x14ac:dyDescent="0.45">
      <c r="K192" s="39">
        <f t="shared" si="33"/>
        <v>8.34</v>
      </c>
      <c r="L192" s="40">
        <f t="shared" si="26"/>
        <v>48.34</v>
      </c>
      <c r="M192" s="41">
        <f t="shared" si="27"/>
        <v>43.34</v>
      </c>
      <c r="N192" s="49">
        <f t="shared" si="28"/>
        <v>2.5778456002307475E-2</v>
      </c>
      <c r="O192" s="50">
        <f t="shared" si="29"/>
        <v>1.6754227646210592E-2</v>
      </c>
      <c r="P192" s="50">
        <f t="shared" si="34"/>
        <v>2.5778456002307475E-2</v>
      </c>
      <c r="Q192" s="51">
        <f t="shared" si="35"/>
        <v>1.6754227646210592E-2</v>
      </c>
      <c r="R192" s="4">
        <f t="shared" si="30"/>
        <v>-3.6039556211844848E-2</v>
      </c>
      <c r="S192">
        <f t="shared" si="31"/>
        <v>0</v>
      </c>
      <c r="T192">
        <f t="shared" si="32"/>
        <v>0</v>
      </c>
      <c r="U192" s="5">
        <f>0</f>
        <v>0</v>
      </c>
      <c r="V192" s="45">
        <f t="shared" si="36"/>
        <v>7.0171178232948689E-2</v>
      </c>
      <c r="W192" s="45">
        <f t="shared" si="37"/>
        <v>0</v>
      </c>
      <c r="X192" s="45">
        <f t="shared" si="38"/>
        <v>0</v>
      </c>
      <c r="Y192" s="46">
        <f>0</f>
        <v>0</v>
      </c>
      <c r="Z192" s="11"/>
    </row>
    <row r="193" spans="11:26" x14ac:dyDescent="0.45">
      <c r="K193" s="39">
        <f t="shared" si="33"/>
        <v>8.33</v>
      </c>
      <c r="L193" s="40">
        <f t="shared" si="26"/>
        <v>48.33</v>
      </c>
      <c r="M193" s="41">
        <f t="shared" si="27"/>
        <v>43.33</v>
      </c>
      <c r="N193" s="49">
        <f t="shared" si="28"/>
        <v>2.575625029235706E-2</v>
      </c>
      <c r="O193" s="50">
        <f t="shared" si="29"/>
        <v>1.6739795458358787E-2</v>
      </c>
      <c r="P193" s="50">
        <f t="shared" si="34"/>
        <v>2.575625029235706E-2</v>
      </c>
      <c r="Q193" s="51">
        <f t="shared" si="35"/>
        <v>1.6739795458358787E-2</v>
      </c>
      <c r="R193" s="4">
        <f t="shared" si="30"/>
        <v>-3.5972154074097332E-2</v>
      </c>
      <c r="S193">
        <f t="shared" si="31"/>
        <v>0</v>
      </c>
      <c r="T193">
        <f t="shared" si="32"/>
        <v>0</v>
      </c>
      <c r="U193" s="5">
        <f>0</f>
        <v>0</v>
      </c>
      <c r="V193" s="45">
        <f t="shared" si="36"/>
        <v>7.0531573795067137E-2</v>
      </c>
      <c r="W193" s="45">
        <f t="shared" si="37"/>
        <v>0</v>
      </c>
      <c r="X193" s="45">
        <f t="shared" si="38"/>
        <v>0</v>
      </c>
      <c r="Y193" s="46">
        <f>0</f>
        <v>0</v>
      </c>
      <c r="Z193" s="11"/>
    </row>
    <row r="194" spans="11:26" x14ac:dyDescent="0.45">
      <c r="K194" s="39">
        <f t="shared" si="33"/>
        <v>8.32</v>
      </c>
      <c r="L194" s="40">
        <f t="shared" si="26"/>
        <v>48.32</v>
      </c>
      <c r="M194" s="41">
        <f t="shared" si="27"/>
        <v>43.32</v>
      </c>
      <c r="N194" s="49">
        <f t="shared" si="28"/>
        <v>2.5734063710532669E-2</v>
      </c>
      <c r="O194" s="50">
        <f t="shared" si="29"/>
        <v>1.6725375702476439E-2</v>
      </c>
      <c r="P194" s="50">
        <f t="shared" si="34"/>
        <v>2.5734063710532669E-2</v>
      </c>
      <c r="Q194" s="51">
        <f t="shared" si="35"/>
        <v>1.6725375702476439E-2</v>
      </c>
      <c r="R194" s="4">
        <f t="shared" si="30"/>
        <v>-3.5904869986998225E-2</v>
      </c>
      <c r="S194">
        <f t="shared" si="31"/>
        <v>0</v>
      </c>
      <c r="T194">
        <f t="shared" si="32"/>
        <v>0</v>
      </c>
      <c r="U194" s="5">
        <f>0</f>
        <v>0</v>
      </c>
      <c r="V194" s="45">
        <f t="shared" si="36"/>
        <v>7.089129533580811E-2</v>
      </c>
      <c r="W194" s="45">
        <f t="shared" si="37"/>
        <v>0</v>
      </c>
      <c r="X194" s="45">
        <f t="shared" si="38"/>
        <v>0</v>
      </c>
      <c r="Y194" s="46">
        <f>0</f>
        <v>0</v>
      </c>
      <c r="Z194" s="11"/>
    </row>
    <row r="195" spans="11:26" x14ac:dyDescent="0.45">
      <c r="K195" s="39">
        <f t="shared" si="33"/>
        <v>8.31</v>
      </c>
      <c r="L195" s="40">
        <f t="shared" si="26"/>
        <v>48.31</v>
      </c>
      <c r="M195" s="41">
        <f t="shared" si="27"/>
        <v>43.31</v>
      </c>
      <c r="N195" s="49">
        <f t="shared" si="28"/>
        <v>2.5711896240357194E-2</v>
      </c>
      <c r="O195" s="50">
        <f t="shared" si="29"/>
        <v>1.6710968367854566E-2</v>
      </c>
      <c r="P195" s="50">
        <f t="shared" si="34"/>
        <v>2.5711896240357194E-2</v>
      </c>
      <c r="Q195" s="51">
        <f t="shared" si="35"/>
        <v>1.6710968367854566E-2</v>
      </c>
      <c r="R195" s="4">
        <f t="shared" si="30"/>
        <v>-3.5837703708113774E-2</v>
      </c>
      <c r="S195">
        <f t="shared" si="31"/>
        <v>0</v>
      </c>
      <c r="T195">
        <f t="shared" si="32"/>
        <v>0</v>
      </c>
      <c r="U195" s="5">
        <f>0</f>
        <v>0</v>
      </c>
      <c r="V195" s="45">
        <f t="shared" si="36"/>
        <v>7.1250344035678093E-2</v>
      </c>
      <c r="W195" s="45">
        <f t="shared" si="37"/>
        <v>0</v>
      </c>
      <c r="X195" s="45">
        <f t="shared" si="38"/>
        <v>0</v>
      </c>
      <c r="Y195" s="46">
        <f>0</f>
        <v>0</v>
      </c>
      <c r="Z195" s="11"/>
    </row>
    <row r="196" spans="11:26" x14ac:dyDescent="0.45">
      <c r="K196" s="39">
        <f t="shared" si="33"/>
        <v>8.3000000000000007</v>
      </c>
      <c r="L196" s="40">
        <f t="shared" si="26"/>
        <v>48.3</v>
      </c>
      <c r="M196" s="41">
        <f t="shared" si="27"/>
        <v>43.3</v>
      </c>
      <c r="N196" s="49">
        <f t="shared" si="28"/>
        <v>2.5689747865367752E-2</v>
      </c>
      <c r="O196" s="50">
        <f t="shared" si="29"/>
        <v>1.6696573443793414E-2</v>
      </c>
      <c r="P196" s="50">
        <f t="shared" si="34"/>
        <v>2.5689747865367752E-2</v>
      </c>
      <c r="Q196" s="51">
        <f t="shared" si="35"/>
        <v>1.6696573443793414E-2</v>
      </c>
      <c r="R196" s="4">
        <f t="shared" si="30"/>
        <v>-3.5770654995595133E-2</v>
      </c>
      <c r="S196">
        <f t="shared" si="31"/>
        <v>0</v>
      </c>
      <c r="T196">
        <f t="shared" si="32"/>
        <v>0</v>
      </c>
      <c r="U196" s="5">
        <f>0</f>
        <v>0</v>
      </c>
      <c r="V196" s="45">
        <f t="shared" si="36"/>
        <v>7.1608721072759229E-2</v>
      </c>
      <c r="W196" s="45">
        <f t="shared" si="37"/>
        <v>0</v>
      </c>
      <c r="X196" s="45">
        <f t="shared" si="38"/>
        <v>0</v>
      </c>
      <c r="Y196" s="46">
        <f>0</f>
        <v>0</v>
      </c>
      <c r="Z196" s="11"/>
    </row>
    <row r="197" spans="11:26" x14ac:dyDescent="0.45">
      <c r="K197" s="39">
        <f t="shared" si="33"/>
        <v>8.2899999999999991</v>
      </c>
      <c r="L197" s="40">
        <f t="shared" si="26"/>
        <v>48.29</v>
      </c>
      <c r="M197" s="41">
        <f t="shared" si="27"/>
        <v>43.29</v>
      </c>
      <c r="N197" s="49">
        <f t="shared" si="28"/>
        <v>2.5667618569115643E-2</v>
      </c>
      <c r="O197" s="50">
        <f t="shared" si="29"/>
        <v>1.6682190919602474E-2</v>
      </c>
      <c r="P197" s="50">
        <f t="shared" si="34"/>
        <v>2.5667618569115643E-2</v>
      </c>
      <c r="Q197" s="51">
        <f t="shared" si="35"/>
        <v>1.6682190919602474E-2</v>
      </c>
      <c r="R197" s="4">
        <f t="shared" si="30"/>
        <v>-3.5703723608176752E-2</v>
      </c>
      <c r="S197">
        <f t="shared" si="31"/>
        <v>0</v>
      </c>
      <c r="T197">
        <f t="shared" si="32"/>
        <v>0</v>
      </c>
      <c r="U197" s="5">
        <f>0</f>
        <v>0</v>
      </c>
      <c r="V197" s="45">
        <f t="shared" si="36"/>
        <v>7.1966427622715184E-2</v>
      </c>
      <c r="W197" s="45">
        <f t="shared" si="37"/>
        <v>0</v>
      </c>
      <c r="X197" s="45">
        <f t="shared" si="38"/>
        <v>0</v>
      </c>
      <c r="Y197" s="46">
        <f>0</f>
        <v>0</v>
      </c>
      <c r="Z197" s="11"/>
    </row>
    <row r="198" spans="11:26" x14ac:dyDescent="0.45">
      <c r="K198" s="39">
        <f t="shared" si="33"/>
        <v>8.2799999999999994</v>
      </c>
      <c r="L198" s="40">
        <f t="shared" si="26"/>
        <v>48.28</v>
      </c>
      <c r="M198" s="41">
        <f t="shared" si="27"/>
        <v>43.28</v>
      </c>
      <c r="N198" s="49">
        <f t="shared" si="28"/>
        <v>2.564550833516633E-2</v>
      </c>
      <c r="O198" s="50">
        <f t="shared" si="29"/>
        <v>1.6667820784600419E-2</v>
      </c>
      <c r="P198" s="50">
        <f t="shared" si="34"/>
        <v>2.564550833516633E-2</v>
      </c>
      <c r="Q198" s="51">
        <f t="shared" si="35"/>
        <v>1.6667820784600419E-2</v>
      </c>
      <c r="R198" s="4">
        <f t="shared" si="30"/>
        <v>-3.5636909305174741E-2</v>
      </c>
      <c r="S198">
        <f t="shared" si="31"/>
        <v>0</v>
      </c>
      <c r="T198">
        <f t="shared" si="32"/>
        <v>0</v>
      </c>
      <c r="U198" s="5">
        <f>0</f>
        <v>0</v>
      </c>
      <c r="V198" s="45">
        <f t="shared" si="36"/>
        <v>7.2323464858796954E-2</v>
      </c>
      <c r="W198" s="45">
        <f t="shared" si="37"/>
        <v>0</v>
      </c>
      <c r="X198" s="45">
        <f t="shared" si="38"/>
        <v>0</v>
      </c>
      <c r="Y198" s="46">
        <f>0</f>
        <v>0</v>
      </c>
      <c r="Z198" s="11"/>
    </row>
    <row r="199" spans="11:26" x14ac:dyDescent="0.45">
      <c r="K199" s="39">
        <f t="shared" si="33"/>
        <v>8.27</v>
      </c>
      <c r="L199" s="40">
        <f t="shared" si="26"/>
        <v>48.269999999999996</v>
      </c>
      <c r="M199" s="41">
        <f t="shared" si="27"/>
        <v>43.269999999999996</v>
      </c>
      <c r="N199" s="49">
        <f t="shared" si="28"/>
        <v>2.5623417147099418E-2</v>
      </c>
      <c r="O199" s="50">
        <f t="shared" si="29"/>
        <v>1.6653463028115118E-2</v>
      </c>
      <c r="P199" s="50">
        <f t="shared" si="34"/>
        <v>2.5623417147099418E-2</v>
      </c>
      <c r="Q199" s="51">
        <f t="shared" si="35"/>
        <v>1.6653463028115118E-2</v>
      </c>
      <c r="R199" s="4">
        <f t="shared" si="30"/>
        <v>-3.5570211846485303E-2</v>
      </c>
      <c r="S199">
        <f t="shared" si="31"/>
        <v>0</v>
      </c>
      <c r="T199">
        <f t="shared" si="32"/>
        <v>0</v>
      </c>
      <c r="U199" s="5">
        <f>0</f>
        <v>0</v>
      </c>
      <c r="V199" s="45">
        <f t="shared" si="36"/>
        <v>7.2679833951848696E-2</v>
      </c>
      <c r="W199" s="45">
        <f t="shared" si="37"/>
        <v>0</v>
      </c>
      <c r="X199" s="45">
        <f t="shared" si="38"/>
        <v>0</v>
      </c>
      <c r="Y199" s="46">
        <f>0</f>
        <v>0</v>
      </c>
      <c r="Z199" s="11"/>
    </row>
    <row r="200" spans="11:26" x14ac:dyDescent="0.45">
      <c r="K200" s="39">
        <f t="shared" si="33"/>
        <v>8.26</v>
      </c>
      <c r="L200" s="40">
        <f t="shared" si="26"/>
        <v>48.26</v>
      </c>
      <c r="M200" s="41">
        <f t="shared" si="27"/>
        <v>43.26</v>
      </c>
      <c r="N200" s="49">
        <f t="shared" si="28"/>
        <v>2.5601344988508714E-2</v>
      </c>
      <c r="O200" s="50">
        <f t="shared" si="29"/>
        <v>1.6639117639483666E-2</v>
      </c>
      <c r="P200" s="50">
        <f t="shared" si="34"/>
        <v>2.5601344988508714E-2</v>
      </c>
      <c r="Q200" s="51">
        <f t="shared" si="35"/>
        <v>1.6639117639483666E-2</v>
      </c>
      <c r="R200" s="4">
        <f t="shared" si="30"/>
        <v>-3.5503630992583232E-2</v>
      </c>
      <c r="S200">
        <f t="shared" si="31"/>
        <v>0</v>
      </c>
      <c r="T200">
        <f t="shared" si="32"/>
        <v>0</v>
      </c>
      <c r="U200" s="5">
        <f>0</f>
        <v>0</v>
      </c>
      <c r="V200" s="45">
        <f t="shared" si="36"/>
        <v>7.3035536070313545E-2</v>
      </c>
      <c r="W200" s="45">
        <f t="shared" si="37"/>
        <v>0</v>
      </c>
      <c r="X200" s="45">
        <f t="shared" si="38"/>
        <v>0</v>
      </c>
      <c r="Y200" s="46">
        <f>0</f>
        <v>0</v>
      </c>
      <c r="Z200" s="11"/>
    </row>
    <row r="201" spans="11:26" x14ac:dyDescent="0.45">
      <c r="K201" s="39">
        <f t="shared" si="33"/>
        <v>8.25</v>
      </c>
      <c r="L201" s="40">
        <f t="shared" si="26"/>
        <v>48.25</v>
      </c>
      <c r="M201" s="41">
        <f t="shared" si="27"/>
        <v>43.25</v>
      </c>
      <c r="N201" s="49">
        <f t="shared" si="28"/>
        <v>2.5579291843002103E-2</v>
      </c>
      <c r="O201" s="50">
        <f t="shared" si="29"/>
        <v>1.6624784608052317E-2</v>
      </c>
      <c r="P201" s="50">
        <f t="shared" si="34"/>
        <v>2.5579291843002103E-2</v>
      </c>
      <c r="Q201" s="51">
        <f t="shared" si="35"/>
        <v>1.6624784608052317E-2</v>
      </c>
      <c r="R201" s="4">
        <f t="shared" si="30"/>
        <v>-3.5437166504520182E-2</v>
      </c>
      <c r="S201">
        <f t="shared" si="31"/>
        <v>0</v>
      </c>
      <c r="T201">
        <f t="shared" si="32"/>
        <v>0</v>
      </c>
      <c r="U201" s="5">
        <f>0</f>
        <v>0</v>
      </c>
      <c r="V201" s="45">
        <f t="shared" si="36"/>
        <v>7.3390572380239383E-2</v>
      </c>
      <c r="W201" s="45">
        <f t="shared" si="37"/>
        <v>0</v>
      </c>
      <c r="X201" s="45">
        <f t="shared" si="38"/>
        <v>0</v>
      </c>
      <c r="Y201" s="46">
        <f>0</f>
        <v>0</v>
      </c>
      <c r="Z201" s="11"/>
    </row>
    <row r="202" spans="11:26" x14ac:dyDescent="0.45">
      <c r="K202" s="39">
        <f t="shared" si="33"/>
        <v>8.24</v>
      </c>
      <c r="L202" s="40">
        <f t="shared" si="26"/>
        <v>48.24</v>
      </c>
      <c r="M202" s="41">
        <f t="shared" si="27"/>
        <v>43.24</v>
      </c>
      <c r="N202" s="49">
        <f t="shared" si="28"/>
        <v>2.555725769420162E-2</v>
      </c>
      <c r="O202" s="50">
        <f t="shared" si="29"/>
        <v>1.6610463923176499E-2</v>
      </c>
      <c r="P202" s="50">
        <f t="shared" si="34"/>
        <v>2.555725769420162E-2</v>
      </c>
      <c r="Q202" s="51">
        <f t="shared" si="35"/>
        <v>1.6610463923176499E-2</v>
      </c>
      <c r="R202" s="4">
        <f t="shared" si="30"/>
        <v>-3.5370818143923198E-2</v>
      </c>
      <c r="S202">
        <f t="shared" si="31"/>
        <v>0</v>
      </c>
      <c r="T202">
        <f t="shared" si="32"/>
        <v>0</v>
      </c>
      <c r="U202" s="5">
        <f>0</f>
        <v>0</v>
      </c>
      <c r="V202" s="45">
        <f t="shared" si="36"/>
        <v>7.3744944045284588E-2</v>
      </c>
      <c r="W202" s="45">
        <f t="shared" si="37"/>
        <v>0</v>
      </c>
      <c r="X202" s="45">
        <f t="shared" si="38"/>
        <v>0</v>
      </c>
      <c r="Y202" s="46">
        <f>0</f>
        <v>0</v>
      </c>
      <c r="Z202" s="11"/>
    </row>
    <row r="203" spans="11:26" x14ac:dyDescent="0.45">
      <c r="K203" s="39">
        <f t="shared" si="33"/>
        <v>8.23</v>
      </c>
      <c r="L203" s="40">
        <f t="shared" si="26"/>
        <v>48.230000000000004</v>
      </c>
      <c r="M203" s="41">
        <f t="shared" si="27"/>
        <v>43.230000000000004</v>
      </c>
      <c r="N203" s="49">
        <f t="shared" si="28"/>
        <v>2.5535242525743351E-2</v>
      </c>
      <c r="O203" s="50">
        <f t="shared" si="29"/>
        <v>1.6596155574220835E-2</v>
      </c>
      <c r="P203" s="50">
        <f t="shared" si="34"/>
        <v>2.5535242525743351E-2</v>
      </c>
      <c r="Q203" s="51">
        <f t="shared" si="35"/>
        <v>1.6596155574220835E-2</v>
      </c>
      <c r="R203" s="4">
        <f t="shared" si="30"/>
        <v>-3.5304585672993091E-2</v>
      </c>
      <c r="S203">
        <f t="shared" si="31"/>
        <v>0</v>
      </c>
      <c r="T203">
        <f t="shared" si="32"/>
        <v>0</v>
      </c>
      <c r="U203" s="5">
        <f>0</f>
        <v>0</v>
      </c>
      <c r="V203" s="45">
        <f t="shared" si="36"/>
        <v>7.4098652226723821E-2</v>
      </c>
      <c r="W203" s="45">
        <f t="shared" si="37"/>
        <v>0</v>
      </c>
      <c r="X203" s="45">
        <f t="shared" si="38"/>
        <v>0</v>
      </c>
      <c r="Y203" s="46">
        <f>0</f>
        <v>0</v>
      </c>
      <c r="Z203" s="11"/>
    </row>
    <row r="204" spans="11:26" x14ac:dyDescent="0.45">
      <c r="K204" s="39">
        <f t="shared" si="33"/>
        <v>8.2200000000000006</v>
      </c>
      <c r="L204" s="40">
        <f t="shared" si="26"/>
        <v>48.22</v>
      </c>
      <c r="M204" s="41">
        <f t="shared" si="27"/>
        <v>43.22</v>
      </c>
      <c r="N204" s="49">
        <f t="shared" si="28"/>
        <v>2.5513246321277525E-2</v>
      </c>
      <c r="O204" s="50">
        <f t="shared" si="29"/>
        <v>1.6581859550559054E-2</v>
      </c>
      <c r="P204" s="50">
        <f t="shared" si="34"/>
        <v>2.5513246321277525E-2</v>
      </c>
      <c r="Q204" s="51">
        <f t="shared" si="35"/>
        <v>1.6581859550559054E-2</v>
      </c>
      <c r="R204" s="4">
        <f t="shared" si="30"/>
        <v>-3.5238468854502894E-2</v>
      </c>
      <c r="S204">
        <f t="shared" si="31"/>
        <v>0</v>
      </c>
      <c r="T204">
        <f t="shared" si="32"/>
        <v>0</v>
      </c>
      <c r="U204" s="5">
        <f>0</f>
        <v>0</v>
      </c>
      <c r="V204" s="45">
        <f t="shared" si="36"/>
        <v>7.4451698083453755E-2</v>
      </c>
      <c r="W204" s="45">
        <f t="shared" si="37"/>
        <v>0</v>
      </c>
      <c r="X204" s="45">
        <f t="shared" si="38"/>
        <v>0</v>
      </c>
      <c r="Y204" s="46">
        <f>0</f>
        <v>0</v>
      </c>
      <c r="Z204" s="11"/>
    </row>
    <row r="205" spans="11:26" x14ac:dyDescent="0.45">
      <c r="K205" s="39">
        <f t="shared" si="33"/>
        <v>8.2100000000000009</v>
      </c>
      <c r="L205" s="40">
        <f t="shared" si="26"/>
        <v>48.21</v>
      </c>
      <c r="M205" s="41">
        <f t="shared" si="27"/>
        <v>43.21</v>
      </c>
      <c r="N205" s="49">
        <f t="shared" si="28"/>
        <v>2.5491269064468487E-2</v>
      </c>
      <c r="O205" s="50">
        <f t="shared" si="29"/>
        <v>1.6567575841574124E-2</v>
      </c>
      <c r="P205" s="50">
        <f t="shared" si="34"/>
        <v>2.5491269064468487E-2</v>
      </c>
      <c r="Q205" s="51">
        <f t="shared" si="35"/>
        <v>1.6567575841574124E-2</v>
      </c>
      <c r="R205" s="4">
        <f t="shared" si="30"/>
        <v>-3.5172467451796398E-2</v>
      </c>
      <c r="S205">
        <f t="shared" si="31"/>
        <v>0</v>
      </c>
      <c r="T205">
        <f t="shared" si="32"/>
        <v>0</v>
      </c>
      <c r="U205" s="5">
        <f>0</f>
        <v>0</v>
      </c>
      <c r="V205" s="45">
        <f t="shared" si="36"/>
        <v>7.4804082771998778E-2</v>
      </c>
      <c r="W205" s="45">
        <f t="shared" si="37"/>
        <v>0</v>
      </c>
      <c r="X205" s="45">
        <f t="shared" si="38"/>
        <v>0</v>
      </c>
      <c r="Y205" s="46">
        <f>0</f>
        <v>0</v>
      </c>
      <c r="Z205" s="11"/>
    </row>
    <row r="206" spans="11:26" x14ac:dyDescent="0.45">
      <c r="K206" s="39">
        <f t="shared" si="33"/>
        <v>8.1999999999999993</v>
      </c>
      <c r="L206" s="40">
        <f t="shared" si="26"/>
        <v>48.2</v>
      </c>
      <c r="M206" s="41">
        <f t="shared" si="27"/>
        <v>43.2</v>
      </c>
      <c r="N206" s="49">
        <f t="shared" si="28"/>
        <v>2.54693107389946E-2</v>
      </c>
      <c r="O206" s="50">
        <f t="shared" si="29"/>
        <v>1.6553304436658096E-2</v>
      </c>
      <c r="P206" s="50">
        <f t="shared" si="34"/>
        <v>2.54693107389946E-2</v>
      </c>
      <c r="Q206" s="51">
        <f t="shared" si="35"/>
        <v>1.6553304436658096E-2</v>
      </c>
      <c r="R206" s="4">
        <f t="shared" si="30"/>
        <v>-3.5106581228786432E-2</v>
      </c>
      <c r="S206">
        <f t="shared" si="31"/>
        <v>0</v>
      </c>
      <c r="T206">
        <f t="shared" si="32"/>
        <v>0</v>
      </c>
      <c r="U206" s="5">
        <f>0</f>
        <v>0</v>
      </c>
      <c r="V206" s="45">
        <f t="shared" si="36"/>
        <v>7.5155807446516745E-2</v>
      </c>
      <c r="W206" s="45">
        <f t="shared" si="37"/>
        <v>0</v>
      </c>
      <c r="X206" s="45">
        <f t="shared" si="38"/>
        <v>0</v>
      </c>
      <c r="Y206" s="46">
        <f>0</f>
        <v>0</v>
      </c>
      <c r="Z206" s="11"/>
    </row>
    <row r="207" spans="11:26" x14ac:dyDescent="0.45">
      <c r="K207" s="39">
        <f t="shared" si="33"/>
        <v>8.19</v>
      </c>
      <c r="L207" s="40">
        <f t="shared" si="26"/>
        <v>48.19</v>
      </c>
      <c r="M207" s="41">
        <f t="shared" si="27"/>
        <v>43.19</v>
      </c>
      <c r="N207" s="49">
        <f t="shared" si="28"/>
        <v>2.5447371328548279E-2</v>
      </c>
      <c r="O207" s="50">
        <f t="shared" si="29"/>
        <v>1.6539045325212151E-2</v>
      </c>
      <c r="P207" s="50">
        <f t="shared" si="34"/>
        <v>2.5447371328548279E-2</v>
      </c>
      <c r="Q207" s="51">
        <f t="shared" si="35"/>
        <v>1.6539045325212151E-2</v>
      </c>
      <c r="R207" s="4">
        <f t="shared" si="30"/>
        <v>-3.5040809949953351E-2</v>
      </c>
      <c r="S207">
        <f t="shared" si="31"/>
        <v>0</v>
      </c>
      <c r="T207">
        <f t="shared" si="32"/>
        <v>0</v>
      </c>
      <c r="U207" s="5">
        <f>0</f>
        <v>0</v>
      </c>
      <c r="V207" s="45">
        <f t="shared" si="36"/>
        <v>7.5506873258804605E-2</v>
      </c>
      <c r="W207" s="45">
        <f t="shared" si="37"/>
        <v>0</v>
      </c>
      <c r="X207" s="45">
        <f t="shared" si="38"/>
        <v>0</v>
      </c>
      <c r="Y207" s="46">
        <f>0</f>
        <v>0</v>
      </c>
      <c r="Z207" s="11"/>
    </row>
    <row r="208" spans="11:26" x14ac:dyDescent="0.45">
      <c r="K208" s="39">
        <f t="shared" si="33"/>
        <v>8.18</v>
      </c>
      <c r="L208" s="40">
        <f t="shared" si="26"/>
        <v>48.18</v>
      </c>
      <c r="M208" s="41">
        <f t="shared" si="27"/>
        <v>43.18</v>
      </c>
      <c r="N208" s="49">
        <f t="shared" si="28"/>
        <v>2.5425450816836077E-2</v>
      </c>
      <c r="O208" s="50">
        <f t="shared" si="29"/>
        <v>1.6524798496646655E-2</v>
      </c>
      <c r="P208" s="50">
        <f t="shared" si="34"/>
        <v>2.5425450816836077E-2</v>
      </c>
      <c r="Q208" s="51">
        <f t="shared" si="35"/>
        <v>1.6524798496646655E-2</v>
      </c>
      <c r="R208" s="4">
        <f t="shared" si="30"/>
        <v>-3.4975153380343654E-2</v>
      </c>
      <c r="S208">
        <f t="shared" si="31"/>
        <v>0</v>
      </c>
      <c r="T208">
        <f t="shared" si="32"/>
        <v>0</v>
      </c>
      <c r="U208" s="5">
        <f>0</f>
        <v>0</v>
      </c>
      <c r="V208" s="45">
        <f t="shared" si="36"/>
        <v>7.5857281358304135E-2</v>
      </c>
      <c r="W208" s="45">
        <f t="shared" si="37"/>
        <v>0</v>
      </c>
      <c r="X208" s="45">
        <f t="shared" si="38"/>
        <v>0</v>
      </c>
      <c r="Y208" s="46">
        <f>0</f>
        <v>0</v>
      </c>
      <c r="Z208" s="11"/>
    </row>
    <row r="209" spans="11:26" x14ac:dyDescent="0.45">
      <c r="K209" s="39">
        <f t="shared" si="33"/>
        <v>8.17</v>
      </c>
      <c r="L209" s="40">
        <f t="shared" si="26"/>
        <v>48.17</v>
      </c>
      <c r="M209" s="41">
        <f t="shared" si="27"/>
        <v>43.17</v>
      </c>
      <c r="N209" s="49">
        <f t="shared" si="28"/>
        <v>2.540354918757845E-2</v>
      </c>
      <c r="O209" s="50">
        <f t="shared" si="29"/>
        <v>1.651056394038106E-2</v>
      </c>
      <c r="P209" s="50">
        <f t="shared" si="34"/>
        <v>2.540354918757845E-2</v>
      </c>
      <c r="Q209" s="51">
        <f t="shared" si="35"/>
        <v>1.651056394038106E-2</v>
      </c>
      <c r="R209" s="4">
        <f t="shared" si="30"/>
        <v>-3.4909611285568201E-2</v>
      </c>
      <c r="S209">
        <f t="shared" si="31"/>
        <v>0</v>
      </c>
      <c r="T209">
        <f t="shared" si="32"/>
        <v>0</v>
      </c>
      <c r="U209" s="5">
        <f>0</f>
        <v>0</v>
      </c>
      <c r="V209" s="45">
        <f t="shared" si="36"/>
        <v>7.6207032892107576E-2</v>
      </c>
      <c r="W209" s="45">
        <f t="shared" si="37"/>
        <v>0</v>
      </c>
      <c r="X209" s="45">
        <f t="shared" si="38"/>
        <v>0</v>
      </c>
      <c r="Y209" s="46">
        <f>0</f>
        <v>0</v>
      </c>
      <c r="Z209" s="11"/>
    </row>
    <row r="210" spans="11:26" x14ac:dyDescent="0.45">
      <c r="K210" s="39">
        <f t="shared" si="33"/>
        <v>8.16</v>
      </c>
      <c r="L210" s="40">
        <f t="shared" si="26"/>
        <v>48.16</v>
      </c>
      <c r="M210" s="41">
        <f t="shared" si="27"/>
        <v>43.16</v>
      </c>
      <c r="N210" s="49">
        <f t="shared" si="28"/>
        <v>2.5381666424509942E-2</v>
      </c>
      <c r="O210" s="50">
        <f t="shared" si="29"/>
        <v>1.6496341645843907E-2</v>
      </c>
      <c r="P210" s="50">
        <f t="shared" si="34"/>
        <v>2.5381666424509942E-2</v>
      </c>
      <c r="Q210" s="51">
        <f t="shared" si="35"/>
        <v>1.6496341645843907E-2</v>
      </c>
      <c r="R210" s="4">
        <f t="shared" si="30"/>
        <v>-3.484418343180079E-2</v>
      </c>
      <c r="S210">
        <f t="shared" si="31"/>
        <v>0</v>
      </c>
      <c r="T210">
        <f t="shared" si="32"/>
        <v>0</v>
      </c>
      <c r="U210" s="5">
        <f>0</f>
        <v>0</v>
      </c>
      <c r="V210" s="45">
        <f t="shared" si="36"/>
        <v>7.6556129004963253E-2</v>
      </c>
      <c r="W210" s="45">
        <f t="shared" si="37"/>
        <v>0</v>
      </c>
      <c r="X210" s="45">
        <f t="shared" si="38"/>
        <v>0</v>
      </c>
      <c r="Y210" s="46">
        <f>0</f>
        <v>0</v>
      </c>
      <c r="Z210" s="11"/>
    </row>
    <row r="211" spans="11:26" x14ac:dyDescent="0.45">
      <c r="K211" s="39">
        <f t="shared" si="33"/>
        <v>8.15</v>
      </c>
      <c r="L211" s="40">
        <f t="shared" si="26"/>
        <v>48.15</v>
      </c>
      <c r="M211" s="41">
        <f t="shared" si="27"/>
        <v>43.15</v>
      </c>
      <c r="N211" s="49">
        <f t="shared" si="28"/>
        <v>2.5359802511379155E-2</v>
      </c>
      <c r="O211" s="50">
        <f t="shared" si="29"/>
        <v>1.6482131602472909E-2</v>
      </c>
      <c r="P211" s="50">
        <f t="shared" si="34"/>
        <v>2.5359802511379155E-2</v>
      </c>
      <c r="Q211" s="51">
        <f t="shared" si="35"/>
        <v>1.6482131602472909E-2</v>
      </c>
      <c r="R211" s="4">
        <f t="shared" si="30"/>
        <v>-3.477886958577673E-2</v>
      </c>
      <c r="S211">
        <f t="shared" si="31"/>
        <v>0</v>
      </c>
      <c r="T211">
        <f t="shared" si="32"/>
        <v>0</v>
      </c>
      <c r="U211" s="5">
        <f>0</f>
        <v>0</v>
      </c>
      <c r="V211" s="45">
        <f t="shared" si="36"/>
        <v>7.6904570839281261E-2</v>
      </c>
      <c r="W211" s="45">
        <f t="shared" si="37"/>
        <v>0</v>
      </c>
      <c r="X211" s="45">
        <f t="shared" si="38"/>
        <v>0</v>
      </c>
      <c r="Y211" s="46">
        <f>0</f>
        <v>0</v>
      </c>
      <c r="Z211" s="11"/>
    </row>
    <row r="212" spans="11:26" x14ac:dyDescent="0.45">
      <c r="K212" s="39">
        <f t="shared" si="33"/>
        <v>8.14</v>
      </c>
      <c r="L212" s="40">
        <f t="shared" si="26"/>
        <v>48.14</v>
      </c>
      <c r="M212" s="41">
        <f t="shared" si="27"/>
        <v>43.14</v>
      </c>
      <c r="N212" s="49">
        <f t="shared" si="28"/>
        <v>2.5337957431948624E-2</v>
      </c>
      <c r="O212" s="50">
        <f t="shared" si="29"/>
        <v>1.6467933799714833E-2</v>
      </c>
      <c r="P212" s="50">
        <f t="shared" si="34"/>
        <v>2.5337957431948624E-2</v>
      </c>
      <c r="Q212" s="51">
        <f t="shared" si="35"/>
        <v>1.6467933799714833E-2</v>
      </c>
      <c r="R212" s="4">
        <f t="shared" si="30"/>
        <v>-3.4713669514791129E-2</v>
      </c>
      <c r="S212">
        <f t="shared" si="31"/>
        <v>0</v>
      </c>
      <c r="T212">
        <f t="shared" si="32"/>
        <v>0</v>
      </c>
      <c r="U212" s="5">
        <f>0</f>
        <v>0</v>
      </c>
      <c r="V212" s="45">
        <f t="shared" si="36"/>
        <v>7.7252359535139023E-2</v>
      </c>
      <c r="W212" s="45">
        <f t="shared" si="37"/>
        <v>0</v>
      </c>
      <c r="X212" s="45">
        <f t="shared" si="38"/>
        <v>0</v>
      </c>
      <c r="Y212" s="46">
        <f>0</f>
        <v>0</v>
      </c>
      <c r="Z212" s="11"/>
    </row>
    <row r="213" spans="11:26" x14ac:dyDescent="0.45">
      <c r="K213" s="39">
        <f t="shared" si="33"/>
        <v>8.1300000000000008</v>
      </c>
      <c r="L213" s="40">
        <f t="shared" si="26"/>
        <v>48.13</v>
      </c>
      <c r="M213" s="41">
        <f t="shared" si="27"/>
        <v>43.13</v>
      </c>
      <c r="N213" s="49">
        <f t="shared" si="28"/>
        <v>2.5316131169994888E-2</v>
      </c>
      <c r="O213" s="50">
        <f t="shared" si="29"/>
        <v>1.6453748227025531E-2</v>
      </c>
      <c r="P213" s="50">
        <f t="shared" si="34"/>
        <v>2.5316131169994888E-2</v>
      </c>
      <c r="Q213" s="51">
        <f t="shared" si="35"/>
        <v>1.6453748227025531E-2</v>
      </c>
      <c r="R213" s="4">
        <f t="shared" si="30"/>
        <v>-3.4648582986697443E-2</v>
      </c>
      <c r="S213">
        <f t="shared" si="31"/>
        <v>0</v>
      </c>
      <c r="T213">
        <f t="shared" si="32"/>
        <v>0</v>
      </c>
      <c r="U213" s="5">
        <f>0</f>
        <v>0</v>
      </c>
      <c r="V213" s="45">
        <f t="shared" si="36"/>
        <v>7.7599496230286932E-2</v>
      </c>
      <c r="W213" s="45">
        <f t="shared" si="37"/>
        <v>0</v>
      </c>
      <c r="X213" s="45">
        <f t="shared" si="38"/>
        <v>0</v>
      </c>
      <c r="Y213" s="46">
        <f>0</f>
        <v>0</v>
      </c>
      <c r="Z213" s="11"/>
    </row>
    <row r="214" spans="11:26" x14ac:dyDescent="0.45">
      <c r="K214" s="39">
        <f t="shared" si="33"/>
        <v>8.1199999999999992</v>
      </c>
      <c r="L214" s="40">
        <f t="shared" si="26"/>
        <v>48.12</v>
      </c>
      <c r="M214" s="41">
        <f t="shared" si="27"/>
        <v>43.12</v>
      </c>
      <c r="N214" s="49">
        <f t="shared" si="28"/>
        <v>2.5294323709308467E-2</v>
      </c>
      <c r="O214" s="50">
        <f t="shared" si="29"/>
        <v>1.6439574873869944E-2</v>
      </c>
      <c r="P214" s="50">
        <f t="shared" si="34"/>
        <v>2.5294323709308467E-2</v>
      </c>
      <c r="Q214" s="51">
        <f t="shared" si="35"/>
        <v>1.6439574873869944E-2</v>
      </c>
      <c r="R214" s="4">
        <f t="shared" si="30"/>
        <v>-3.4583609769906008E-2</v>
      </c>
      <c r="S214">
        <f t="shared" si="31"/>
        <v>0</v>
      </c>
      <c r="T214">
        <f t="shared" si="32"/>
        <v>0</v>
      </c>
      <c r="U214" s="5">
        <f>0</f>
        <v>0</v>
      </c>
      <c r="V214" s="45">
        <f t="shared" si="36"/>
        <v>7.7945982060153907E-2</v>
      </c>
      <c r="W214" s="45">
        <f t="shared" si="37"/>
        <v>0</v>
      </c>
      <c r="X214" s="45">
        <f t="shared" si="38"/>
        <v>0</v>
      </c>
      <c r="Y214" s="46">
        <f>0</f>
        <v>0</v>
      </c>
      <c r="Z214" s="11"/>
    </row>
    <row r="215" spans="11:26" x14ac:dyDescent="0.45">
      <c r="K215" s="39">
        <f t="shared" si="33"/>
        <v>8.11</v>
      </c>
      <c r="L215" s="40">
        <f t="shared" si="26"/>
        <v>48.11</v>
      </c>
      <c r="M215" s="41">
        <f t="shared" si="27"/>
        <v>43.11</v>
      </c>
      <c r="N215" s="49">
        <f t="shared" si="28"/>
        <v>2.5272535033693842E-2</v>
      </c>
      <c r="O215" s="50">
        <f t="shared" si="29"/>
        <v>1.6425413729722133E-2</v>
      </c>
      <c r="P215" s="50">
        <f t="shared" si="34"/>
        <v>2.5272535033693842E-2</v>
      </c>
      <c r="Q215" s="51">
        <f t="shared" si="35"/>
        <v>1.6425413729722133E-2</v>
      </c>
      <c r="R215" s="4">
        <f t="shared" si="30"/>
        <v>-3.4518749633382501E-2</v>
      </c>
      <c r="S215">
        <f t="shared" si="31"/>
        <v>0</v>
      </c>
      <c r="T215">
        <f t="shared" si="32"/>
        <v>0</v>
      </c>
      <c r="U215" s="5">
        <f>0</f>
        <v>0</v>
      </c>
      <c r="V215" s="45">
        <f t="shared" si="36"/>
        <v>7.8291818157852966E-2</v>
      </c>
      <c r="W215" s="45">
        <f t="shared" si="37"/>
        <v>0</v>
      </c>
      <c r="X215" s="45">
        <f t="shared" si="38"/>
        <v>0</v>
      </c>
      <c r="Y215" s="46">
        <f>0</f>
        <v>0</v>
      </c>
      <c r="Z215" s="11"/>
    </row>
    <row r="216" spans="11:26" x14ac:dyDescent="0.45">
      <c r="K216" s="39">
        <f t="shared" si="33"/>
        <v>8.1</v>
      </c>
      <c r="L216" s="40">
        <f t="shared" si="26"/>
        <v>48.1</v>
      </c>
      <c r="M216" s="41">
        <f t="shared" si="27"/>
        <v>43.1</v>
      </c>
      <c r="N216" s="49">
        <f t="shared" si="28"/>
        <v>2.5250765126969443E-2</v>
      </c>
      <c r="O216" s="50">
        <f t="shared" si="29"/>
        <v>1.6411264784065158E-2</v>
      </c>
      <c r="P216" s="50">
        <f t="shared" si="34"/>
        <v>2.5250765126969443E-2</v>
      </c>
      <c r="Q216" s="51">
        <f t="shared" si="35"/>
        <v>1.6411264784065158E-2</v>
      </c>
      <c r="R216" s="4">
        <f t="shared" si="30"/>
        <v>-3.4454002346646334E-2</v>
      </c>
      <c r="S216">
        <f t="shared" si="31"/>
        <v>0</v>
      </c>
      <c r="T216">
        <f t="shared" si="32"/>
        <v>0</v>
      </c>
      <c r="U216" s="5">
        <f>0</f>
        <v>0</v>
      </c>
      <c r="V216" s="45">
        <f t="shared" si="36"/>
        <v>7.8637005654186798E-2</v>
      </c>
      <c r="W216" s="45">
        <f t="shared" si="37"/>
        <v>0</v>
      </c>
      <c r="X216" s="45">
        <f t="shared" si="38"/>
        <v>0</v>
      </c>
      <c r="Y216" s="46">
        <f>0</f>
        <v>0</v>
      </c>
      <c r="Z216" s="11"/>
    </row>
    <row r="217" spans="11:26" x14ac:dyDescent="0.45">
      <c r="K217" s="39">
        <f t="shared" si="33"/>
        <v>8.09</v>
      </c>
      <c r="L217" s="40">
        <f t="shared" si="26"/>
        <v>48.09</v>
      </c>
      <c r="M217" s="41">
        <f t="shared" si="27"/>
        <v>43.09</v>
      </c>
      <c r="N217" s="49">
        <f t="shared" si="28"/>
        <v>2.5229013972967635E-2</v>
      </c>
      <c r="O217" s="50">
        <f t="shared" si="29"/>
        <v>1.6397128026391174E-2</v>
      </c>
      <c r="P217" s="50">
        <f t="shared" si="34"/>
        <v>2.5229013972967635E-2</v>
      </c>
      <c r="Q217" s="51">
        <f t="shared" si="35"/>
        <v>1.6397128026391174E-2</v>
      </c>
      <c r="R217" s="4">
        <f t="shared" si="30"/>
        <v>-3.4389367679769307E-2</v>
      </c>
      <c r="S217">
        <f t="shared" si="31"/>
        <v>0</v>
      </c>
      <c r="T217">
        <f t="shared" si="32"/>
        <v>0</v>
      </c>
      <c r="U217" s="5">
        <f>0</f>
        <v>0</v>
      </c>
      <c r="V217" s="45">
        <f t="shared" si="36"/>
        <v>7.8981545677653267E-2</v>
      </c>
      <c r="W217" s="45">
        <f t="shared" si="37"/>
        <v>0</v>
      </c>
      <c r="X217" s="45">
        <f t="shared" si="38"/>
        <v>0</v>
      </c>
      <c r="Y217" s="46">
        <f>0</f>
        <v>0</v>
      </c>
      <c r="Z217" s="11"/>
    </row>
    <row r="218" spans="11:26" x14ac:dyDescent="0.45">
      <c r="K218" s="39">
        <f t="shared" si="33"/>
        <v>8.08</v>
      </c>
      <c r="L218" s="40">
        <f t="shared" ref="L218:L281" si="39">InitialAge_x+K218</f>
        <v>48.08</v>
      </c>
      <c r="M218" s="41">
        <f t="shared" ref="M218:M281" si="40">InitialAge_y+K218</f>
        <v>43.08</v>
      </c>
      <c r="N218" s="49">
        <f t="shared" ref="N218:N281" si="41">muParameter_B*muParameter_c^L218</f>
        <v>2.5207281555534703E-2</v>
      </c>
      <c r="O218" s="50">
        <f t="shared" ref="O218:O281" si="42">muParameter_B*muParameter_c^M218</f>
        <v>1.6383003446201382E-2</v>
      </c>
      <c r="P218" s="50">
        <f t="shared" si="34"/>
        <v>2.5207281555534703E-2</v>
      </c>
      <c r="Q218" s="51">
        <f t="shared" si="35"/>
        <v>1.6383003446201382E-2</v>
      </c>
      <c r="R218" s="4">
        <f t="shared" ref="R218:R281" si="43">V218*Delta-Constant_b1-(O218*(Constant_b12+W218-V218)+N218*(Constant_b13+X218-V218))</f>
        <v>-3.4324845403373994E-2</v>
      </c>
      <c r="S218">
        <f t="shared" ref="S218:S281" si="44">W218*Delta-Constant_b2-(P218*(Constant_b24+Y218-W218)+Q218*(Constant_b34+Y218-X218))</f>
        <v>0</v>
      </c>
      <c r="T218">
        <f t="shared" ref="T218:T281" si="45">X218*Delta-Constant_b3-(Q218*(Constant_b34+Y218-X218))</f>
        <v>0</v>
      </c>
      <c r="U218" s="5">
        <f>0</f>
        <v>0</v>
      </c>
      <c r="V218" s="45">
        <f t="shared" si="36"/>
        <v>7.9325439354450966E-2</v>
      </c>
      <c r="W218" s="45">
        <f t="shared" si="37"/>
        <v>0</v>
      </c>
      <c r="X218" s="45">
        <f t="shared" si="38"/>
        <v>0</v>
      </c>
      <c r="Y218" s="46">
        <f>0</f>
        <v>0</v>
      </c>
      <c r="Z218" s="11"/>
    </row>
    <row r="219" spans="11:26" x14ac:dyDescent="0.45">
      <c r="K219" s="39">
        <f t="shared" ref="K219:K282" si="46">ROUND(K218-StepSize,2)</f>
        <v>8.07</v>
      </c>
      <c r="L219" s="40">
        <f t="shared" si="39"/>
        <v>48.07</v>
      </c>
      <c r="M219" s="41">
        <f t="shared" si="40"/>
        <v>43.07</v>
      </c>
      <c r="N219" s="49">
        <f t="shared" si="41"/>
        <v>2.5185567858530898E-2</v>
      </c>
      <c r="O219" s="50">
        <f t="shared" si="42"/>
        <v>1.6368891033006039E-2</v>
      </c>
      <c r="P219" s="50">
        <f t="shared" ref="P219:P282" si="47">N219</f>
        <v>2.5185567858530898E-2</v>
      </c>
      <c r="Q219" s="51">
        <f t="shared" ref="Q219:Q282" si="48">O219</f>
        <v>1.6368891033006039E-2</v>
      </c>
      <c r="R219" s="4">
        <f t="shared" si="43"/>
        <v>-3.4260435288632332E-2</v>
      </c>
      <c r="S219">
        <f t="shared" si="44"/>
        <v>0</v>
      </c>
      <c r="T219">
        <f t="shared" si="45"/>
        <v>0</v>
      </c>
      <c r="U219" s="5">
        <f>0</f>
        <v>0</v>
      </c>
      <c r="V219" s="45">
        <f t="shared" ref="V219:V282" si="49">V218-StepSize*(R218)</f>
        <v>7.9668687808484712E-2</v>
      </c>
      <c r="W219" s="45">
        <f t="shared" ref="W219:W282" si="50">W218-StepSize*(S218)</f>
        <v>0</v>
      </c>
      <c r="X219" s="45">
        <f t="shared" ref="X219:X282" si="51">X218-StepSize*(T218)</f>
        <v>0</v>
      </c>
      <c r="Y219" s="46">
        <f>0</f>
        <v>0</v>
      </c>
      <c r="Z219" s="11"/>
    </row>
    <row r="220" spans="11:26" x14ac:dyDescent="0.45">
      <c r="K220" s="39">
        <f t="shared" si="46"/>
        <v>8.06</v>
      </c>
      <c r="L220" s="40">
        <f t="shared" si="39"/>
        <v>48.06</v>
      </c>
      <c r="M220" s="41">
        <f t="shared" si="40"/>
        <v>43.06</v>
      </c>
      <c r="N220" s="49">
        <f t="shared" si="41"/>
        <v>2.5163872865830311E-2</v>
      </c>
      <c r="O220" s="50">
        <f t="shared" si="42"/>
        <v>1.6354790776324412E-2</v>
      </c>
      <c r="P220" s="50">
        <f t="shared" si="47"/>
        <v>2.5163872865830311E-2</v>
      </c>
      <c r="Q220" s="51">
        <f t="shared" si="48"/>
        <v>1.6354790776324412E-2</v>
      </c>
      <c r="R220" s="4">
        <f t="shared" si="43"/>
        <v>-3.4196137107264032E-2</v>
      </c>
      <c r="S220">
        <f t="shared" si="44"/>
        <v>0</v>
      </c>
      <c r="T220">
        <f t="shared" si="45"/>
        <v>0</v>
      </c>
      <c r="U220" s="5">
        <f>0</f>
        <v>0</v>
      </c>
      <c r="V220" s="45">
        <f t="shared" si="49"/>
        <v>8.0011292161371039E-2</v>
      </c>
      <c r="W220" s="45">
        <f t="shared" si="50"/>
        <v>0</v>
      </c>
      <c r="X220" s="45">
        <f t="shared" si="51"/>
        <v>0</v>
      </c>
      <c r="Y220" s="46">
        <f>0</f>
        <v>0</v>
      </c>
      <c r="Z220" s="11"/>
    </row>
    <row r="221" spans="11:26" x14ac:dyDescent="0.45">
      <c r="K221" s="39">
        <f t="shared" si="46"/>
        <v>8.0500000000000007</v>
      </c>
      <c r="L221" s="40">
        <f t="shared" si="39"/>
        <v>48.05</v>
      </c>
      <c r="M221" s="41">
        <f t="shared" si="40"/>
        <v>43.05</v>
      </c>
      <c r="N221" s="49">
        <f t="shared" si="41"/>
        <v>2.5142196561320954E-2</v>
      </c>
      <c r="O221" s="50">
        <f t="shared" si="42"/>
        <v>1.6340702665684811E-2</v>
      </c>
      <c r="P221" s="50">
        <f t="shared" si="47"/>
        <v>2.5142196561320954E-2</v>
      </c>
      <c r="Q221" s="51">
        <f t="shared" si="48"/>
        <v>1.6340702665684811E-2</v>
      </c>
      <c r="R221" s="4">
        <f t="shared" si="43"/>
        <v>-3.4131950631535173E-2</v>
      </c>
      <c r="S221">
        <f t="shared" si="44"/>
        <v>0</v>
      </c>
      <c r="T221">
        <f t="shared" si="45"/>
        <v>0</v>
      </c>
      <c r="U221" s="5">
        <f>0</f>
        <v>0</v>
      </c>
      <c r="V221" s="45">
        <f t="shared" si="49"/>
        <v>8.0353253532443686E-2</v>
      </c>
      <c r="W221" s="45">
        <f t="shared" si="50"/>
        <v>0</v>
      </c>
      <c r="X221" s="45">
        <f t="shared" si="51"/>
        <v>0</v>
      </c>
      <c r="Y221" s="46">
        <f>0</f>
        <v>0</v>
      </c>
      <c r="Z221" s="11"/>
    </row>
    <row r="222" spans="11:26" x14ac:dyDescent="0.45">
      <c r="K222" s="39">
        <f t="shared" si="46"/>
        <v>8.0399999999999991</v>
      </c>
      <c r="L222" s="40">
        <f t="shared" si="39"/>
        <v>48.04</v>
      </c>
      <c r="M222" s="41">
        <f t="shared" si="40"/>
        <v>43.04</v>
      </c>
      <c r="N222" s="49">
        <f t="shared" si="41"/>
        <v>2.5120538928904704E-2</v>
      </c>
      <c r="O222" s="50">
        <f t="shared" si="42"/>
        <v>1.6326626690624579E-2</v>
      </c>
      <c r="P222" s="50">
        <f t="shared" si="47"/>
        <v>2.5120538928904704E-2</v>
      </c>
      <c r="Q222" s="51">
        <f t="shared" si="48"/>
        <v>1.6326626690624579E-2</v>
      </c>
      <c r="R222" s="4">
        <f t="shared" si="43"/>
        <v>-3.4067875634256686E-2</v>
      </c>
      <c r="S222">
        <f t="shared" si="44"/>
        <v>0</v>
      </c>
      <c r="T222">
        <f t="shared" si="45"/>
        <v>0</v>
      </c>
      <c r="U222" s="5">
        <f>0</f>
        <v>0</v>
      </c>
      <c r="V222" s="45">
        <f t="shared" si="49"/>
        <v>8.0694573038759043E-2</v>
      </c>
      <c r="W222" s="45">
        <f t="shared" si="50"/>
        <v>0</v>
      </c>
      <c r="X222" s="45">
        <f t="shared" si="51"/>
        <v>0</v>
      </c>
      <c r="Y222" s="46">
        <f>0</f>
        <v>0</v>
      </c>
      <c r="Z222" s="11"/>
    </row>
    <row r="223" spans="11:26" x14ac:dyDescent="0.45">
      <c r="K223" s="39">
        <f t="shared" si="46"/>
        <v>8.0299999999999994</v>
      </c>
      <c r="L223" s="40">
        <f t="shared" si="39"/>
        <v>48.03</v>
      </c>
      <c r="M223" s="41">
        <f t="shared" si="40"/>
        <v>43.03</v>
      </c>
      <c r="N223" s="49">
        <f t="shared" si="41"/>
        <v>2.5098899952497318E-2</v>
      </c>
      <c r="O223" s="50">
        <f t="shared" si="42"/>
        <v>1.6312562840690048E-2</v>
      </c>
      <c r="P223" s="50">
        <f t="shared" si="47"/>
        <v>2.5098899952497318E-2</v>
      </c>
      <c r="Q223" s="51">
        <f t="shared" si="48"/>
        <v>1.6312562840690048E-2</v>
      </c>
      <c r="R223" s="4">
        <f t="shared" si="43"/>
        <v>-3.4003911888782865E-2</v>
      </c>
      <c r="S223">
        <f t="shared" si="44"/>
        <v>0</v>
      </c>
      <c r="T223">
        <f t="shared" si="45"/>
        <v>0</v>
      </c>
      <c r="U223" s="5">
        <f>0</f>
        <v>0</v>
      </c>
      <c r="V223" s="45">
        <f t="shared" si="49"/>
        <v>8.1035251795101612E-2</v>
      </c>
      <c r="W223" s="45">
        <f t="shared" si="50"/>
        <v>0</v>
      </c>
      <c r="X223" s="45">
        <f t="shared" si="51"/>
        <v>0</v>
      </c>
      <c r="Y223" s="46">
        <f>0</f>
        <v>0</v>
      </c>
      <c r="Z223" s="11"/>
    </row>
    <row r="224" spans="11:26" x14ac:dyDescent="0.45">
      <c r="K224" s="39">
        <f t="shared" si="46"/>
        <v>8.02</v>
      </c>
      <c r="L224" s="40">
        <f t="shared" si="39"/>
        <v>48.019999999999996</v>
      </c>
      <c r="M224" s="41">
        <f t="shared" si="40"/>
        <v>43.019999999999996</v>
      </c>
      <c r="N224" s="49">
        <f t="shared" si="41"/>
        <v>2.5077279616028382E-2</v>
      </c>
      <c r="O224" s="50">
        <f t="shared" si="42"/>
        <v>1.6298511105436564E-2</v>
      </c>
      <c r="P224" s="50">
        <f t="shared" si="47"/>
        <v>2.5077279616028382E-2</v>
      </c>
      <c r="Q224" s="51">
        <f t="shared" si="48"/>
        <v>1.6298511105436564E-2</v>
      </c>
      <c r="R224" s="4">
        <f t="shared" si="43"/>
        <v>-3.3940059169009919E-2</v>
      </c>
      <c r="S224">
        <f t="shared" si="44"/>
        <v>0</v>
      </c>
      <c r="T224">
        <f t="shared" si="45"/>
        <v>0</v>
      </c>
      <c r="U224" s="5">
        <f>0</f>
        <v>0</v>
      </c>
      <c r="V224" s="45">
        <f t="shared" si="49"/>
        <v>8.1375290913989443E-2</v>
      </c>
      <c r="W224" s="45">
        <f t="shared" si="50"/>
        <v>0</v>
      </c>
      <c r="X224" s="45">
        <f t="shared" si="51"/>
        <v>0</v>
      </c>
      <c r="Y224" s="46">
        <f>0</f>
        <v>0</v>
      </c>
      <c r="Z224" s="11"/>
    </row>
    <row r="225" spans="11:26" x14ac:dyDescent="0.45">
      <c r="K225" s="39">
        <f t="shared" si="46"/>
        <v>8.01</v>
      </c>
      <c r="L225" s="40">
        <f t="shared" si="39"/>
        <v>48.01</v>
      </c>
      <c r="M225" s="41">
        <f t="shared" si="40"/>
        <v>43.01</v>
      </c>
      <c r="N225" s="49">
        <f t="shared" si="41"/>
        <v>2.5055677903441386E-2</v>
      </c>
      <c r="O225" s="50">
        <f t="shared" si="42"/>
        <v>1.6284471474428477E-2</v>
      </c>
      <c r="P225" s="50">
        <f t="shared" si="47"/>
        <v>2.5055677903441386E-2</v>
      </c>
      <c r="Q225" s="51">
        <f t="shared" si="48"/>
        <v>1.6284471474428477E-2</v>
      </c>
      <c r="R225" s="4">
        <f t="shared" si="43"/>
        <v>-3.3876317249374538E-2</v>
      </c>
      <c r="S225">
        <f t="shared" si="44"/>
        <v>0</v>
      </c>
      <c r="T225">
        <f t="shared" si="45"/>
        <v>0</v>
      </c>
      <c r="U225" s="5">
        <f>0</f>
        <v>0</v>
      </c>
      <c r="V225" s="45">
        <f t="shared" si="49"/>
        <v>8.1714691505679546E-2</v>
      </c>
      <c r="W225" s="45">
        <f t="shared" si="50"/>
        <v>0</v>
      </c>
      <c r="X225" s="45">
        <f t="shared" si="51"/>
        <v>0</v>
      </c>
      <c r="Y225" s="46">
        <f>0</f>
        <v>0</v>
      </c>
      <c r="Z225" s="11"/>
    </row>
    <row r="226" spans="11:26" x14ac:dyDescent="0.45">
      <c r="K226" s="39">
        <f t="shared" si="46"/>
        <v>8</v>
      </c>
      <c r="L226" s="40">
        <f t="shared" si="39"/>
        <v>48</v>
      </c>
      <c r="M226" s="41">
        <f t="shared" si="40"/>
        <v>43</v>
      </c>
      <c r="N226" s="49">
        <f t="shared" si="41"/>
        <v>2.5034094798693562E-2</v>
      </c>
      <c r="O226" s="50">
        <f t="shared" si="42"/>
        <v>1.6270443937239101E-2</v>
      </c>
      <c r="P226" s="50">
        <f t="shared" si="47"/>
        <v>2.5034094798693562E-2</v>
      </c>
      <c r="Q226" s="51">
        <f t="shared" si="48"/>
        <v>1.6270443937239101E-2</v>
      </c>
      <c r="R226" s="4">
        <f t="shared" si="43"/>
        <v>-3.3812685904852292E-2</v>
      </c>
      <c r="S226">
        <f t="shared" si="44"/>
        <v>0</v>
      </c>
      <c r="T226">
        <f t="shared" si="45"/>
        <v>0</v>
      </c>
      <c r="U226" s="5">
        <f>0</f>
        <v>0</v>
      </c>
      <c r="V226" s="45">
        <f t="shared" si="49"/>
        <v>8.2053454678173293E-2</v>
      </c>
      <c r="W226" s="45">
        <f t="shared" si="50"/>
        <v>0</v>
      </c>
      <c r="X226" s="45">
        <f t="shared" si="51"/>
        <v>0</v>
      </c>
      <c r="Y226" s="46">
        <f>0</f>
        <v>0</v>
      </c>
      <c r="Z226" s="11"/>
    </row>
    <row r="227" spans="11:26" x14ac:dyDescent="0.45">
      <c r="K227" s="39">
        <f t="shared" si="46"/>
        <v>7.99</v>
      </c>
      <c r="L227" s="40">
        <f t="shared" si="39"/>
        <v>47.99</v>
      </c>
      <c r="M227" s="41">
        <f t="shared" si="40"/>
        <v>42.99</v>
      </c>
      <c r="N227" s="49">
        <f t="shared" si="41"/>
        <v>2.5012530285756094E-2</v>
      </c>
      <c r="O227" s="50">
        <f t="shared" si="42"/>
        <v>1.6256428483450807E-2</v>
      </c>
      <c r="P227" s="50">
        <f t="shared" si="47"/>
        <v>2.5012530285756094E-2</v>
      </c>
      <c r="Q227" s="51">
        <f t="shared" si="48"/>
        <v>1.6256428483450807E-2</v>
      </c>
      <c r="R227" s="4">
        <f t="shared" si="43"/>
        <v>-3.3749164910956454E-2</v>
      </c>
      <c r="S227">
        <f t="shared" si="44"/>
        <v>0</v>
      </c>
      <c r="T227">
        <f t="shared" si="45"/>
        <v>0</v>
      </c>
      <c r="U227" s="5">
        <f>0</f>
        <v>0</v>
      </c>
      <c r="V227" s="45">
        <f t="shared" si="49"/>
        <v>8.2391581537221814E-2</v>
      </c>
      <c r="W227" s="45">
        <f t="shared" si="50"/>
        <v>0</v>
      </c>
      <c r="X227" s="45">
        <f t="shared" si="51"/>
        <v>0</v>
      </c>
      <c r="Y227" s="46">
        <f>0</f>
        <v>0</v>
      </c>
      <c r="Z227" s="11"/>
    </row>
    <row r="228" spans="11:26" x14ac:dyDescent="0.45">
      <c r="K228" s="39">
        <f t="shared" si="46"/>
        <v>7.98</v>
      </c>
      <c r="L228" s="40">
        <f t="shared" si="39"/>
        <v>47.980000000000004</v>
      </c>
      <c r="M228" s="41">
        <f t="shared" si="40"/>
        <v>42.980000000000004</v>
      </c>
      <c r="N228" s="49">
        <f t="shared" si="41"/>
        <v>2.4990984348613812E-2</v>
      </c>
      <c r="O228" s="50">
        <f t="shared" si="42"/>
        <v>1.6242425102654827E-2</v>
      </c>
      <c r="P228" s="50">
        <f t="shared" si="47"/>
        <v>2.4990984348613812E-2</v>
      </c>
      <c r="Q228" s="51">
        <f t="shared" si="48"/>
        <v>1.6242425102654827E-2</v>
      </c>
      <c r="R228" s="4">
        <f t="shared" si="43"/>
        <v>-3.3685754043736096E-2</v>
      </c>
      <c r="S228">
        <f t="shared" si="44"/>
        <v>0</v>
      </c>
      <c r="T228">
        <f t="shared" si="45"/>
        <v>0</v>
      </c>
      <c r="U228" s="5">
        <f>0</f>
        <v>0</v>
      </c>
      <c r="V228" s="45">
        <f t="shared" si="49"/>
        <v>8.2729073186331381E-2</v>
      </c>
      <c r="W228" s="45">
        <f t="shared" si="50"/>
        <v>0</v>
      </c>
      <c r="X228" s="45">
        <f t="shared" si="51"/>
        <v>0</v>
      </c>
      <c r="Y228" s="46">
        <f>0</f>
        <v>0</v>
      </c>
      <c r="Z228" s="11"/>
    </row>
    <row r="229" spans="11:26" x14ac:dyDescent="0.45">
      <c r="K229" s="39">
        <f t="shared" si="46"/>
        <v>7.97</v>
      </c>
      <c r="L229" s="40">
        <f t="shared" si="39"/>
        <v>47.97</v>
      </c>
      <c r="M229" s="41">
        <f t="shared" si="40"/>
        <v>42.97</v>
      </c>
      <c r="N229" s="49">
        <f t="shared" si="41"/>
        <v>2.4969456971265441E-2</v>
      </c>
      <c r="O229" s="50">
        <f t="shared" si="42"/>
        <v>1.6228433784451424E-2</v>
      </c>
      <c r="P229" s="50">
        <f t="shared" si="47"/>
        <v>2.4969456971265441E-2</v>
      </c>
      <c r="Q229" s="51">
        <f t="shared" si="48"/>
        <v>1.6228433784451424E-2</v>
      </c>
      <c r="R229" s="4">
        <f t="shared" si="43"/>
        <v>-3.3622453079775065E-2</v>
      </c>
      <c r="S229">
        <f t="shared" si="44"/>
        <v>0</v>
      </c>
      <c r="T229">
        <f t="shared" si="45"/>
        <v>0</v>
      </c>
      <c r="U229" s="5">
        <f>0</f>
        <v>0</v>
      </c>
      <c r="V229" s="45">
        <f t="shared" si="49"/>
        <v>8.3065930726768739E-2</v>
      </c>
      <c r="W229" s="45">
        <f t="shared" si="50"/>
        <v>0</v>
      </c>
      <c r="X229" s="45">
        <f t="shared" si="51"/>
        <v>0</v>
      </c>
      <c r="Y229" s="46">
        <f>0</f>
        <v>0</v>
      </c>
      <c r="Z229" s="11"/>
    </row>
    <row r="230" spans="11:26" x14ac:dyDescent="0.45">
      <c r="K230" s="39">
        <f t="shared" si="46"/>
        <v>7.96</v>
      </c>
      <c r="L230" s="40">
        <f t="shared" si="39"/>
        <v>47.96</v>
      </c>
      <c r="M230" s="41">
        <f t="shared" si="40"/>
        <v>42.96</v>
      </c>
      <c r="N230" s="49">
        <f t="shared" si="41"/>
        <v>2.4947948137723469E-2</v>
      </c>
      <c r="O230" s="50">
        <f t="shared" si="42"/>
        <v>1.6214454518449831E-2</v>
      </c>
      <c r="P230" s="50">
        <f t="shared" si="47"/>
        <v>2.4947948137723469E-2</v>
      </c>
      <c r="Q230" s="51">
        <f t="shared" si="48"/>
        <v>1.6214454518449831E-2</v>
      </c>
      <c r="R230" s="4">
        <f t="shared" si="43"/>
        <v>-3.3559261796190343E-2</v>
      </c>
      <c r="S230">
        <f t="shared" si="44"/>
        <v>0</v>
      </c>
      <c r="T230">
        <f t="shared" si="45"/>
        <v>0</v>
      </c>
      <c r="U230" s="5">
        <f>0</f>
        <v>0</v>
      </c>
      <c r="V230" s="45">
        <f t="shared" si="49"/>
        <v>8.3402155257566488E-2</v>
      </c>
      <c r="W230" s="45">
        <f t="shared" si="50"/>
        <v>0</v>
      </c>
      <c r="X230" s="45">
        <f t="shared" si="51"/>
        <v>0</v>
      </c>
      <c r="Y230" s="46">
        <f>0</f>
        <v>0</v>
      </c>
      <c r="Z230" s="11"/>
    </row>
    <row r="231" spans="11:26" x14ac:dyDescent="0.45">
      <c r="K231" s="39">
        <f t="shared" si="46"/>
        <v>7.95</v>
      </c>
      <c r="L231" s="40">
        <f t="shared" si="39"/>
        <v>47.95</v>
      </c>
      <c r="M231" s="41">
        <f t="shared" si="40"/>
        <v>42.95</v>
      </c>
      <c r="N231" s="49">
        <f t="shared" si="41"/>
        <v>2.4926457832014151E-2</v>
      </c>
      <c r="O231" s="50">
        <f t="shared" si="42"/>
        <v>1.62004872942682E-2</v>
      </c>
      <c r="P231" s="50">
        <f t="shared" si="47"/>
        <v>2.4926457832014151E-2</v>
      </c>
      <c r="Q231" s="51">
        <f t="shared" si="48"/>
        <v>1.62004872942682E-2</v>
      </c>
      <c r="R231" s="4">
        <f t="shared" si="43"/>
        <v>-3.3496179970630612E-2</v>
      </c>
      <c r="S231">
        <f t="shared" si="44"/>
        <v>0</v>
      </c>
      <c r="T231">
        <f t="shared" si="45"/>
        <v>0</v>
      </c>
      <c r="U231" s="5">
        <f>0</f>
        <v>0</v>
      </c>
      <c r="V231" s="45">
        <f t="shared" si="49"/>
        <v>8.3737747875528387E-2</v>
      </c>
      <c r="W231" s="45">
        <f t="shared" si="50"/>
        <v>0</v>
      </c>
      <c r="X231" s="45">
        <f t="shared" si="51"/>
        <v>0</v>
      </c>
      <c r="Y231" s="46">
        <f>0</f>
        <v>0</v>
      </c>
      <c r="Z231" s="11"/>
    </row>
    <row r="232" spans="11:26" x14ac:dyDescent="0.45">
      <c r="K232" s="39">
        <f t="shared" si="46"/>
        <v>7.94</v>
      </c>
      <c r="L232" s="40">
        <f t="shared" si="39"/>
        <v>47.94</v>
      </c>
      <c r="M232" s="41">
        <f t="shared" si="40"/>
        <v>42.94</v>
      </c>
      <c r="N232" s="49">
        <f t="shared" si="41"/>
        <v>2.4904986038177493E-2</v>
      </c>
      <c r="O232" s="50">
        <f t="shared" si="42"/>
        <v>1.6186532101533636E-2</v>
      </c>
      <c r="P232" s="50">
        <f t="shared" si="47"/>
        <v>2.4904986038177493E-2</v>
      </c>
      <c r="Q232" s="51">
        <f t="shared" si="48"/>
        <v>1.6186532101533636E-2</v>
      </c>
      <c r="R232" s="4">
        <f t="shared" si="43"/>
        <v>-3.3433207381274817E-2</v>
      </c>
      <c r="S232">
        <f t="shared" si="44"/>
        <v>0</v>
      </c>
      <c r="T232">
        <f t="shared" si="45"/>
        <v>0</v>
      </c>
      <c r="U232" s="5">
        <f>0</f>
        <v>0</v>
      </c>
      <c r="V232" s="45">
        <f t="shared" si="49"/>
        <v>8.4072709675234697E-2</v>
      </c>
      <c r="W232" s="45">
        <f t="shared" si="50"/>
        <v>0</v>
      </c>
      <c r="X232" s="45">
        <f t="shared" si="51"/>
        <v>0</v>
      </c>
      <c r="Y232" s="46">
        <f>0</f>
        <v>0</v>
      </c>
      <c r="Z232" s="11"/>
    </row>
    <row r="233" spans="11:26" x14ac:dyDescent="0.45">
      <c r="K233" s="39">
        <f t="shared" si="46"/>
        <v>7.93</v>
      </c>
      <c r="L233" s="40">
        <f t="shared" si="39"/>
        <v>47.93</v>
      </c>
      <c r="M233" s="41">
        <f t="shared" si="40"/>
        <v>42.93</v>
      </c>
      <c r="N233" s="49">
        <f t="shared" si="41"/>
        <v>2.4883532740267299E-2</v>
      </c>
      <c r="O233" s="50">
        <f t="shared" si="42"/>
        <v>1.6172588929882194E-2</v>
      </c>
      <c r="P233" s="50">
        <f t="shared" si="47"/>
        <v>2.4883532740267299E-2</v>
      </c>
      <c r="Q233" s="51">
        <f t="shared" si="48"/>
        <v>1.6172588929882194E-2</v>
      </c>
      <c r="R233" s="4">
        <f t="shared" si="43"/>
        <v>-3.3370343806830835E-2</v>
      </c>
      <c r="S233">
        <f t="shared" si="44"/>
        <v>0</v>
      </c>
      <c r="T233">
        <f t="shared" si="45"/>
        <v>0</v>
      </c>
      <c r="U233" s="5">
        <f>0</f>
        <v>0</v>
      </c>
      <c r="V233" s="45">
        <f t="shared" si="49"/>
        <v>8.4407041749047451E-2</v>
      </c>
      <c r="W233" s="45">
        <f t="shared" si="50"/>
        <v>0</v>
      </c>
      <c r="X233" s="45">
        <f t="shared" si="51"/>
        <v>0</v>
      </c>
      <c r="Y233" s="46">
        <f>0</f>
        <v>0</v>
      </c>
      <c r="Z233" s="11"/>
    </row>
    <row r="234" spans="11:26" x14ac:dyDescent="0.45">
      <c r="K234" s="39">
        <f t="shared" si="46"/>
        <v>7.92</v>
      </c>
      <c r="L234" s="40">
        <f t="shared" si="39"/>
        <v>47.92</v>
      </c>
      <c r="M234" s="41">
        <f t="shared" si="40"/>
        <v>42.92</v>
      </c>
      <c r="N234" s="49">
        <f t="shared" si="41"/>
        <v>2.4862097922351056E-2</v>
      </c>
      <c r="O234" s="50">
        <f t="shared" si="42"/>
        <v>1.6158657768958834E-2</v>
      </c>
      <c r="P234" s="50">
        <f t="shared" si="47"/>
        <v>2.4862097922351056E-2</v>
      </c>
      <c r="Q234" s="51">
        <f t="shared" si="48"/>
        <v>1.6158657768958834E-2</v>
      </c>
      <c r="R234" s="4">
        <f t="shared" si="43"/>
        <v>-3.3307589026533885E-2</v>
      </c>
      <c r="S234">
        <f t="shared" si="44"/>
        <v>0</v>
      </c>
      <c r="T234">
        <f t="shared" si="45"/>
        <v>0</v>
      </c>
      <c r="U234" s="5">
        <f>0</f>
        <v>0</v>
      </c>
      <c r="V234" s="45">
        <f t="shared" si="49"/>
        <v>8.474074518711576E-2</v>
      </c>
      <c r="W234" s="45">
        <f t="shared" si="50"/>
        <v>0</v>
      </c>
      <c r="X234" s="45">
        <f t="shared" si="51"/>
        <v>0</v>
      </c>
      <c r="Y234" s="46">
        <f>0</f>
        <v>0</v>
      </c>
      <c r="Z234" s="11"/>
    </row>
    <row r="235" spans="11:26" x14ac:dyDescent="0.45">
      <c r="K235" s="39">
        <f t="shared" si="46"/>
        <v>7.91</v>
      </c>
      <c r="L235" s="40">
        <f t="shared" si="39"/>
        <v>47.91</v>
      </c>
      <c r="M235" s="41">
        <f t="shared" si="40"/>
        <v>42.91</v>
      </c>
      <c r="N235" s="49">
        <f t="shared" si="41"/>
        <v>2.4840681568509982E-2</v>
      </c>
      <c r="O235" s="50">
        <f t="shared" si="42"/>
        <v>1.614473860841744E-2</v>
      </c>
      <c r="P235" s="50">
        <f t="shared" si="47"/>
        <v>2.4840681568509982E-2</v>
      </c>
      <c r="Q235" s="51">
        <f t="shared" si="48"/>
        <v>1.614473860841744E-2</v>
      </c>
      <c r="R235" s="4">
        <f t="shared" si="43"/>
        <v>-3.324494282014516E-2</v>
      </c>
      <c r="S235">
        <f t="shared" si="44"/>
        <v>0</v>
      </c>
      <c r="T235">
        <f t="shared" si="45"/>
        <v>0</v>
      </c>
      <c r="U235" s="5">
        <f>0</f>
        <v>0</v>
      </c>
      <c r="V235" s="45">
        <f t="shared" si="49"/>
        <v>8.5073821077381095E-2</v>
      </c>
      <c r="W235" s="45">
        <f t="shared" si="50"/>
        <v>0</v>
      </c>
      <c r="X235" s="45">
        <f t="shared" si="51"/>
        <v>0</v>
      </c>
      <c r="Y235" s="46">
        <f>0</f>
        <v>0</v>
      </c>
      <c r="Z235" s="11"/>
    </row>
    <row r="236" spans="11:26" x14ac:dyDescent="0.45">
      <c r="K236" s="39">
        <f t="shared" si="46"/>
        <v>7.9</v>
      </c>
      <c r="L236" s="40">
        <f t="shared" si="39"/>
        <v>47.9</v>
      </c>
      <c r="M236" s="41">
        <f t="shared" si="40"/>
        <v>42.9</v>
      </c>
      <c r="N236" s="49">
        <f t="shared" si="41"/>
        <v>2.4819283662839021E-2</v>
      </c>
      <c r="O236" s="50">
        <f t="shared" si="42"/>
        <v>1.6130831437920833E-2</v>
      </c>
      <c r="P236" s="50">
        <f t="shared" si="47"/>
        <v>2.4819283662839021E-2</v>
      </c>
      <c r="Q236" s="51">
        <f t="shared" si="48"/>
        <v>1.6130831437920833E-2</v>
      </c>
      <c r="R236" s="4">
        <f t="shared" si="43"/>
        <v>-3.3182404967950496E-2</v>
      </c>
      <c r="S236">
        <f t="shared" si="44"/>
        <v>0</v>
      </c>
      <c r="T236">
        <f t="shared" si="45"/>
        <v>0</v>
      </c>
      <c r="U236" s="5">
        <f>0</f>
        <v>0</v>
      </c>
      <c r="V236" s="45">
        <f t="shared" si="49"/>
        <v>8.5406270505582541E-2</v>
      </c>
      <c r="W236" s="45">
        <f t="shared" si="50"/>
        <v>0</v>
      </c>
      <c r="X236" s="45">
        <f t="shared" si="51"/>
        <v>0</v>
      </c>
      <c r="Y236" s="46">
        <f>0</f>
        <v>0</v>
      </c>
      <c r="Z236" s="11"/>
    </row>
    <row r="237" spans="11:26" x14ac:dyDescent="0.45">
      <c r="K237" s="39">
        <f t="shared" si="46"/>
        <v>7.89</v>
      </c>
      <c r="L237" s="40">
        <f t="shared" si="39"/>
        <v>47.89</v>
      </c>
      <c r="M237" s="41">
        <f t="shared" si="40"/>
        <v>42.89</v>
      </c>
      <c r="N237" s="49">
        <f t="shared" si="41"/>
        <v>2.4797904189446818E-2</v>
      </c>
      <c r="O237" s="50">
        <f t="shared" si="42"/>
        <v>1.6116936247140709E-2</v>
      </c>
      <c r="P237" s="50">
        <f t="shared" si="47"/>
        <v>2.4797904189446818E-2</v>
      </c>
      <c r="Q237" s="51">
        <f t="shared" si="48"/>
        <v>1.6116936247140709E-2</v>
      </c>
      <c r="R237" s="4">
        <f t="shared" si="43"/>
        <v>-3.3119975250758826E-2</v>
      </c>
      <c r="S237">
        <f t="shared" si="44"/>
        <v>0</v>
      </c>
      <c r="T237">
        <f t="shared" si="45"/>
        <v>0</v>
      </c>
      <c r="U237" s="5">
        <f>0</f>
        <v>0</v>
      </c>
      <c r="V237" s="45">
        <f t="shared" si="49"/>
        <v>8.5738094555262045E-2</v>
      </c>
      <c r="W237" s="45">
        <f t="shared" si="50"/>
        <v>0</v>
      </c>
      <c r="X237" s="45">
        <f t="shared" si="51"/>
        <v>0</v>
      </c>
      <c r="Y237" s="46">
        <f>0</f>
        <v>0</v>
      </c>
      <c r="Z237" s="11"/>
    </row>
    <row r="238" spans="11:26" x14ac:dyDescent="0.45">
      <c r="K238" s="39">
        <f t="shared" si="46"/>
        <v>7.88</v>
      </c>
      <c r="L238" s="40">
        <f t="shared" si="39"/>
        <v>47.88</v>
      </c>
      <c r="M238" s="41">
        <f t="shared" si="40"/>
        <v>42.88</v>
      </c>
      <c r="N238" s="49">
        <f t="shared" si="41"/>
        <v>2.4776543132455694E-2</v>
      </c>
      <c r="O238" s="50">
        <f t="shared" si="42"/>
        <v>1.6103053025757673E-2</v>
      </c>
      <c r="P238" s="50">
        <f t="shared" si="47"/>
        <v>2.4776543132455694E-2</v>
      </c>
      <c r="Q238" s="51">
        <f t="shared" si="48"/>
        <v>1.6103053025757673E-2</v>
      </c>
      <c r="R238" s="4">
        <f t="shared" si="43"/>
        <v>-3.3057653449900845E-2</v>
      </c>
      <c r="S238">
        <f t="shared" si="44"/>
        <v>0</v>
      </c>
      <c r="T238">
        <f t="shared" si="45"/>
        <v>0</v>
      </c>
      <c r="U238" s="5">
        <f>0</f>
        <v>0</v>
      </c>
      <c r="V238" s="45">
        <f t="shared" si="49"/>
        <v>8.6069294307769634E-2</v>
      </c>
      <c r="W238" s="45">
        <f t="shared" si="50"/>
        <v>0</v>
      </c>
      <c r="X238" s="45">
        <f t="shared" si="51"/>
        <v>0</v>
      </c>
      <c r="Y238" s="46">
        <f>0</f>
        <v>0</v>
      </c>
      <c r="Z238" s="11"/>
    </row>
    <row r="239" spans="11:26" x14ac:dyDescent="0.45">
      <c r="K239" s="39">
        <f t="shared" si="46"/>
        <v>7.87</v>
      </c>
      <c r="L239" s="40">
        <f t="shared" si="39"/>
        <v>47.87</v>
      </c>
      <c r="M239" s="41">
        <f t="shared" si="40"/>
        <v>42.87</v>
      </c>
      <c r="N239" s="49">
        <f t="shared" si="41"/>
        <v>2.4755200476001639E-2</v>
      </c>
      <c r="O239" s="50">
        <f t="shared" si="42"/>
        <v>1.6089181763461205E-2</v>
      </c>
      <c r="P239" s="50">
        <f t="shared" si="47"/>
        <v>2.4755200476001639E-2</v>
      </c>
      <c r="Q239" s="51">
        <f t="shared" si="48"/>
        <v>1.6089181763461205E-2</v>
      </c>
      <c r="R239" s="4">
        <f t="shared" si="43"/>
        <v>-3.2995439347227574E-2</v>
      </c>
      <c r="S239">
        <f t="shared" si="44"/>
        <v>0</v>
      </c>
      <c r="T239">
        <f t="shared" si="45"/>
        <v>0</v>
      </c>
      <c r="U239" s="5">
        <f>0</f>
        <v>0</v>
      </c>
      <c r="V239" s="45">
        <f t="shared" si="49"/>
        <v>8.6399870842268647E-2</v>
      </c>
      <c r="W239" s="45">
        <f t="shared" si="50"/>
        <v>0</v>
      </c>
      <c r="X239" s="45">
        <f t="shared" si="51"/>
        <v>0</v>
      </c>
      <c r="Y239" s="46">
        <f>0</f>
        <v>0</v>
      </c>
      <c r="Z239" s="11"/>
    </row>
    <row r="240" spans="11:26" x14ac:dyDescent="0.45">
      <c r="K240" s="39">
        <f t="shared" si="46"/>
        <v>7.86</v>
      </c>
      <c r="L240" s="40">
        <f t="shared" si="39"/>
        <v>47.86</v>
      </c>
      <c r="M240" s="41">
        <f t="shared" si="40"/>
        <v>42.86</v>
      </c>
      <c r="N240" s="49">
        <f t="shared" si="41"/>
        <v>2.4733876204234367E-2</v>
      </c>
      <c r="O240" s="50">
        <f t="shared" si="42"/>
        <v>1.6075322449949699E-2</v>
      </c>
      <c r="P240" s="50">
        <f t="shared" si="47"/>
        <v>2.4733876204234367E-2</v>
      </c>
      <c r="Q240" s="51">
        <f t="shared" si="48"/>
        <v>1.6075322449949699E-2</v>
      </c>
      <c r="R240" s="4">
        <f t="shared" si="43"/>
        <v>-3.2933332725108996E-2</v>
      </c>
      <c r="S240">
        <f t="shared" si="44"/>
        <v>0</v>
      </c>
      <c r="T240">
        <f t="shared" si="45"/>
        <v>0</v>
      </c>
      <c r="U240" s="5">
        <f>0</f>
        <v>0</v>
      </c>
      <c r="V240" s="45">
        <f t="shared" si="49"/>
        <v>8.6729825235740923E-2</v>
      </c>
      <c r="W240" s="45">
        <f t="shared" si="50"/>
        <v>0</v>
      </c>
      <c r="X240" s="45">
        <f t="shared" si="51"/>
        <v>0</v>
      </c>
      <c r="Y240" s="46">
        <f>0</f>
        <v>0</v>
      </c>
      <c r="Z240" s="11"/>
    </row>
    <row r="241" spans="11:26" x14ac:dyDescent="0.45">
      <c r="K241" s="39">
        <f t="shared" si="46"/>
        <v>7.85</v>
      </c>
      <c r="L241" s="40">
        <f t="shared" si="39"/>
        <v>47.85</v>
      </c>
      <c r="M241" s="41">
        <f t="shared" si="40"/>
        <v>42.85</v>
      </c>
      <c r="N241" s="49">
        <f t="shared" si="41"/>
        <v>2.4712570301317183E-2</v>
      </c>
      <c r="O241" s="50">
        <f t="shared" si="42"/>
        <v>1.6061475074930394E-2</v>
      </c>
      <c r="P241" s="50">
        <f t="shared" si="47"/>
        <v>2.4712570301317183E-2</v>
      </c>
      <c r="Q241" s="51">
        <f t="shared" si="48"/>
        <v>1.6061475074930394E-2</v>
      </c>
      <c r="R241" s="4">
        <f t="shared" si="43"/>
        <v>-3.2871333366432602E-2</v>
      </c>
      <c r="S241">
        <f t="shared" si="44"/>
        <v>0</v>
      </c>
      <c r="T241">
        <f t="shared" si="45"/>
        <v>0</v>
      </c>
      <c r="U241" s="5">
        <f>0</f>
        <v>0</v>
      </c>
      <c r="V241" s="45">
        <f t="shared" si="49"/>
        <v>8.7059158562992012E-2</v>
      </c>
      <c r="W241" s="45">
        <f t="shared" si="50"/>
        <v>0</v>
      </c>
      <c r="X241" s="45">
        <f t="shared" si="51"/>
        <v>0</v>
      </c>
      <c r="Y241" s="46">
        <f>0</f>
        <v>0</v>
      </c>
      <c r="Z241" s="11"/>
    </row>
    <row r="242" spans="11:26" x14ac:dyDescent="0.45">
      <c r="K242" s="39">
        <f t="shared" si="46"/>
        <v>7.84</v>
      </c>
      <c r="L242" s="40">
        <f t="shared" si="39"/>
        <v>47.84</v>
      </c>
      <c r="M242" s="41">
        <f t="shared" si="40"/>
        <v>42.84</v>
      </c>
      <c r="N242" s="49">
        <f t="shared" si="41"/>
        <v>2.4691282751427072E-2</v>
      </c>
      <c r="O242" s="50">
        <f t="shared" si="42"/>
        <v>1.6047639628119406E-2</v>
      </c>
      <c r="P242" s="50">
        <f t="shared" si="47"/>
        <v>2.4691282751427072E-2</v>
      </c>
      <c r="Q242" s="51">
        <f t="shared" si="48"/>
        <v>1.6047639628119406E-2</v>
      </c>
      <c r="R242" s="4">
        <f t="shared" si="43"/>
        <v>-3.2809441054602033E-2</v>
      </c>
      <c r="S242">
        <f t="shared" si="44"/>
        <v>0</v>
      </c>
      <c r="T242">
        <f t="shared" si="45"/>
        <v>0</v>
      </c>
      <c r="U242" s="5">
        <f>0</f>
        <v>0</v>
      </c>
      <c r="V242" s="45">
        <f t="shared" si="49"/>
        <v>8.7387871896656338E-2</v>
      </c>
      <c r="W242" s="45">
        <f t="shared" si="50"/>
        <v>0</v>
      </c>
      <c r="X242" s="45">
        <f t="shared" si="51"/>
        <v>0</v>
      </c>
      <c r="Y242" s="46">
        <f>0</f>
        <v>0</v>
      </c>
      <c r="Z242" s="11"/>
    </row>
    <row r="243" spans="11:26" x14ac:dyDescent="0.45">
      <c r="K243" s="39">
        <f t="shared" si="46"/>
        <v>7.83</v>
      </c>
      <c r="L243" s="40">
        <f t="shared" si="39"/>
        <v>47.83</v>
      </c>
      <c r="M243" s="41">
        <f t="shared" si="40"/>
        <v>42.83</v>
      </c>
      <c r="N243" s="49">
        <f t="shared" si="41"/>
        <v>2.467001353875457E-2</v>
      </c>
      <c r="O243" s="50">
        <f t="shared" si="42"/>
        <v>1.6033816099241701E-2</v>
      </c>
      <c r="P243" s="50">
        <f t="shared" si="47"/>
        <v>2.467001353875457E-2</v>
      </c>
      <c r="Q243" s="51">
        <f t="shared" si="48"/>
        <v>1.6033816099241701E-2</v>
      </c>
      <c r="R243" s="4">
        <f t="shared" si="43"/>
        <v>-3.2747655573535567E-2</v>
      </c>
      <c r="S243">
        <f t="shared" si="44"/>
        <v>0</v>
      </c>
      <c r="T243">
        <f t="shared" si="45"/>
        <v>0</v>
      </c>
      <c r="U243" s="5">
        <f>0</f>
        <v>0</v>
      </c>
      <c r="V243" s="45">
        <f t="shared" si="49"/>
        <v>8.7715966307202353E-2</v>
      </c>
      <c r="W243" s="45">
        <f t="shared" si="50"/>
        <v>0</v>
      </c>
      <c r="X243" s="45">
        <f t="shared" si="51"/>
        <v>0</v>
      </c>
      <c r="Y243" s="46">
        <f>0</f>
        <v>0</v>
      </c>
      <c r="Z243" s="11"/>
    </row>
    <row r="244" spans="11:26" x14ac:dyDescent="0.45">
      <c r="K244" s="39">
        <f t="shared" si="46"/>
        <v>7.82</v>
      </c>
      <c r="L244" s="40">
        <f t="shared" si="39"/>
        <v>47.82</v>
      </c>
      <c r="M244" s="41">
        <f t="shared" si="40"/>
        <v>42.82</v>
      </c>
      <c r="N244" s="49">
        <f t="shared" si="41"/>
        <v>2.4648762647503954E-2</v>
      </c>
      <c r="O244" s="50">
        <f t="shared" si="42"/>
        <v>1.6020004478031112E-2</v>
      </c>
      <c r="P244" s="50">
        <f t="shared" si="47"/>
        <v>2.4648762647503954E-2</v>
      </c>
      <c r="Q244" s="51">
        <f t="shared" si="48"/>
        <v>1.6020004478031112E-2</v>
      </c>
      <c r="R244" s="4">
        <f t="shared" si="43"/>
        <v>-3.2685976707665008E-2</v>
      </c>
      <c r="S244">
        <f t="shared" si="44"/>
        <v>0</v>
      </c>
      <c r="T244">
        <f t="shared" si="45"/>
        <v>0</v>
      </c>
      <c r="U244" s="5">
        <f>0</f>
        <v>0</v>
      </c>
      <c r="V244" s="45">
        <f t="shared" si="49"/>
        <v>8.8043442862937707E-2</v>
      </c>
      <c r="W244" s="45">
        <f t="shared" si="50"/>
        <v>0</v>
      </c>
      <c r="X244" s="45">
        <f t="shared" si="51"/>
        <v>0</v>
      </c>
      <c r="Y244" s="46">
        <f>0</f>
        <v>0</v>
      </c>
      <c r="Z244" s="11"/>
    </row>
    <row r="245" spans="11:26" x14ac:dyDescent="0.45">
      <c r="K245" s="39">
        <f t="shared" si="46"/>
        <v>7.81</v>
      </c>
      <c r="L245" s="40">
        <f t="shared" si="39"/>
        <v>47.81</v>
      </c>
      <c r="M245" s="41">
        <f t="shared" si="40"/>
        <v>42.81</v>
      </c>
      <c r="N245" s="49">
        <f t="shared" si="41"/>
        <v>2.4627530061893027E-2</v>
      </c>
      <c r="O245" s="50">
        <f t="shared" si="42"/>
        <v>1.6006204754230303E-2</v>
      </c>
      <c r="P245" s="50">
        <f t="shared" si="47"/>
        <v>2.4627530061893027E-2</v>
      </c>
      <c r="Q245" s="51">
        <f t="shared" si="48"/>
        <v>1.6006204754230303E-2</v>
      </c>
      <c r="R245" s="4">
        <f t="shared" si="43"/>
        <v>-3.2624404241934045E-2</v>
      </c>
      <c r="S245">
        <f t="shared" si="44"/>
        <v>0</v>
      </c>
      <c r="T245">
        <f t="shared" si="45"/>
        <v>0</v>
      </c>
      <c r="U245" s="5">
        <f>0</f>
        <v>0</v>
      </c>
      <c r="V245" s="45">
        <f t="shared" si="49"/>
        <v>8.8370302630014358E-2</v>
      </c>
      <c r="W245" s="45">
        <f t="shared" si="50"/>
        <v>0</v>
      </c>
      <c r="X245" s="45">
        <f t="shared" si="51"/>
        <v>0</v>
      </c>
      <c r="Y245" s="46">
        <f>0</f>
        <v>0</v>
      </c>
      <c r="Z245" s="11"/>
    </row>
    <row r="246" spans="11:26" x14ac:dyDescent="0.45">
      <c r="K246" s="39">
        <f t="shared" si="46"/>
        <v>7.8</v>
      </c>
      <c r="L246" s="40">
        <f t="shared" si="39"/>
        <v>47.8</v>
      </c>
      <c r="M246" s="41">
        <f t="shared" si="40"/>
        <v>42.8</v>
      </c>
      <c r="N246" s="49">
        <f t="shared" si="41"/>
        <v>2.4606315766153183E-2</v>
      </c>
      <c r="O246" s="50">
        <f t="shared" si="42"/>
        <v>1.5992416917590773E-2</v>
      </c>
      <c r="P246" s="50">
        <f t="shared" si="47"/>
        <v>2.4606315766153183E-2</v>
      </c>
      <c r="Q246" s="51">
        <f t="shared" si="48"/>
        <v>1.5992416917590773E-2</v>
      </c>
      <c r="R246" s="4">
        <f t="shared" si="43"/>
        <v>-3.256293796179692E-2</v>
      </c>
      <c r="S246">
        <f t="shared" si="44"/>
        <v>0</v>
      </c>
      <c r="T246">
        <f t="shared" si="45"/>
        <v>0</v>
      </c>
      <c r="U246" s="5">
        <f>0</f>
        <v>0</v>
      </c>
      <c r="V246" s="45">
        <f t="shared" si="49"/>
        <v>8.8696546672433693E-2</v>
      </c>
      <c r="W246" s="45">
        <f t="shared" si="50"/>
        <v>0</v>
      </c>
      <c r="X246" s="45">
        <f t="shared" si="51"/>
        <v>0</v>
      </c>
      <c r="Y246" s="46">
        <f>0</f>
        <v>0</v>
      </c>
      <c r="Z246" s="11"/>
    </row>
    <row r="247" spans="11:26" x14ac:dyDescent="0.45">
      <c r="K247" s="39">
        <f t="shared" si="46"/>
        <v>7.79</v>
      </c>
      <c r="L247" s="40">
        <f t="shared" si="39"/>
        <v>47.79</v>
      </c>
      <c r="M247" s="41">
        <f t="shared" si="40"/>
        <v>42.79</v>
      </c>
      <c r="N247" s="49">
        <f t="shared" si="41"/>
        <v>2.4585119744529468E-2</v>
      </c>
      <c r="O247" s="50">
        <f t="shared" si="42"/>
        <v>1.597864095787286E-2</v>
      </c>
      <c r="P247" s="50">
        <f t="shared" si="47"/>
        <v>2.4585119744529468E-2</v>
      </c>
      <c r="Q247" s="51">
        <f t="shared" si="48"/>
        <v>1.597864095787286E-2</v>
      </c>
      <c r="R247" s="4">
        <f t="shared" si="43"/>
        <v>-3.2501577653217192E-2</v>
      </c>
      <c r="S247">
        <f t="shared" si="44"/>
        <v>0</v>
      </c>
      <c r="T247">
        <f t="shared" si="45"/>
        <v>0</v>
      </c>
      <c r="U247" s="5">
        <f>0</f>
        <v>0</v>
      </c>
      <c r="V247" s="45">
        <f t="shared" si="49"/>
        <v>8.9022176052051663E-2</v>
      </c>
      <c r="W247" s="45">
        <f t="shared" si="50"/>
        <v>0</v>
      </c>
      <c r="X247" s="45">
        <f t="shared" si="51"/>
        <v>0</v>
      </c>
      <c r="Y247" s="46">
        <f>0</f>
        <v>0</v>
      </c>
      <c r="Z247" s="11"/>
    </row>
    <row r="248" spans="11:26" x14ac:dyDescent="0.45">
      <c r="K248" s="39">
        <f t="shared" si="46"/>
        <v>7.78</v>
      </c>
      <c r="L248" s="40">
        <f t="shared" si="39"/>
        <v>47.78</v>
      </c>
      <c r="M248" s="41">
        <f t="shared" si="40"/>
        <v>42.78</v>
      </c>
      <c r="N248" s="49">
        <f t="shared" si="41"/>
        <v>2.4563941981280448E-2</v>
      </c>
      <c r="O248" s="50">
        <f t="shared" si="42"/>
        <v>1.5964876864845712E-2</v>
      </c>
      <c r="P248" s="50">
        <f t="shared" si="47"/>
        <v>2.4563941981280448E-2</v>
      </c>
      <c r="Q248" s="51">
        <f t="shared" si="48"/>
        <v>1.5964876864845712E-2</v>
      </c>
      <c r="R248" s="4">
        <f t="shared" si="43"/>
        <v>-3.2440323102666209E-2</v>
      </c>
      <c r="S248">
        <f t="shared" si="44"/>
        <v>0</v>
      </c>
      <c r="T248">
        <f t="shared" si="45"/>
        <v>0</v>
      </c>
      <c r="U248" s="5">
        <f>0</f>
        <v>0</v>
      </c>
      <c r="V248" s="45">
        <f t="shared" si="49"/>
        <v>8.9347191828583833E-2</v>
      </c>
      <c r="W248" s="45">
        <f t="shared" si="50"/>
        <v>0</v>
      </c>
      <c r="X248" s="45">
        <f t="shared" si="51"/>
        <v>0</v>
      </c>
      <c r="Y248" s="46">
        <f>0</f>
        <v>0</v>
      </c>
      <c r="Z248" s="11"/>
    </row>
    <row r="249" spans="11:26" x14ac:dyDescent="0.45">
      <c r="K249" s="39">
        <f t="shared" si="46"/>
        <v>7.77</v>
      </c>
      <c r="L249" s="40">
        <f t="shared" si="39"/>
        <v>47.769999999999996</v>
      </c>
      <c r="M249" s="41">
        <f t="shared" si="40"/>
        <v>42.769999999999996</v>
      </c>
      <c r="N249" s="49">
        <f t="shared" si="41"/>
        <v>2.4542782460678196E-2</v>
      </c>
      <c r="O249" s="50">
        <f t="shared" si="42"/>
        <v>1.5951124628287291E-2</v>
      </c>
      <c r="P249" s="50">
        <f t="shared" si="47"/>
        <v>2.4542782460678196E-2</v>
      </c>
      <c r="Q249" s="51">
        <f t="shared" si="48"/>
        <v>1.5951124628287291E-2</v>
      </c>
      <c r="R249" s="4">
        <f t="shared" si="43"/>
        <v>-3.2379174097121752E-2</v>
      </c>
      <c r="S249">
        <f t="shared" si="44"/>
        <v>0</v>
      </c>
      <c r="T249">
        <f t="shared" si="45"/>
        <v>0</v>
      </c>
      <c r="U249" s="5">
        <f>0</f>
        <v>0</v>
      </c>
      <c r="V249" s="45">
        <f t="shared" si="49"/>
        <v>8.967159505961049E-2</v>
      </c>
      <c r="W249" s="45">
        <f t="shared" si="50"/>
        <v>0</v>
      </c>
      <c r="X249" s="45">
        <f t="shared" si="51"/>
        <v>0</v>
      </c>
      <c r="Y249" s="46">
        <f>0</f>
        <v>0</v>
      </c>
      <c r="Z249" s="11"/>
    </row>
    <row r="250" spans="11:26" x14ac:dyDescent="0.45">
      <c r="K250" s="39">
        <f t="shared" si="46"/>
        <v>7.76</v>
      </c>
      <c r="L250" s="40">
        <f t="shared" si="39"/>
        <v>47.76</v>
      </c>
      <c r="M250" s="41">
        <f t="shared" si="40"/>
        <v>42.76</v>
      </c>
      <c r="N250" s="49">
        <f t="shared" si="41"/>
        <v>2.4521641167008452E-2</v>
      </c>
      <c r="O250" s="50">
        <f t="shared" si="42"/>
        <v>1.5937384237984374E-2</v>
      </c>
      <c r="P250" s="50">
        <f t="shared" si="47"/>
        <v>2.4521641167008452E-2</v>
      </c>
      <c r="Q250" s="51">
        <f t="shared" si="48"/>
        <v>1.5937384237984374E-2</v>
      </c>
      <c r="R250" s="4">
        <f t="shared" si="43"/>
        <v>-3.2318130424066852E-2</v>
      </c>
      <c r="S250">
        <f t="shared" si="44"/>
        <v>0</v>
      </c>
      <c r="T250">
        <f t="shared" si="45"/>
        <v>0</v>
      </c>
      <c r="U250" s="5">
        <f>0</f>
        <v>0</v>
      </c>
      <c r="V250" s="45">
        <f t="shared" si="49"/>
        <v>8.9995386800581709E-2</v>
      </c>
      <c r="W250" s="45">
        <f t="shared" si="50"/>
        <v>0</v>
      </c>
      <c r="X250" s="45">
        <f t="shared" si="51"/>
        <v>0</v>
      </c>
      <c r="Y250" s="46">
        <f>0</f>
        <v>0</v>
      </c>
      <c r="Z250" s="11"/>
    </row>
    <row r="251" spans="11:26" x14ac:dyDescent="0.45">
      <c r="K251" s="39">
        <f t="shared" si="46"/>
        <v>7.75</v>
      </c>
      <c r="L251" s="40">
        <f t="shared" si="39"/>
        <v>47.75</v>
      </c>
      <c r="M251" s="41">
        <f t="shared" si="40"/>
        <v>42.75</v>
      </c>
      <c r="N251" s="49">
        <f t="shared" si="41"/>
        <v>2.4500518084570412E-2</v>
      </c>
      <c r="O251" s="50">
        <f t="shared" si="42"/>
        <v>1.5923655683732524E-2</v>
      </c>
      <c r="P251" s="50">
        <f t="shared" si="47"/>
        <v>2.4500518084570412E-2</v>
      </c>
      <c r="Q251" s="51">
        <f t="shared" si="48"/>
        <v>1.5923655683732524E-2</v>
      </c>
      <c r="R251" s="4">
        <f t="shared" si="43"/>
        <v>-3.2257191871488171E-2</v>
      </c>
      <c r="S251">
        <f t="shared" si="44"/>
        <v>0</v>
      </c>
      <c r="T251">
        <f t="shared" si="45"/>
        <v>0</v>
      </c>
      <c r="U251" s="5">
        <f>0</f>
        <v>0</v>
      </c>
      <c r="V251" s="45">
        <f t="shared" si="49"/>
        <v>9.0318568104822375E-2</v>
      </c>
      <c r="W251" s="45">
        <f t="shared" si="50"/>
        <v>0</v>
      </c>
      <c r="X251" s="45">
        <f t="shared" si="51"/>
        <v>0</v>
      </c>
      <c r="Y251" s="46">
        <f>0</f>
        <v>0</v>
      </c>
      <c r="Z251" s="11"/>
    </row>
    <row r="252" spans="11:26" x14ac:dyDescent="0.45">
      <c r="K252" s="39">
        <f t="shared" si="46"/>
        <v>7.74</v>
      </c>
      <c r="L252" s="40">
        <f t="shared" si="39"/>
        <v>47.74</v>
      </c>
      <c r="M252" s="41">
        <f t="shared" si="40"/>
        <v>42.74</v>
      </c>
      <c r="N252" s="49">
        <f t="shared" si="41"/>
        <v>2.4479413197676811E-2</v>
      </c>
      <c r="O252" s="50">
        <f t="shared" si="42"/>
        <v>1.5909938955336104E-2</v>
      </c>
      <c r="P252" s="50">
        <f t="shared" si="47"/>
        <v>2.4479413197676811E-2</v>
      </c>
      <c r="Q252" s="51">
        <f t="shared" si="48"/>
        <v>1.5909938955336104E-2</v>
      </c>
      <c r="R252" s="4">
        <f t="shared" si="43"/>
        <v>-3.2196358227874845E-2</v>
      </c>
      <c r="S252">
        <f t="shared" si="44"/>
        <v>0</v>
      </c>
      <c r="T252">
        <f t="shared" si="45"/>
        <v>0</v>
      </c>
      <c r="U252" s="5">
        <f>0</f>
        <v>0</v>
      </c>
      <c r="V252" s="45">
        <f t="shared" si="49"/>
        <v>9.0641140023537251E-2</v>
      </c>
      <c r="W252" s="45">
        <f t="shared" si="50"/>
        <v>0</v>
      </c>
      <c r="X252" s="45">
        <f t="shared" si="51"/>
        <v>0</v>
      </c>
      <c r="Y252" s="46">
        <f>0</f>
        <v>0</v>
      </c>
      <c r="Z252" s="11"/>
    </row>
    <row r="253" spans="11:26" x14ac:dyDescent="0.45">
      <c r="K253" s="39">
        <f t="shared" si="46"/>
        <v>7.73</v>
      </c>
      <c r="L253" s="40">
        <f t="shared" si="39"/>
        <v>47.730000000000004</v>
      </c>
      <c r="M253" s="41">
        <f t="shared" si="40"/>
        <v>42.730000000000004</v>
      </c>
      <c r="N253" s="49">
        <f t="shared" si="41"/>
        <v>2.4458326490653912E-2</v>
      </c>
      <c r="O253" s="50">
        <f t="shared" si="42"/>
        <v>1.5896234042608242E-2</v>
      </c>
      <c r="P253" s="50">
        <f t="shared" si="47"/>
        <v>2.4458326490653912E-2</v>
      </c>
      <c r="Q253" s="51">
        <f t="shared" si="48"/>
        <v>1.5896234042608242E-2</v>
      </c>
      <c r="R253" s="4">
        <f t="shared" si="43"/>
        <v>-3.2135629282217054E-2</v>
      </c>
      <c r="S253">
        <f t="shared" si="44"/>
        <v>0</v>
      </c>
      <c r="T253">
        <f t="shared" si="45"/>
        <v>0</v>
      </c>
      <c r="U253" s="5">
        <f>0</f>
        <v>0</v>
      </c>
      <c r="V253" s="45">
        <f t="shared" si="49"/>
        <v>9.0963103605815998E-2</v>
      </c>
      <c r="W253" s="45">
        <f t="shared" si="50"/>
        <v>0</v>
      </c>
      <c r="X253" s="45">
        <f t="shared" si="51"/>
        <v>0</v>
      </c>
      <c r="Y253" s="46">
        <f>0</f>
        <v>0</v>
      </c>
      <c r="Z253" s="11"/>
    </row>
    <row r="254" spans="11:26" x14ac:dyDescent="0.45">
      <c r="K254" s="39">
        <f t="shared" si="46"/>
        <v>7.72</v>
      </c>
      <c r="L254" s="40">
        <f t="shared" si="39"/>
        <v>47.72</v>
      </c>
      <c r="M254" s="41">
        <f t="shared" si="40"/>
        <v>42.72</v>
      </c>
      <c r="N254" s="49">
        <f t="shared" si="41"/>
        <v>2.4437257947841465E-2</v>
      </c>
      <c r="O254" s="50">
        <f t="shared" si="42"/>
        <v>1.5882540935370851E-2</v>
      </c>
      <c r="P254" s="50">
        <f t="shared" si="47"/>
        <v>2.4437257947841465E-2</v>
      </c>
      <c r="Q254" s="51">
        <f t="shared" si="48"/>
        <v>1.5882540935370851E-2</v>
      </c>
      <c r="R254" s="4">
        <f t="shared" si="43"/>
        <v>-3.207500482400466E-2</v>
      </c>
      <c r="S254">
        <f t="shared" si="44"/>
        <v>0</v>
      </c>
      <c r="T254">
        <f t="shared" si="45"/>
        <v>0</v>
      </c>
      <c r="U254" s="5">
        <f>0</f>
        <v>0</v>
      </c>
      <c r="V254" s="45">
        <f t="shared" si="49"/>
        <v>9.1284459898638162E-2</v>
      </c>
      <c r="W254" s="45">
        <f t="shared" si="50"/>
        <v>0</v>
      </c>
      <c r="X254" s="45">
        <f t="shared" si="51"/>
        <v>0</v>
      </c>
      <c r="Y254" s="46">
        <f>0</f>
        <v>0</v>
      </c>
      <c r="Z254" s="11"/>
    </row>
    <row r="255" spans="11:26" x14ac:dyDescent="0.45">
      <c r="K255" s="39">
        <f t="shared" si="46"/>
        <v>7.71</v>
      </c>
      <c r="L255" s="40">
        <f t="shared" si="39"/>
        <v>47.71</v>
      </c>
      <c r="M255" s="41">
        <f t="shared" si="40"/>
        <v>42.71</v>
      </c>
      <c r="N255" s="49">
        <f t="shared" si="41"/>
        <v>2.4416207553592716E-2</v>
      </c>
      <c r="O255" s="50">
        <f t="shared" si="42"/>
        <v>1.5868859623454638E-2</v>
      </c>
      <c r="P255" s="50">
        <f t="shared" si="47"/>
        <v>2.4416207553592716E-2</v>
      </c>
      <c r="Q255" s="51">
        <f t="shared" si="48"/>
        <v>1.5868859623454638E-2</v>
      </c>
      <c r="R255" s="4">
        <f t="shared" si="43"/>
        <v>-3.2014484643225927E-2</v>
      </c>
      <c r="S255">
        <f t="shared" si="44"/>
        <v>0</v>
      </c>
      <c r="T255">
        <f t="shared" si="45"/>
        <v>0</v>
      </c>
      <c r="U255" s="5">
        <f>0</f>
        <v>0</v>
      </c>
      <c r="V255" s="45">
        <f t="shared" si="49"/>
        <v>9.1605209946878208E-2</v>
      </c>
      <c r="W255" s="45">
        <f t="shared" si="50"/>
        <v>0</v>
      </c>
      <c r="X255" s="45">
        <f t="shared" si="51"/>
        <v>0</v>
      </c>
      <c r="Y255" s="46">
        <f>0</f>
        <v>0</v>
      </c>
      <c r="Z255" s="11"/>
    </row>
    <row r="256" spans="11:26" x14ac:dyDescent="0.45">
      <c r="K256" s="39">
        <f t="shared" si="46"/>
        <v>7.7</v>
      </c>
      <c r="L256" s="40">
        <f t="shared" si="39"/>
        <v>47.7</v>
      </c>
      <c r="M256" s="41">
        <f t="shared" si="40"/>
        <v>42.7</v>
      </c>
      <c r="N256" s="49">
        <f t="shared" si="41"/>
        <v>2.4395175292274383E-2</v>
      </c>
      <c r="O256" s="50">
        <f t="shared" si="42"/>
        <v>1.5855190096699025E-2</v>
      </c>
      <c r="P256" s="50">
        <f t="shared" si="47"/>
        <v>2.4395175292274383E-2</v>
      </c>
      <c r="Q256" s="51">
        <f t="shared" si="48"/>
        <v>1.5855190096699025E-2</v>
      </c>
      <c r="R256" s="4">
        <f t="shared" si="43"/>
        <v>-3.1954068530366121E-2</v>
      </c>
      <c r="S256">
        <f t="shared" si="44"/>
        <v>0</v>
      </c>
      <c r="T256">
        <f t="shared" si="45"/>
        <v>0</v>
      </c>
      <c r="U256" s="5">
        <f>0</f>
        <v>0</v>
      </c>
      <c r="V256" s="45">
        <f t="shared" si="49"/>
        <v>9.1925354793310474E-2</v>
      </c>
      <c r="W256" s="45">
        <f t="shared" si="50"/>
        <v>0</v>
      </c>
      <c r="X256" s="45">
        <f t="shared" si="51"/>
        <v>0</v>
      </c>
      <c r="Y256" s="46">
        <f>0</f>
        <v>0</v>
      </c>
      <c r="Z256" s="11"/>
    </row>
    <row r="257" spans="11:26" x14ac:dyDescent="0.45">
      <c r="K257" s="39">
        <f t="shared" si="46"/>
        <v>7.69</v>
      </c>
      <c r="L257" s="40">
        <f t="shared" si="39"/>
        <v>47.69</v>
      </c>
      <c r="M257" s="41">
        <f t="shared" si="40"/>
        <v>42.69</v>
      </c>
      <c r="N257" s="49">
        <f t="shared" si="41"/>
        <v>2.437416114826664E-2</v>
      </c>
      <c r="O257" s="50">
        <f t="shared" si="42"/>
        <v>1.5841532344952204E-2</v>
      </c>
      <c r="P257" s="50">
        <f t="shared" si="47"/>
        <v>2.437416114826664E-2</v>
      </c>
      <c r="Q257" s="51">
        <f t="shared" si="48"/>
        <v>1.5841532344952204E-2</v>
      </c>
      <c r="R257" s="4">
        <f t="shared" si="43"/>
        <v>-3.1893756276406185E-2</v>
      </c>
      <c r="S257">
        <f t="shared" si="44"/>
        <v>0</v>
      </c>
      <c r="T257">
        <f t="shared" si="45"/>
        <v>0</v>
      </c>
      <c r="U257" s="5">
        <f>0</f>
        <v>0</v>
      </c>
      <c r="V257" s="45">
        <f t="shared" si="49"/>
        <v>9.2244895478614142E-2</v>
      </c>
      <c r="W257" s="45">
        <f t="shared" si="50"/>
        <v>0</v>
      </c>
      <c r="X257" s="45">
        <f t="shared" si="51"/>
        <v>0</v>
      </c>
      <c r="Y257" s="46">
        <f>0</f>
        <v>0</v>
      </c>
      <c r="Z257" s="11"/>
    </row>
    <row r="258" spans="11:26" x14ac:dyDescent="0.45">
      <c r="K258" s="39">
        <f t="shared" si="46"/>
        <v>7.68</v>
      </c>
      <c r="L258" s="40">
        <f t="shared" si="39"/>
        <v>47.68</v>
      </c>
      <c r="M258" s="41">
        <f t="shared" si="40"/>
        <v>42.68</v>
      </c>
      <c r="N258" s="49">
        <f t="shared" si="41"/>
        <v>2.4353165105963175E-2</v>
      </c>
      <c r="O258" s="50">
        <f t="shared" si="42"/>
        <v>1.5827886358071138E-2</v>
      </c>
      <c r="P258" s="50">
        <f t="shared" si="47"/>
        <v>2.4353165105963175E-2</v>
      </c>
      <c r="Q258" s="51">
        <f t="shared" si="48"/>
        <v>1.5827886358071138E-2</v>
      </c>
      <c r="R258" s="4">
        <f t="shared" si="43"/>
        <v>-3.1833547672821511E-2</v>
      </c>
      <c r="S258">
        <f t="shared" si="44"/>
        <v>0</v>
      </c>
      <c r="T258">
        <f t="shared" si="45"/>
        <v>0</v>
      </c>
      <c r="U258" s="5">
        <f>0</f>
        <v>0</v>
      </c>
      <c r="V258" s="45">
        <f t="shared" si="49"/>
        <v>9.2563833041378205E-2</v>
      </c>
      <c r="W258" s="45">
        <f t="shared" si="50"/>
        <v>0</v>
      </c>
      <c r="X258" s="45">
        <f t="shared" si="51"/>
        <v>0</v>
      </c>
      <c r="Y258" s="46">
        <f>0</f>
        <v>0</v>
      </c>
      <c r="Z258" s="11"/>
    </row>
    <row r="259" spans="11:26" x14ac:dyDescent="0.45">
      <c r="K259" s="39">
        <f t="shared" si="46"/>
        <v>7.67</v>
      </c>
      <c r="L259" s="40">
        <f t="shared" si="39"/>
        <v>47.67</v>
      </c>
      <c r="M259" s="41">
        <f t="shared" si="40"/>
        <v>42.67</v>
      </c>
      <c r="N259" s="49">
        <f t="shared" si="41"/>
        <v>2.4332187149771051E-2</v>
      </c>
      <c r="O259" s="50">
        <f t="shared" si="42"/>
        <v>1.5814252125921486E-2</v>
      </c>
      <c r="P259" s="50">
        <f t="shared" si="47"/>
        <v>2.4332187149771051E-2</v>
      </c>
      <c r="Q259" s="51">
        <f t="shared" si="48"/>
        <v>1.5814252125921486E-2</v>
      </c>
      <c r="R259" s="4">
        <f t="shared" si="43"/>
        <v>-3.1773442511580423E-2</v>
      </c>
      <c r="S259">
        <f t="shared" si="44"/>
        <v>0</v>
      </c>
      <c r="T259">
        <f t="shared" si="45"/>
        <v>0</v>
      </c>
      <c r="U259" s="5">
        <f>0</f>
        <v>0</v>
      </c>
      <c r="V259" s="45">
        <f t="shared" si="49"/>
        <v>9.288216851810642E-2</v>
      </c>
      <c r="W259" s="45">
        <f t="shared" si="50"/>
        <v>0</v>
      </c>
      <c r="X259" s="45">
        <f t="shared" si="51"/>
        <v>0</v>
      </c>
      <c r="Y259" s="46">
        <f>0</f>
        <v>0</v>
      </c>
      <c r="Z259" s="11"/>
    </row>
    <row r="260" spans="11:26" x14ac:dyDescent="0.45">
      <c r="K260" s="39">
        <f t="shared" si="46"/>
        <v>7.66</v>
      </c>
      <c r="L260" s="40">
        <f t="shared" si="39"/>
        <v>47.66</v>
      </c>
      <c r="M260" s="41">
        <f t="shared" si="40"/>
        <v>42.66</v>
      </c>
      <c r="N260" s="49">
        <f t="shared" si="41"/>
        <v>2.431122726411079E-2</v>
      </c>
      <c r="O260" s="50">
        <f t="shared" si="42"/>
        <v>1.5800629638377642E-2</v>
      </c>
      <c r="P260" s="50">
        <f t="shared" si="47"/>
        <v>2.431122726411079E-2</v>
      </c>
      <c r="Q260" s="51">
        <f t="shared" si="48"/>
        <v>1.5800629638377642E-2</v>
      </c>
      <c r="R260" s="4">
        <f t="shared" si="43"/>
        <v>-3.1713440585142978E-2</v>
      </c>
      <c r="S260">
        <f t="shared" si="44"/>
        <v>0</v>
      </c>
      <c r="T260">
        <f t="shared" si="45"/>
        <v>0</v>
      </c>
      <c r="U260" s="5">
        <f>0</f>
        <v>0</v>
      </c>
      <c r="V260" s="45">
        <f t="shared" si="49"/>
        <v>9.3199902943222224E-2</v>
      </c>
      <c r="W260" s="45">
        <f t="shared" si="50"/>
        <v>0</v>
      </c>
      <c r="X260" s="45">
        <f t="shared" si="51"/>
        <v>0</v>
      </c>
      <c r="Y260" s="46">
        <f>0</f>
        <v>0</v>
      </c>
      <c r="Z260" s="11"/>
    </row>
    <row r="261" spans="11:26" x14ac:dyDescent="0.45">
      <c r="K261" s="39">
        <f t="shared" si="46"/>
        <v>7.65</v>
      </c>
      <c r="L261" s="40">
        <f t="shared" si="39"/>
        <v>47.65</v>
      </c>
      <c r="M261" s="41">
        <f t="shared" si="40"/>
        <v>42.65</v>
      </c>
      <c r="N261" s="49">
        <f t="shared" si="41"/>
        <v>2.4290285433416329E-2</v>
      </c>
      <c r="O261" s="50">
        <f t="shared" si="42"/>
        <v>1.5787018885322777E-2</v>
      </c>
      <c r="P261" s="50">
        <f t="shared" si="47"/>
        <v>2.4290285433416329E-2</v>
      </c>
      <c r="Q261" s="51">
        <f t="shared" si="48"/>
        <v>1.5787018885322777E-2</v>
      </c>
      <c r="R261" s="4">
        <f t="shared" si="43"/>
        <v>-3.1653541686459709E-2</v>
      </c>
      <c r="S261">
        <f t="shared" si="44"/>
        <v>0</v>
      </c>
      <c r="T261">
        <f t="shared" si="45"/>
        <v>0</v>
      </c>
      <c r="U261" s="5">
        <f>0</f>
        <v>0</v>
      </c>
      <c r="V261" s="45">
        <f t="shared" si="49"/>
        <v>9.3517037349073656E-2</v>
      </c>
      <c r="W261" s="45">
        <f t="shared" si="50"/>
        <v>0</v>
      </c>
      <c r="X261" s="45">
        <f t="shared" si="51"/>
        <v>0</v>
      </c>
      <c r="Y261" s="46">
        <f>0</f>
        <v>0</v>
      </c>
      <c r="Z261" s="11"/>
    </row>
    <row r="262" spans="11:26" x14ac:dyDescent="0.45">
      <c r="K262" s="39">
        <f t="shared" si="46"/>
        <v>7.64</v>
      </c>
      <c r="L262" s="40">
        <f t="shared" si="39"/>
        <v>47.64</v>
      </c>
      <c r="M262" s="41">
        <f t="shared" si="40"/>
        <v>42.64</v>
      </c>
      <c r="N262" s="49">
        <f t="shared" si="41"/>
        <v>2.4269361642135022E-2</v>
      </c>
      <c r="O262" s="50">
        <f t="shared" si="42"/>
        <v>1.5773419856648697E-2</v>
      </c>
      <c r="P262" s="50">
        <f t="shared" si="47"/>
        <v>2.4269361642135022E-2</v>
      </c>
      <c r="Q262" s="51">
        <f t="shared" si="48"/>
        <v>1.5773419856648697E-2</v>
      </c>
      <c r="R262" s="4">
        <f t="shared" si="43"/>
        <v>-3.1593745608970117E-2</v>
      </c>
      <c r="S262">
        <f t="shared" si="44"/>
        <v>0</v>
      </c>
      <c r="T262">
        <f t="shared" si="45"/>
        <v>0</v>
      </c>
      <c r="U262" s="5">
        <f>0</f>
        <v>0</v>
      </c>
      <c r="V262" s="45">
        <f t="shared" si="49"/>
        <v>9.3833572765938247E-2</v>
      </c>
      <c r="W262" s="45">
        <f t="shared" si="50"/>
        <v>0</v>
      </c>
      <c r="X262" s="45">
        <f t="shared" si="51"/>
        <v>0</v>
      </c>
      <c r="Y262" s="46">
        <f>0</f>
        <v>0</v>
      </c>
      <c r="Z262" s="11"/>
    </row>
    <row r="263" spans="11:26" x14ac:dyDescent="0.45">
      <c r="K263" s="39">
        <f t="shared" si="46"/>
        <v>7.63</v>
      </c>
      <c r="L263" s="40">
        <f t="shared" si="39"/>
        <v>47.63</v>
      </c>
      <c r="M263" s="41">
        <f t="shared" si="40"/>
        <v>42.63</v>
      </c>
      <c r="N263" s="49">
        <f t="shared" si="41"/>
        <v>2.4248455874727615E-2</v>
      </c>
      <c r="O263" s="50">
        <f t="shared" si="42"/>
        <v>1.5759832542255967E-2</v>
      </c>
      <c r="P263" s="50">
        <f t="shared" si="47"/>
        <v>2.4248455874727615E-2</v>
      </c>
      <c r="Q263" s="51">
        <f t="shared" si="48"/>
        <v>1.5759832542255967E-2</v>
      </c>
      <c r="R263" s="4">
        <f t="shared" si="43"/>
        <v>-3.1534052146601543E-2</v>
      </c>
      <c r="S263">
        <f t="shared" si="44"/>
        <v>0</v>
      </c>
      <c r="T263">
        <f t="shared" si="45"/>
        <v>0</v>
      </c>
      <c r="U263" s="5">
        <f>0</f>
        <v>0</v>
      </c>
      <c r="V263" s="45">
        <f t="shared" si="49"/>
        <v>9.4149510222027943E-2</v>
      </c>
      <c r="W263" s="45">
        <f t="shared" si="50"/>
        <v>0</v>
      </c>
      <c r="X263" s="45">
        <f t="shared" si="51"/>
        <v>0</v>
      </c>
      <c r="Y263" s="46">
        <f>0</f>
        <v>0</v>
      </c>
      <c r="Z263" s="11"/>
    </row>
    <row r="264" spans="11:26" x14ac:dyDescent="0.45">
      <c r="K264" s="39">
        <f t="shared" si="46"/>
        <v>7.62</v>
      </c>
      <c r="L264" s="40">
        <f t="shared" si="39"/>
        <v>47.62</v>
      </c>
      <c r="M264" s="41">
        <f t="shared" si="40"/>
        <v>42.62</v>
      </c>
      <c r="N264" s="49">
        <f t="shared" si="41"/>
        <v>2.4227568115668213E-2</v>
      </c>
      <c r="O264" s="50">
        <f t="shared" si="42"/>
        <v>1.574625693205383E-2</v>
      </c>
      <c r="P264" s="50">
        <f t="shared" si="47"/>
        <v>2.4227568115668213E-2</v>
      </c>
      <c r="Q264" s="51">
        <f t="shared" si="48"/>
        <v>1.574625693205383E-2</v>
      </c>
      <c r="R264" s="4">
        <f t="shared" si="43"/>
        <v>-3.1474461093767746E-2</v>
      </c>
      <c r="S264">
        <f t="shared" si="44"/>
        <v>0</v>
      </c>
      <c r="T264">
        <f t="shared" si="45"/>
        <v>0</v>
      </c>
      <c r="U264" s="5">
        <f>0</f>
        <v>0</v>
      </c>
      <c r="V264" s="45">
        <f t="shared" si="49"/>
        <v>9.4464850743493964E-2</v>
      </c>
      <c r="W264" s="45">
        <f t="shared" si="50"/>
        <v>0</v>
      </c>
      <c r="X264" s="45">
        <f t="shared" si="51"/>
        <v>0</v>
      </c>
      <c r="Y264" s="46">
        <f>0</f>
        <v>0</v>
      </c>
      <c r="Z264" s="11"/>
    </row>
    <row r="265" spans="11:26" x14ac:dyDescent="0.45">
      <c r="K265" s="39">
        <f t="shared" si="46"/>
        <v>7.61</v>
      </c>
      <c r="L265" s="40">
        <f t="shared" si="39"/>
        <v>47.61</v>
      </c>
      <c r="M265" s="41">
        <f t="shared" si="40"/>
        <v>42.61</v>
      </c>
      <c r="N265" s="49">
        <f t="shared" si="41"/>
        <v>2.4206698349444365E-2</v>
      </c>
      <c r="O265" s="50">
        <f t="shared" si="42"/>
        <v>1.5732693015960246E-2</v>
      </c>
      <c r="P265" s="50">
        <f t="shared" si="47"/>
        <v>2.4206698349444365E-2</v>
      </c>
      <c r="Q265" s="51">
        <f t="shared" si="48"/>
        <v>1.5732693015960246E-2</v>
      </c>
      <c r="R265" s="4">
        <f t="shared" si="43"/>
        <v>-3.1414972245367698E-2</v>
      </c>
      <c r="S265">
        <f t="shared" si="44"/>
        <v>0</v>
      </c>
      <c r="T265">
        <f t="shared" si="45"/>
        <v>0</v>
      </c>
      <c r="U265" s="5">
        <f>0</f>
        <v>0</v>
      </c>
      <c r="V265" s="45">
        <f t="shared" si="49"/>
        <v>9.4779595354431645E-2</v>
      </c>
      <c r="W265" s="45">
        <f t="shared" si="50"/>
        <v>0</v>
      </c>
      <c r="X265" s="45">
        <f t="shared" si="51"/>
        <v>0</v>
      </c>
      <c r="Y265" s="46">
        <f>0</f>
        <v>0</v>
      </c>
      <c r="Z265" s="11"/>
    </row>
    <row r="266" spans="11:26" x14ac:dyDescent="0.45">
      <c r="K266" s="39">
        <f t="shared" si="46"/>
        <v>7.6</v>
      </c>
      <c r="L266" s="40">
        <f t="shared" si="39"/>
        <v>47.6</v>
      </c>
      <c r="M266" s="41">
        <f t="shared" si="40"/>
        <v>42.6</v>
      </c>
      <c r="N266" s="49">
        <f t="shared" si="41"/>
        <v>2.4185846560556921E-2</v>
      </c>
      <c r="O266" s="50">
        <f t="shared" si="42"/>
        <v>1.5719140783901828E-2</v>
      </c>
      <c r="P266" s="50">
        <f t="shared" si="47"/>
        <v>2.4185846560556921E-2</v>
      </c>
      <c r="Q266" s="51">
        <f t="shared" si="48"/>
        <v>1.5719140783901828E-2</v>
      </c>
      <c r="R266" s="4">
        <f t="shared" si="43"/>
        <v>-3.1355585396784187E-2</v>
      </c>
      <c r="S266">
        <f t="shared" si="44"/>
        <v>0</v>
      </c>
      <c r="T266">
        <f t="shared" si="45"/>
        <v>0</v>
      </c>
      <c r="U266" s="5">
        <f>0</f>
        <v>0</v>
      </c>
      <c r="V266" s="45">
        <f t="shared" si="49"/>
        <v>9.5093745076885325E-2</v>
      </c>
      <c r="W266" s="45">
        <f t="shared" si="50"/>
        <v>0</v>
      </c>
      <c r="X266" s="45">
        <f t="shared" si="51"/>
        <v>0</v>
      </c>
      <c r="Y266" s="46">
        <f>0</f>
        <v>0</v>
      </c>
      <c r="Z266" s="11"/>
    </row>
    <row r="267" spans="11:26" x14ac:dyDescent="0.45">
      <c r="K267" s="39">
        <f t="shared" si="46"/>
        <v>7.59</v>
      </c>
      <c r="L267" s="40">
        <f t="shared" si="39"/>
        <v>47.59</v>
      </c>
      <c r="M267" s="41">
        <f t="shared" si="40"/>
        <v>42.59</v>
      </c>
      <c r="N267" s="49">
        <f t="shared" si="41"/>
        <v>2.4165012733520098E-2</v>
      </c>
      <c r="O267" s="50">
        <f t="shared" si="42"/>
        <v>1.5705600225813889E-2</v>
      </c>
      <c r="P267" s="50">
        <f t="shared" si="47"/>
        <v>2.4165012733520098E-2</v>
      </c>
      <c r="Q267" s="51">
        <f t="shared" si="48"/>
        <v>1.5705600225813889E-2</v>
      </c>
      <c r="R267" s="4">
        <f t="shared" si="43"/>
        <v>-3.1296300343882581E-2</v>
      </c>
      <c r="S267">
        <f t="shared" si="44"/>
        <v>0</v>
      </c>
      <c r="T267">
        <f t="shared" si="45"/>
        <v>0</v>
      </c>
      <c r="U267" s="5">
        <f>0</f>
        <v>0</v>
      </c>
      <c r="V267" s="45">
        <f t="shared" si="49"/>
        <v>9.5407300930853173E-2</v>
      </c>
      <c r="W267" s="45">
        <f t="shared" si="50"/>
        <v>0</v>
      </c>
      <c r="X267" s="45">
        <f t="shared" si="51"/>
        <v>0</v>
      </c>
      <c r="Y267" s="46">
        <f>0</f>
        <v>0</v>
      </c>
      <c r="Z267" s="11"/>
    </row>
    <row r="268" spans="11:26" x14ac:dyDescent="0.45">
      <c r="K268" s="39">
        <f t="shared" si="46"/>
        <v>7.58</v>
      </c>
      <c r="L268" s="40">
        <f t="shared" si="39"/>
        <v>47.58</v>
      </c>
      <c r="M268" s="41">
        <f t="shared" si="40"/>
        <v>42.58</v>
      </c>
      <c r="N268" s="49">
        <f t="shared" si="41"/>
        <v>2.4144196852861458E-2</v>
      </c>
      <c r="O268" s="50">
        <f t="shared" si="42"/>
        <v>1.5692071331640391E-2</v>
      </c>
      <c r="P268" s="50">
        <f t="shared" si="47"/>
        <v>2.4144196852861458E-2</v>
      </c>
      <c r="Q268" s="51">
        <f t="shared" si="48"/>
        <v>1.5692071331640391E-2</v>
      </c>
      <c r="R268" s="4">
        <f t="shared" si="43"/>
        <v>-3.1237116883009487E-2</v>
      </c>
      <c r="S268">
        <f t="shared" si="44"/>
        <v>0</v>
      </c>
      <c r="T268">
        <f t="shared" si="45"/>
        <v>0</v>
      </c>
      <c r="U268" s="5">
        <f>0</f>
        <v>0</v>
      </c>
      <c r="V268" s="45">
        <f t="shared" si="49"/>
        <v>9.5720263934292005E-2</v>
      </c>
      <c r="W268" s="45">
        <f t="shared" si="50"/>
        <v>0</v>
      </c>
      <c r="X268" s="45">
        <f t="shared" si="51"/>
        <v>0</v>
      </c>
      <c r="Y268" s="46">
        <f>0</f>
        <v>0</v>
      </c>
      <c r="Z268" s="11"/>
    </row>
    <row r="269" spans="11:26" x14ac:dyDescent="0.45">
      <c r="K269" s="39">
        <f t="shared" si="46"/>
        <v>7.57</v>
      </c>
      <c r="L269" s="40">
        <f t="shared" si="39"/>
        <v>47.57</v>
      </c>
      <c r="M269" s="41">
        <f t="shared" si="40"/>
        <v>42.57</v>
      </c>
      <c r="N269" s="49">
        <f t="shared" si="41"/>
        <v>2.4123398903121887E-2</v>
      </c>
      <c r="O269" s="50">
        <f t="shared" si="42"/>
        <v>1.5678554091333986E-2</v>
      </c>
      <c r="P269" s="50">
        <f t="shared" si="47"/>
        <v>2.4123398903121887E-2</v>
      </c>
      <c r="Q269" s="51">
        <f t="shared" si="48"/>
        <v>1.5678554091333986E-2</v>
      </c>
      <c r="R269" s="4">
        <f t="shared" si="43"/>
        <v>-3.1178034810991573E-2</v>
      </c>
      <c r="S269">
        <f t="shared" si="44"/>
        <v>0</v>
      </c>
      <c r="T269">
        <f t="shared" si="45"/>
        <v>0</v>
      </c>
      <c r="U269" s="5">
        <f>0</f>
        <v>0</v>
      </c>
      <c r="V269" s="45">
        <f t="shared" si="49"/>
        <v>9.6032635103122099E-2</v>
      </c>
      <c r="W269" s="45">
        <f t="shared" si="50"/>
        <v>0</v>
      </c>
      <c r="X269" s="45">
        <f t="shared" si="51"/>
        <v>0</v>
      </c>
      <c r="Y269" s="46">
        <f>0</f>
        <v>0</v>
      </c>
      <c r="Z269" s="11"/>
    </row>
    <row r="270" spans="11:26" x14ac:dyDescent="0.45">
      <c r="K270" s="39">
        <f t="shared" si="46"/>
        <v>7.56</v>
      </c>
      <c r="L270" s="40">
        <f t="shared" si="39"/>
        <v>47.56</v>
      </c>
      <c r="M270" s="41">
        <f t="shared" si="40"/>
        <v>42.56</v>
      </c>
      <c r="N270" s="49">
        <f t="shared" si="41"/>
        <v>2.4102618868855584E-2</v>
      </c>
      <c r="O270" s="50">
        <f t="shared" si="42"/>
        <v>1.5665048494855963E-2</v>
      </c>
      <c r="P270" s="50">
        <f t="shared" si="47"/>
        <v>2.4102618868855584E-2</v>
      </c>
      <c r="Q270" s="51">
        <f t="shared" si="48"/>
        <v>1.5665048494855963E-2</v>
      </c>
      <c r="R270" s="4">
        <f t="shared" si="43"/>
        <v>-3.1119053925134116E-2</v>
      </c>
      <c r="S270">
        <f t="shared" si="44"/>
        <v>0</v>
      </c>
      <c r="T270">
        <f t="shared" si="45"/>
        <v>0</v>
      </c>
      <c r="U270" s="5">
        <f>0</f>
        <v>0</v>
      </c>
      <c r="V270" s="45">
        <f t="shared" si="49"/>
        <v>9.6344415451232013E-2</v>
      </c>
      <c r="W270" s="45">
        <f t="shared" si="50"/>
        <v>0</v>
      </c>
      <c r="X270" s="45">
        <f t="shared" si="51"/>
        <v>0</v>
      </c>
      <c r="Y270" s="46">
        <f>0</f>
        <v>0</v>
      </c>
      <c r="Z270" s="11"/>
    </row>
    <row r="271" spans="11:26" x14ac:dyDescent="0.45">
      <c r="K271" s="39">
        <f t="shared" si="46"/>
        <v>7.55</v>
      </c>
      <c r="L271" s="40">
        <f t="shared" si="39"/>
        <v>47.55</v>
      </c>
      <c r="M271" s="41">
        <f t="shared" si="40"/>
        <v>42.55</v>
      </c>
      <c r="N271" s="49">
        <f t="shared" si="41"/>
        <v>2.408185673463004E-2</v>
      </c>
      <c r="O271" s="50">
        <f t="shared" si="42"/>
        <v>1.5651554532176249E-2</v>
      </c>
      <c r="P271" s="50">
        <f t="shared" si="47"/>
        <v>2.408185673463004E-2</v>
      </c>
      <c r="Q271" s="51">
        <f t="shared" si="48"/>
        <v>1.5651554532176249E-2</v>
      </c>
      <c r="R271" s="4">
        <f t="shared" si="43"/>
        <v>-3.1060174023219856E-2</v>
      </c>
      <c r="S271">
        <f t="shared" si="44"/>
        <v>0</v>
      </c>
      <c r="T271">
        <f t="shared" si="45"/>
        <v>0</v>
      </c>
      <c r="U271" s="5">
        <f>0</f>
        <v>0</v>
      </c>
      <c r="V271" s="45">
        <f t="shared" si="49"/>
        <v>9.6655605990483354E-2</v>
      </c>
      <c r="W271" s="45">
        <f t="shared" si="50"/>
        <v>0</v>
      </c>
      <c r="X271" s="45">
        <f t="shared" si="51"/>
        <v>0</v>
      </c>
      <c r="Y271" s="46">
        <f>0</f>
        <v>0</v>
      </c>
      <c r="Z271" s="11"/>
    </row>
    <row r="272" spans="11:26" x14ac:dyDescent="0.45">
      <c r="K272" s="39">
        <f t="shared" si="46"/>
        <v>7.54</v>
      </c>
      <c r="L272" s="40">
        <f t="shared" si="39"/>
        <v>47.54</v>
      </c>
      <c r="M272" s="41">
        <f t="shared" si="40"/>
        <v>42.54</v>
      </c>
      <c r="N272" s="49">
        <f t="shared" si="41"/>
        <v>2.4061112485026102E-2</v>
      </c>
      <c r="O272" s="50">
        <f t="shared" si="42"/>
        <v>1.5638072193273438E-2</v>
      </c>
      <c r="P272" s="50">
        <f t="shared" si="47"/>
        <v>2.4061112485026102E-2</v>
      </c>
      <c r="Q272" s="51">
        <f t="shared" si="48"/>
        <v>1.5638072193273438E-2</v>
      </c>
      <c r="R272" s="4">
        <f t="shared" si="43"/>
        <v>-3.1001394903507735E-2</v>
      </c>
      <c r="S272">
        <f t="shared" si="44"/>
        <v>0</v>
      </c>
      <c r="T272">
        <f t="shared" si="45"/>
        <v>0</v>
      </c>
      <c r="U272" s="5">
        <f>0</f>
        <v>0</v>
      </c>
      <c r="V272" s="45">
        <f t="shared" si="49"/>
        <v>9.6966207730715556E-2</v>
      </c>
      <c r="W272" s="45">
        <f t="shared" si="50"/>
        <v>0</v>
      </c>
      <c r="X272" s="45">
        <f t="shared" si="51"/>
        <v>0</v>
      </c>
      <c r="Y272" s="46">
        <f>0</f>
        <v>0</v>
      </c>
      <c r="Z272" s="11"/>
    </row>
    <row r="273" spans="11:26" x14ac:dyDescent="0.45">
      <c r="K273" s="39">
        <f t="shared" si="46"/>
        <v>7.53</v>
      </c>
      <c r="L273" s="40">
        <f t="shared" si="39"/>
        <v>47.53</v>
      </c>
      <c r="M273" s="41">
        <f t="shared" si="40"/>
        <v>42.53</v>
      </c>
      <c r="N273" s="49">
        <f t="shared" si="41"/>
        <v>2.4040386104637827E-2</v>
      </c>
      <c r="O273" s="50">
        <f t="shared" si="42"/>
        <v>1.5624601468134743E-2</v>
      </c>
      <c r="P273" s="50">
        <f t="shared" si="47"/>
        <v>2.4040386104637827E-2</v>
      </c>
      <c r="Q273" s="51">
        <f t="shared" si="48"/>
        <v>1.5624601468134743E-2</v>
      </c>
      <c r="R273" s="4">
        <f t="shared" si="43"/>
        <v>-3.0942716364731466E-2</v>
      </c>
      <c r="S273">
        <f t="shared" si="44"/>
        <v>0</v>
      </c>
      <c r="T273">
        <f t="shared" si="45"/>
        <v>0</v>
      </c>
      <c r="U273" s="5">
        <f>0</f>
        <v>0</v>
      </c>
      <c r="V273" s="45">
        <f t="shared" si="49"/>
        <v>9.7276221679750627E-2</v>
      </c>
      <c r="W273" s="45">
        <f t="shared" si="50"/>
        <v>0</v>
      </c>
      <c r="X273" s="45">
        <f t="shared" si="51"/>
        <v>0</v>
      </c>
      <c r="Y273" s="46">
        <f>0</f>
        <v>0</v>
      </c>
      <c r="Z273" s="11"/>
    </row>
    <row r="274" spans="11:26" x14ac:dyDescent="0.45">
      <c r="K274" s="39">
        <f t="shared" si="46"/>
        <v>7.52</v>
      </c>
      <c r="L274" s="40">
        <f t="shared" si="39"/>
        <v>47.519999999999996</v>
      </c>
      <c r="M274" s="41">
        <f t="shared" si="40"/>
        <v>42.519999999999996</v>
      </c>
      <c r="N274" s="49">
        <f t="shared" si="41"/>
        <v>2.4019677578072572E-2</v>
      </c>
      <c r="O274" s="50">
        <f t="shared" si="42"/>
        <v>1.5611142346755983E-2</v>
      </c>
      <c r="P274" s="50">
        <f t="shared" si="47"/>
        <v>2.4019677578072572E-2</v>
      </c>
      <c r="Q274" s="51">
        <f t="shared" si="48"/>
        <v>1.5611142346755983E-2</v>
      </c>
      <c r="R274" s="4">
        <f t="shared" si="43"/>
        <v>-3.0884138206098401E-2</v>
      </c>
      <c r="S274">
        <f t="shared" si="44"/>
        <v>0</v>
      </c>
      <c r="T274">
        <f t="shared" si="45"/>
        <v>0</v>
      </c>
      <c r="U274" s="5">
        <f>0</f>
        <v>0</v>
      </c>
      <c r="V274" s="45">
        <f t="shared" si="49"/>
        <v>9.7585648843397946E-2</v>
      </c>
      <c r="W274" s="45">
        <f t="shared" si="50"/>
        <v>0</v>
      </c>
      <c r="X274" s="45">
        <f t="shared" si="51"/>
        <v>0</v>
      </c>
      <c r="Y274" s="46">
        <f>0</f>
        <v>0</v>
      </c>
      <c r="Z274" s="11"/>
    </row>
    <row r="275" spans="11:26" x14ac:dyDescent="0.45">
      <c r="K275" s="39">
        <f t="shared" si="46"/>
        <v>7.51</v>
      </c>
      <c r="L275" s="40">
        <f t="shared" si="39"/>
        <v>47.51</v>
      </c>
      <c r="M275" s="41">
        <f t="shared" si="40"/>
        <v>42.51</v>
      </c>
      <c r="N275" s="49">
        <f t="shared" si="41"/>
        <v>2.3998986889950957E-2</v>
      </c>
      <c r="O275" s="50">
        <f t="shared" si="42"/>
        <v>1.5597694819141635E-2</v>
      </c>
      <c r="P275" s="50">
        <f t="shared" si="47"/>
        <v>2.3998986889950957E-2</v>
      </c>
      <c r="Q275" s="51">
        <f t="shared" si="48"/>
        <v>1.5597694819141635E-2</v>
      </c>
      <c r="R275" s="4">
        <f t="shared" si="43"/>
        <v>-3.0825660227288273E-2</v>
      </c>
      <c r="S275">
        <f t="shared" si="44"/>
        <v>0</v>
      </c>
      <c r="T275">
        <f t="shared" si="45"/>
        <v>0</v>
      </c>
      <c r="U275" s="5">
        <f>0</f>
        <v>0</v>
      </c>
      <c r="V275" s="45">
        <f t="shared" si="49"/>
        <v>9.789449022545893E-2</v>
      </c>
      <c r="W275" s="45">
        <f t="shared" si="50"/>
        <v>0</v>
      </c>
      <c r="X275" s="45">
        <f t="shared" si="51"/>
        <v>0</v>
      </c>
      <c r="Y275" s="46">
        <f>0</f>
        <v>0</v>
      </c>
      <c r="Z275" s="11"/>
    </row>
    <row r="276" spans="11:26" x14ac:dyDescent="0.45">
      <c r="K276" s="39">
        <f t="shared" si="46"/>
        <v>7.5</v>
      </c>
      <c r="L276" s="40">
        <f t="shared" si="39"/>
        <v>47.5</v>
      </c>
      <c r="M276" s="41">
        <f t="shared" si="40"/>
        <v>42.5</v>
      </c>
      <c r="N276" s="49">
        <f t="shared" si="41"/>
        <v>2.3978314024906834E-2</v>
      </c>
      <c r="O276" s="50">
        <f t="shared" si="42"/>
        <v>1.5584258875304751E-2</v>
      </c>
      <c r="P276" s="50">
        <f t="shared" si="47"/>
        <v>2.3978314024906834E-2</v>
      </c>
      <c r="Q276" s="51">
        <f t="shared" si="48"/>
        <v>1.5584258875304751E-2</v>
      </c>
      <c r="R276" s="4">
        <f t="shared" si="43"/>
        <v>-3.0767282228451837E-2</v>
      </c>
      <c r="S276">
        <f t="shared" si="44"/>
        <v>0</v>
      </c>
      <c r="T276">
        <f t="shared" si="45"/>
        <v>0</v>
      </c>
      <c r="U276" s="5">
        <f>0</f>
        <v>0</v>
      </c>
      <c r="V276" s="45">
        <f t="shared" si="49"/>
        <v>9.8202746827731807E-2</v>
      </c>
      <c r="W276" s="45">
        <f t="shared" si="50"/>
        <v>0</v>
      </c>
      <c r="X276" s="45">
        <f t="shared" si="51"/>
        <v>0</v>
      </c>
      <c r="Y276" s="46">
        <f>0</f>
        <v>0</v>
      </c>
      <c r="Z276" s="11"/>
    </row>
    <row r="277" spans="11:26" x14ac:dyDescent="0.45">
      <c r="K277" s="39">
        <f t="shared" si="46"/>
        <v>7.49</v>
      </c>
      <c r="L277" s="40">
        <f t="shared" si="39"/>
        <v>47.49</v>
      </c>
      <c r="M277" s="41">
        <f t="shared" si="40"/>
        <v>42.49</v>
      </c>
      <c r="N277" s="49">
        <f t="shared" si="41"/>
        <v>2.3957658967587312E-2</v>
      </c>
      <c r="O277" s="50">
        <f t="shared" si="42"/>
        <v>1.5570834505267002E-2</v>
      </c>
      <c r="P277" s="50">
        <f t="shared" si="47"/>
        <v>2.3957658967587312E-2</v>
      </c>
      <c r="Q277" s="51">
        <f t="shared" si="48"/>
        <v>1.5570834505267002E-2</v>
      </c>
      <c r="R277" s="4">
        <f t="shared" si="43"/>
        <v>-3.0709004010209696E-2</v>
      </c>
      <c r="S277">
        <f t="shared" si="44"/>
        <v>0</v>
      </c>
      <c r="T277">
        <f t="shared" si="45"/>
        <v>0</v>
      </c>
      <c r="U277" s="5">
        <f>0</f>
        <v>0</v>
      </c>
      <c r="V277" s="45">
        <f t="shared" si="49"/>
        <v>9.851041965001632E-2</v>
      </c>
      <c r="W277" s="45">
        <f t="shared" si="50"/>
        <v>0</v>
      </c>
      <c r="X277" s="45">
        <f t="shared" si="51"/>
        <v>0</v>
      </c>
      <c r="Y277" s="46">
        <f>0</f>
        <v>0</v>
      </c>
      <c r="Z277" s="11"/>
    </row>
    <row r="278" spans="11:26" x14ac:dyDescent="0.45">
      <c r="K278" s="39">
        <f t="shared" si="46"/>
        <v>7.48</v>
      </c>
      <c r="L278" s="40">
        <f t="shared" si="39"/>
        <v>47.480000000000004</v>
      </c>
      <c r="M278" s="41">
        <f t="shared" si="40"/>
        <v>42.480000000000004</v>
      </c>
      <c r="N278" s="49">
        <f t="shared" si="41"/>
        <v>2.393702170265271E-2</v>
      </c>
      <c r="O278" s="50">
        <f t="shared" si="42"/>
        <v>1.5557421699058648E-2</v>
      </c>
      <c r="P278" s="50">
        <f t="shared" si="47"/>
        <v>2.393702170265271E-2</v>
      </c>
      <c r="Q278" s="51">
        <f t="shared" si="48"/>
        <v>1.5557421699058648E-2</v>
      </c>
      <c r="R278" s="4">
        <f t="shared" si="43"/>
        <v>-3.0650825373650988E-2</v>
      </c>
      <c r="S278">
        <f t="shared" si="44"/>
        <v>0</v>
      </c>
      <c r="T278">
        <f t="shared" si="45"/>
        <v>0</v>
      </c>
      <c r="U278" s="5">
        <f>0</f>
        <v>0</v>
      </c>
      <c r="V278" s="45">
        <f t="shared" si="49"/>
        <v>9.8817509690118419E-2</v>
      </c>
      <c r="W278" s="45">
        <f t="shared" si="50"/>
        <v>0</v>
      </c>
      <c r="X278" s="45">
        <f t="shared" si="51"/>
        <v>0</v>
      </c>
      <c r="Y278" s="46">
        <f>0</f>
        <v>0</v>
      </c>
      <c r="Z278" s="11"/>
    </row>
    <row r="279" spans="11:26" x14ac:dyDescent="0.45">
      <c r="K279" s="39">
        <f t="shared" si="46"/>
        <v>7.47</v>
      </c>
      <c r="L279" s="40">
        <f t="shared" si="39"/>
        <v>47.47</v>
      </c>
      <c r="M279" s="41">
        <f t="shared" si="40"/>
        <v>42.47</v>
      </c>
      <c r="N279" s="49">
        <f t="shared" si="41"/>
        <v>2.3916402214776544E-2</v>
      </c>
      <c r="O279" s="50">
        <f t="shared" si="42"/>
        <v>1.5544020446718538E-2</v>
      </c>
      <c r="P279" s="50">
        <f t="shared" si="47"/>
        <v>2.3916402214776544E-2</v>
      </c>
      <c r="Q279" s="51">
        <f t="shared" si="48"/>
        <v>1.5544020446718538E-2</v>
      </c>
      <c r="R279" s="4">
        <f t="shared" si="43"/>
        <v>-3.0592746120332196E-2</v>
      </c>
      <c r="S279">
        <f t="shared" si="44"/>
        <v>0</v>
      </c>
      <c r="T279">
        <f t="shared" si="45"/>
        <v>0</v>
      </c>
      <c r="U279" s="5">
        <f>0</f>
        <v>0</v>
      </c>
      <c r="V279" s="45">
        <f t="shared" si="49"/>
        <v>9.9124017943854933E-2</v>
      </c>
      <c r="W279" s="45">
        <f t="shared" si="50"/>
        <v>0</v>
      </c>
      <c r="X279" s="45">
        <f t="shared" si="51"/>
        <v>0</v>
      </c>
      <c r="Y279" s="46">
        <f>0</f>
        <v>0</v>
      </c>
      <c r="Z279" s="11"/>
    </row>
    <row r="280" spans="11:26" x14ac:dyDescent="0.45">
      <c r="K280" s="39">
        <f t="shared" si="46"/>
        <v>7.46</v>
      </c>
      <c r="L280" s="40">
        <f t="shared" si="39"/>
        <v>47.46</v>
      </c>
      <c r="M280" s="41">
        <f t="shared" si="40"/>
        <v>42.46</v>
      </c>
      <c r="N280" s="49">
        <f t="shared" si="41"/>
        <v>2.3895800488645598E-2</v>
      </c>
      <c r="O280" s="50">
        <f t="shared" si="42"/>
        <v>1.553063073829411E-2</v>
      </c>
      <c r="P280" s="50">
        <f t="shared" si="47"/>
        <v>2.3895800488645598E-2</v>
      </c>
      <c r="Q280" s="51">
        <f t="shared" si="48"/>
        <v>1.553063073829411E-2</v>
      </c>
      <c r="R280" s="4">
        <f t="shared" si="43"/>
        <v>-3.05347660522759E-2</v>
      </c>
      <c r="S280">
        <f t="shared" si="44"/>
        <v>0</v>
      </c>
      <c r="T280">
        <f t="shared" si="45"/>
        <v>0</v>
      </c>
      <c r="U280" s="5">
        <f>0</f>
        <v>0</v>
      </c>
      <c r="V280" s="45">
        <f t="shared" si="49"/>
        <v>9.9429945405058257E-2</v>
      </c>
      <c r="W280" s="45">
        <f t="shared" si="50"/>
        <v>0</v>
      </c>
      <c r="X280" s="45">
        <f t="shared" si="51"/>
        <v>0</v>
      </c>
      <c r="Y280" s="46">
        <f>0</f>
        <v>0</v>
      </c>
      <c r="Z280" s="11"/>
    </row>
    <row r="281" spans="11:26" x14ac:dyDescent="0.45">
      <c r="K281" s="39">
        <f t="shared" si="46"/>
        <v>7.45</v>
      </c>
      <c r="L281" s="40">
        <f t="shared" si="39"/>
        <v>47.45</v>
      </c>
      <c r="M281" s="41">
        <f t="shared" si="40"/>
        <v>42.45</v>
      </c>
      <c r="N281" s="49">
        <f t="shared" si="41"/>
        <v>2.3875216508959775E-2</v>
      </c>
      <c r="O281" s="50">
        <f t="shared" si="42"/>
        <v>1.5517252563841372E-2</v>
      </c>
      <c r="P281" s="50">
        <f t="shared" si="47"/>
        <v>2.3875216508959775E-2</v>
      </c>
      <c r="Q281" s="51">
        <f t="shared" si="48"/>
        <v>1.5517252563841372E-2</v>
      </c>
      <c r="R281" s="4">
        <f t="shared" si="43"/>
        <v>-3.0476884971969435E-2</v>
      </c>
      <c r="S281">
        <f t="shared" si="44"/>
        <v>0</v>
      </c>
      <c r="T281">
        <f t="shared" si="45"/>
        <v>0</v>
      </c>
      <c r="U281" s="5">
        <f>0</f>
        <v>0</v>
      </c>
      <c r="V281" s="45">
        <f t="shared" si="49"/>
        <v>9.9735293065581015E-2</v>
      </c>
      <c r="W281" s="45">
        <f t="shared" si="50"/>
        <v>0</v>
      </c>
      <c r="X281" s="45">
        <f t="shared" si="51"/>
        <v>0</v>
      </c>
      <c r="Y281" s="46">
        <f>0</f>
        <v>0</v>
      </c>
      <c r="Z281" s="11"/>
    </row>
    <row r="282" spans="11:26" x14ac:dyDescent="0.45">
      <c r="K282" s="39">
        <f t="shared" si="46"/>
        <v>7.44</v>
      </c>
      <c r="L282" s="40">
        <f t="shared" ref="L282:L345" si="52">InitialAge_x+K282</f>
        <v>47.44</v>
      </c>
      <c r="M282" s="41">
        <f t="shared" ref="M282:M345" si="53">InitialAge_y+K282</f>
        <v>42.44</v>
      </c>
      <c r="N282" s="49">
        <f t="shared" ref="N282:N345" si="54">muParameter_B*muParameter_c^L282</f>
        <v>2.3854650260432198E-2</v>
      </c>
      <c r="O282" s="50">
        <f t="shared" ref="O282:O345" si="55">muParameter_B*muParameter_c^M282</f>
        <v>1.5503885913424876E-2</v>
      </c>
      <c r="P282" s="50">
        <f t="shared" si="47"/>
        <v>2.3854650260432198E-2</v>
      </c>
      <c r="Q282" s="51">
        <f t="shared" si="48"/>
        <v>1.5503885913424876E-2</v>
      </c>
      <c r="R282" s="4">
        <f t="shared" ref="R282:R345" si="56">V282*Delta-Constant_b1-(O282*(Constant_b12+W282-V282)+N282*(Constant_b13+X282-V282))</f>
        <v>-3.0419102682363777E-2</v>
      </c>
      <c r="S282">
        <f t="shared" ref="S282:S345" si="57">W282*Delta-Constant_b2-(P282*(Constant_b24+Y282-W282)+Q282*(Constant_b34+Y282-X282))</f>
        <v>0</v>
      </c>
      <c r="T282">
        <f t="shared" ref="T282:T345" si="58">X282*Delta-Constant_b3-(Q282*(Constant_b34+Y282-X282))</f>
        <v>0</v>
      </c>
      <c r="U282" s="5">
        <f>0</f>
        <v>0</v>
      </c>
      <c r="V282" s="45">
        <f t="shared" si="49"/>
        <v>0.10004006191530071</v>
      </c>
      <c r="W282" s="45">
        <f t="shared" si="50"/>
        <v>0</v>
      </c>
      <c r="X282" s="45">
        <f t="shared" si="51"/>
        <v>0</v>
      </c>
      <c r="Y282" s="46">
        <f>0</f>
        <v>0</v>
      </c>
      <c r="Z282" s="11"/>
    </row>
    <row r="283" spans="11:26" x14ac:dyDescent="0.45">
      <c r="K283" s="39">
        <f t="shared" ref="K283:K346" si="59">ROUND(K282-StepSize,2)</f>
        <v>7.43</v>
      </c>
      <c r="L283" s="40">
        <f t="shared" si="52"/>
        <v>47.43</v>
      </c>
      <c r="M283" s="41">
        <f t="shared" si="53"/>
        <v>42.43</v>
      </c>
      <c r="N283" s="49">
        <f t="shared" si="54"/>
        <v>2.3834101727789134E-2</v>
      </c>
      <c r="O283" s="50">
        <f t="shared" si="55"/>
        <v>1.5490530777117775E-2</v>
      </c>
      <c r="P283" s="50">
        <f t="shared" ref="P283:P346" si="60">N283</f>
        <v>2.3834101727789134E-2</v>
      </c>
      <c r="Q283" s="51">
        <f t="shared" ref="Q283:Q346" si="61">O283</f>
        <v>1.5490530777117775E-2</v>
      </c>
      <c r="R283" s="4">
        <f t="shared" si="56"/>
        <v>-3.0361418986872231E-2</v>
      </c>
      <c r="S283">
        <f t="shared" si="57"/>
        <v>0</v>
      </c>
      <c r="T283">
        <f t="shared" si="58"/>
        <v>0</v>
      </c>
      <c r="U283" s="5">
        <f>0</f>
        <v>0</v>
      </c>
      <c r="V283" s="45">
        <f t="shared" ref="V283:V346" si="62">V282-StepSize*(R282)</f>
        <v>0.10034425294212435</v>
      </c>
      <c r="W283" s="45">
        <f t="shared" ref="W283:W346" si="63">W282-StepSize*(S282)</f>
        <v>0</v>
      </c>
      <c r="X283" s="45">
        <f t="shared" ref="X283:X346" si="64">X282-StepSize*(T282)</f>
        <v>0</v>
      </c>
      <c r="Y283" s="46">
        <f>0</f>
        <v>0</v>
      </c>
      <c r="Z283" s="11"/>
    </row>
    <row r="284" spans="11:26" x14ac:dyDescent="0.45">
      <c r="K284" s="39">
        <f t="shared" si="59"/>
        <v>7.42</v>
      </c>
      <c r="L284" s="40">
        <f t="shared" si="52"/>
        <v>47.42</v>
      </c>
      <c r="M284" s="41">
        <f t="shared" si="53"/>
        <v>42.42</v>
      </c>
      <c r="N284" s="49">
        <f t="shared" si="54"/>
        <v>2.3813570895770027E-2</v>
      </c>
      <c r="O284" s="50">
        <f t="shared" si="55"/>
        <v>1.5477187145001736E-2</v>
      </c>
      <c r="P284" s="50">
        <f t="shared" si="60"/>
        <v>2.3813570895770027E-2</v>
      </c>
      <c r="Q284" s="51">
        <f t="shared" si="61"/>
        <v>1.5477187145001736E-2</v>
      </c>
      <c r="R284" s="4">
        <f t="shared" si="56"/>
        <v>-3.0303833689369224E-2</v>
      </c>
      <c r="S284">
        <f t="shared" si="57"/>
        <v>0</v>
      </c>
      <c r="T284">
        <f t="shared" si="58"/>
        <v>0</v>
      </c>
      <c r="U284" s="5">
        <f>0</f>
        <v>0</v>
      </c>
      <c r="V284" s="45">
        <f t="shared" si="62"/>
        <v>0.10064786713199307</v>
      </c>
      <c r="W284" s="45">
        <f t="shared" si="63"/>
        <v>0</v>
      </c>
      <c r="X284" s="45">
        <f t="shared" si="64"/>
        <v>0</v>
      </c>
      <c r="Y284" s="46">
        <f>0</f>
        <v>0</v>
      </c>
      <c r="Z284" s="11"/>
    </row>
    <row r="285" spans="11:26" x14ac:dyDescent="0.45">
      <c r="K285" s="39">
        <f t="shared" si="59"/>
        <v>7.41</v>
      </c>
      <c r="L285" s="40">
        <f t="shared" si="52"/>
        <v>47.41</v>
      </c>
      <c r="M285" s="41">
        <f t="shared" si="53"/>
        <v>42.41</v>
      </c>
      <c r="N285" s="49">
        <f t="shared" si="54"/>
        <v>2.3793057749127426E-2</v>
      </c>
      <c r="O285" s="50">
        <f t="shared" si="55"/>
        <v>1.5463855007166979E-2</v>
      </c>
      <c r="P285" s="50">
        <f t="shared" si="60"/>
        <v>2.3793057749127426E-2</v>
      </c>
      <c r="Q285" s="51">
        <f t="shared" si="61"/>
        <v>1.5463855007166979E-2</v>
      </c>
      <c r="R285" s="4">
        <f t="shared" si="56"/>
        <v>-3.0246346594189059E-2</v>
      </c>
      <c r="S285">
        <f t="shared" si="57"/>
        <v>0</v>
      </c>
      <c r="T285">
        <f t="shared" si="58"/>
        <v>0</v>
      </c>
      <c r="U285" s="5">
        <f>0</f>
        <v>0</v>
      </c>
      <c r="V285" s="45">
        <f t="shared" si="62"/>
        <v>0.10095090546888677</v>
      </c>
      <c r="W285" s="45">
        <f t="shared" si="63"/>
        <v>0</v>
      </c>
      <c r="X285" s="45">
        <f t="shared" si="64"/>
        <v>0</v>
      </c>
      <c r="Y285" s="46">
        <f>0</f>
        <v>0</v>
      </c>
      <c r="Z285" s="11"/>
    </row>
    <row r="286" spans="11:26" x14ac:dyDescent="0.45">
      <c r="K286" s="39">
        <f t="shared" si="59"/>
        <v>7.4</v>
      </c>
      <c r="L286" s="40">
        <f t="shared" si="52"/>
        <v>47.4</v>
      </c>
      <c r="M286" s="41">
        <f t="shared" si="53"/>
        <v>42.4</v>
      </c>
      <c r="N286" s="49">
        <f t="shared" si="54"/>
        <v>2.3772562272627099E-2</v>
      </c>
      <c r="O286" s="50">
        <f t="shared" si="55"/>
        <v>1.5450534353712275E-2</v>
      </c>
      <c r="P286" s="50">
        <f t="shared" si="60"/>
        <v>2.3772562272627099E-2</v>
      </c>
      <c r="Q286" s="51">
        <f t="shared" si="61"/>
        <v>1.5450534353712275E-2</v>
      </c>
      <c r="R286" s="4">
        <f t="shared" si="56"/>
        <v>-3.0188957506124763E-2</v>
      </c>
      <c r="S286">
        <f t="shared" si="57"/>
        <v>0</v>
      </c>
      <c r="T286">
        <f t="shared" si="58"/>
        <v>0</v>
      </c>
      <c r="U286" s="5">
        <f>0</f>
        <v>0</v>
      </c>
      <c r="V286" s="45">
        <f t="shared" si="62"/>
        <v>0.10125336893482866</v>
      </c>
      <c r="W286" s="45">
        <f t="shared" si="63"/>
        <v>0</v>
      </c>
      <c r="X286" s="45">
        <f t="shared" si="64"/>
        <v>0</v>
      </c>
      <c r="Y286" s="46">
        <f>0</f>
        <v>0</v>
      </c>
      <c r="Z286" s="11"/>
    </row>
    <row r="287" spans="11:26" x14ac:dyDescent="0.45">
      <c r="K287" s="39">
        <f t="shared" si="59"/>
        <v>7.39</v>
      </c>
      <c r="L287" s="40">
        <f t="shared" si="52"/>
        <v>47.39</v>
      </c>
      <c r="M287" s="41">
        <f t="shared" si="53"/>
        <v>42.39</v>
      </c>
      <c r="N287" s="49">
        <f t="shared" si="54"/>
        <v>2.3752084451047858E-2</v>
      </c>
      <c r="O287" s="50">
        <f t="shared" si="55"/>
        <v>1.5437225174744908E-2</v>
      </c>
      <c r="P287" s="50">
        <f t="shared" si="60"/>
        <v>2.3752084451047858E-2</v>
      </c>
      <c r="Q287" s="51">
        <f t="shared" si="61"/>
        <v>1.5437225174744908E-2</v>
      </c>
      <c r="R287" s="4">
        <f t="shared" si="56"/>
        <v>-3.0131666230426766E-2</v>
      </c>
      <c r="S287">
        <f t="shared" si="57"/>
        <v>0</v>
      </c>
      <c r="T287">
        <f t="shared" si="58"/>
        <v>0</v>
      </c>
      <c r="U287" s="5">
        <f>0</f>
        <v>0</v>
      </c>
      <c r="V287" s="45">
        <f t="shared" si="62"/>
        <v>0.1015552585098899</v>
      </c>
      <c r="W287" s="45">
        <f t="shared" si="63"/>
        <v>0</v>
      </c>
      <c r="X287" s="45">
        <f t="shared" si="64"/>
        <v>0</v>
      </c>
      <c r="Y287" s="46">
        <f>0</f>
        <v>0</v>
      </c>
      <c r="Z287" s="11"/>
    </row>
    <row r="288" spans="11:26" x14ac:dyDescent="0.45">
      <c r="K288" s="39">
        <f t="shared" si="59"/>
        <v>7.38</v>
      </c>
      <c r="L288" s="40">
        <f t="shared" si="52"/>
        <v>47.38</v>
      </c>
      <c r="M288" s="41">
        <f t="shared" si="53"/>
        <v>42.38</v>
      </c>
      <c r="N288" s="49">
        <f t="shared" si="54"/>
        <v>2.3731624269181677E-2</v>
      </c>
      <c r="O288" s="50">
        <f t="shared" si="55"/>
        <v>1.5423927460380691E-2</v>
      </c>
      <c r="P288" s="50">
        <f t="shared" si="60"/>
        <v>2.3731624269181677E-2</v>
      </c>
      <c r="Q288" s="51">
        <f t="shared" si="61"/>
        <v>1.5423927460380691E-2</v>
      </c>
      <c r="R288" s="4">
        <f t="shared" si="56"/>
        <v>-3.0074472572801748E-2</v>
      </c>
      <c r="S288">
        <f t="shared" si="57"/>
        <v>0</v>
      </c>
      <c r="T288">
        <f t="shared" si="58"/>
        <v>0</v>
      </c>
      <c r="U288" s="5">
        <f>0</f>
        <v>0</v>
      </c>
      <c r="V288" s="45">
        <f t="shared" si="62"/>
        <v>0.10185657517219417</v>
      </c>
      <c r="W288" s="45">
        <f t="shared" si="63"/>
        <v>0</v>
      </c>
      <c r="X288" s="45">
        <f t="shared" si="64"/>
        <v>0</v>
      </c>
      <c r="Y288" s="46">
        <f>0</f>
        <v>0</v>
      </c>
      <c r="Z288" s="11"/>
    </row>
    <row r="289" spans="11:26" x14ac:dyDescent="0.45">
      <c r="K289" s="39">
        <f t="shared" si="59"/>
        <v>7.37</v>
      </c>
      <c r="L289" s="40">
        <f t="shared" si="52"/>
        <v>47.37</v>
      </c>
      <c r="M289" s="41">
        <f t="shared" si="53"/>
        <v>42.37</v>
      </c>
      <c r="N289" s="49">
        <f t="shared" si="54"/>
        <v>2.3711181711833538E-2</v>
      </c>
      <c r="O289" s="50">
        <f t="shared" si="55"/>
        <v>1.541064120074394E-2</v>
      </c>
      <c r="P289" s="50">
        <f t="shared" si="60"/>
        <v>2.3711181711833538E-2</v>
      </c>
      <c r="Q289" s="51">
        <f t="shared" si="61"/>
        <v>1.541064120074394E-2</v>
      </c>
      <c r="R289" s="4">
        <f t="shared" si="56"/>
        <v>-3.0017376339411327E-2</v>
      </c>
      <c r="S289">
        <f t="shared" si="57"/>
        <v>0</v>
      </c>
      <c r="T289">
        <f t="shared" si="58"/>
        <v>0</v>
      </c>
      <c r="U289" s="5">
        <f>0</f>
        <v>0</v>
      </c>
      <c r="V289" s="45">
        <f t="shared" si="62"/>
        <v>0.10215731989792218</v>
      </c>
      <c r="W289" s="45">
        <f t="shared" si="63"/>
        <v>0</v>
      </c>
      <c r="X289" s="45">
        <f t="shared" si="64"/>
        <v>0</v>
      </c>
      <c r="Y289" s="46">
        <f>0</f>
        <v>0</v>
      </c>
      <c r="Z289" s="11"/>
    </row>
    <row r="290" spans="11:26" x14ac:dyDescent="0.45">
      <c r="K290" s="39">
        <f t="shared" si="59"/>
        <v>7.36</v>
      </c>
      <c r="L290" s="40">
        <f t="shared" si="52"/>
        <v>47.36</v>
      </c>
      <c r="M290" s="41">
        <f t="shared" si="53"/>
        <v>42.36</v>
      </c>
      <c r="N290" s="49">
        <f t="shared" si="54"/>
        <v>2.3690756763821642E-2</v>
      </c>
      <c r="O290" s="50">
        <f t="shared" si="55"/>
        <v>1.5397366385967497E-2</v>
      </c>
      <c r="P290" s="50">
        <f t="shared" si="60"/>
        <v>2.3690756763821642E-2</v>
      </c>
      <c r="Q290" s="51">
        <f t="shared" si="61"/>
        <v>1.5397366385967497E-2</v>
      </c>
      <c r="R290" s="4">
        <f t="shared" si="56"/>
        <v>-2.9960377336871052E-2</v>
      </c>
      <c r="S290">
        <f t="shared" si="57"/>
        <v>0</v>
      </c>
      <c r="T290">
        <f t="shared" si="58"/>
        <v>0</v>
      </c>
      <c r="U290" s="5">
        <f>0</f>
        <v>0</v>
      </c>
      <c r="V290" s="45">
        <f t="shared" si="62"/>
        <v>0.10245749366131629</v>
      </c>
      <c r="W290" s="45">
        <f t="shared" si="63"/>
        <v>0</v>
      </c>
      <c r="X290" s="45">
        <f t="shared" si="64"/>
        <v>0</v>
      </c>
      <c r="Y290" s="46">
        <f>0</f>
        <v>0</v>
      </c>
      <c r="Z290" s="11"/>
    </row>
    <row r="291" spans="11:26" x14ac:dyDescent="0.45">
      <c r="K291" s="39">
        <f t="shared" si="59"/>
        <v>7.35</v>
      </c>
      <c r="L291" s="40">
        <f t="shared" si="52"/>
        <v>47.35</v>
      </c>
      <c r="M291" s="41">
        <f t="shared" si="53"/>
        <v>42.35</v>
      </c>
      <c r="N291" s="49">
        <f t="shared" si="54"/>
        <v>2.3670349409977191E-2</v>
      </c>
      <c r="O291" s="50">
        <f t="shared" si="55"/>
        <v>1.5384103006192692E-2</v>
      </c>
      <c r="P291" s="50">
        <f t="shared" si="60"/>
        <v>2.3670349409977191E-2</v>
      </c>
      <c r="Q291" s="51">
        <f t="shared" si="61"/>
        <v>1.5384103006192692E-2</v>
      </c>
      <c r="R291" s="4">
        <f t="shared" si="56"/>
        <v>-2.9903475372248994E-2</v>
      </c>
      <c r="S291">
        <f t="shared" si="57"/>
        <v>0</v>
      </c>
      <c r="T291">
        <f t="shared" si="58"/>
        <v>0</v>
      </c>
      <c r="U291" s="5">
        <f>0</f>
        <v>0</v>
      </c>
      <c r="V291" s="45">
        <f t="shared" si="62"/>
        <v>0.102757097434685</v>
      </c>
      <c r="W291" s="45">
        <f t="shared" si="63"/>
        <v>0</v>
      </c>
      <c r="X291" s="45">
        <f t="shared" si="64"/>
        <v>0</v>
      </c>
      <c r="Y291" s="46">
        <f>0</f>
        <v>0</v>
      </c>
      <c r="Z291" s="11"/>
    </row>
    <row r="292" spans="11:26" x14ac:dyDescent="0.45">
      <c r="K292" s="39">
        <f t="shared" si="59"/>
        <v>7.34</v>
      </c>
      <c r="L292" s="40">
        <f t="shared" si="52"/>
        <v>47.34</v>
      </c>
      <c r="M292" s="41">
        <f t="shared" si="53"/>
        <v>42.34</v>
      </c>
      <c r="N292" s="49">
        <f t="shared" si="54"/>
        <v>2.3649959635144466E-2</v>
      </c>
      <c r="O292" s="50">
        <f t="shared" si="55"/>
        <v>1.5370851051569356E-2</v>
      </c>
      <c r="P292" s="50">
        <f t="shared" si="60"/>
        <v>2.3649959635144466E-2</v>
      </c>
      <c r="Q292" s="51">
        <f t="shared" si="61"/>
        <v>1.5370851051569356E-2</v>
      </c>
      <c r="R292" s="4">
        <f t="shared" si="56"/>
        <v>-2.9846670253064648E-2</v>
      </c>
      <c r="S292">
        <f t="shared" si="57"/>
        <v>0</v>
      </c>
      <c r="T292">
        <f t="shared" si="58"/>
        <v>0</v>
      </c>
      <c r="U292" s="5">
        <f>0</f>
        <v>0</v>
      </c>
      <c r="V292" s="45">
        <f t="shared" si="62"/>
        <v>0.10305613218840749</v>
      </c>
      <c r="W292" s="45">
        <f t="shared" si="63"/>
        <v>0</v>
      </c>
      <c r="X292" s="45">
        <f t="shared" si="64"/>
        <v>0</v>
      </c>
      <c r="Y292" s="46">
        <f>0</f>
        <v>0</v>
      </c>
      <c r="Z292" s="11"/>
    </row>
    <row r="293" spans="11:26" x14ac:dyDescent="0.45">
      <c r="K293" s="39">
        <f t="shared" si="59"/>
        <v>7.33</v>
      </c>
      <c r="L293" s="40">
        <f t="shared" si="52"/>
        <v>47.33</v>
      </c>
      <c r="M293" s="41">
        <f t="shared" si="53"/>
        <v>42.33</v>
      </c>
      <c r="N293" s="49">
        <f t="shared" si="54"/>
        <v>2.3629587424180788E-2</v>
      </c>
      <c r="O293" s="50">
        <f t="shared" si="55"/>
        <v>1.5357610512255766E-2</v>
      </c>
      <c r="P293" s="50">
        <f t="shared" si="60"/>
        <v>2.3629587424180788E-2</v>
      </c>
      <c r="Q293" s="51">
        <f t="shared" si="61"/>
        <v>1.5357610512255766E-2</v>
      </c>
      <c r="R293" s="4">
        <f t="shared" si="56"/>
        <v>-2.9789961787287635E-2</v>
      </c>
      <c r="S293">
        <f t="shared" si="57"/>
        <v>0</v>
      </c>
      <c r="T293">
        <f t="shared" si="58"/>
        <v>0</v>
      </c>
      <c r="U293" s="5">
        <f>0</f>
        <v>0</v>
      </c>
      <c r="V293" s="45">
        <f t="shared" si="62"/>
        <v>0.10335459889093813</v>
      </c>
      <c r="W293" s="45">
        <f t="shared" si="63"/>
        <v>0</v>
      </c>
      <c r="X293" s="45">
        <f t="shared" si="64"/>
        <v>0</v>
      </c>
      <c r="Y293" s="46">
        <f>0</f>
        <v>0</v>
      </c>
      <c r="Z293" s="11"/>
    </row>
    <row r="294" spans="11:26" x14ac:dyDescent="0.45">
      <c r="K294" s="39">
        <f t="shared" si="59"/>
        <v>7.32</v>
      </c>
      <c r="L294" s="40">
        <f t="shared" si="52"/>
        <v>47.32</v>
      </c>
      <c r="M294" s="41">
        <f t="shared" si="53"/>
        <v>42.32</v>
      </c>
      <c r="N294" s="49">
        <f t="shared" si="54"/>
        <v>2.3609232761956592E-2</v>
      </c>
      <c r="O294" s="50">
        <f t="shared" si="55"/>
        <v>1.5344381378418748E-2</v>
      </c>
      <c r="P294" s="50">
        <f t="shared" si="60"/>
        <v>2.3609232761956592E-2</v>
      </c>
      <c r="Q294" s="51">
        <f t="shared" si="61"/>
        <v>1.5344381378418748E-2</v>
      </c>
      <c r="R294" s="4">
        <f t="shared" si="56"/>
        <v>-2.9733349783336738E-2</v>
      </c>
      <c r="S294">
        <f t="shared" si="57"/>
        <v>0</v>
      </c>
      <c r="T294">
        <f t="shared" si="58"/>
        <v>0</v>
      </c>
      <c r="U294" s="5">
        <f>0</f>
        <v>0</v>
      </c>
      <c r="V294" s="45">
        <f t="shared" si="62"/>
        <v>0.10365249850881102</v>
      </c>
      <c r="W294" s="45">
        <f t="shared" si="63"/>
        <v>0</v>
      </c>
      <c r="X294" s="45">
        <f t="shared" si="64"/>
        <v>0</v>
      </c>
      <c r="Y294" s="46">
        <f>0</f>
        <v>0</v>
      </c>
      <c r="Z294" s="11"/>
    </row>
    <row r="295" spans="11:26" x14ac:dyDescent="0.45">
      <c r="K295" s="39">
        <f t="shared" si="59"/>
        <v>7.31</v>
      </c>
      <c r="L295" s="40">
        <f t="shared" si="52"/>
        <v>47.31</v>
      </c>
      <c r="M295" s="41">
        <f t="shared" si="53"/>
        <v>42.31</v>
      </c>
      <c r="N295" s="49">
        <f t="shared" si="54"/>
        <v>2.3588895633355238E-2</v>
      </c>
      <c r="O295" s="50">
        <f t="shared" si="55"/>
        <v>1.533116364023355E-2</v>
      </c>
      <c r="P295" s="50">
        <f t="shared" si="60"/>
        <v>2.3588895633355238E-2</v>
      </c>
      <c r="Q295" s="51">
        <f t="shared" si="61"/>
        <v>1.533116364023355E-2</v>
      </c>
      <c r="R295" s="4">
        <f t="shared" si="56"/>
        <v>-2.9676834050078371E-2</v>
      </c>
      <c r="S295">
        <f t="shared" si="57"/>
        <v>0</v>
      </c>
      <c r="T295">
        <f t="shared" si="58"/>
        <v>0</v>
      </c>
      <c r="U295" s="5">
        <f>0</f>
        <v>0</v>
      </c>
      <c r="V295" s="45">
        <f t="shared" si="62"/>
        <v>0.10394983200664439</v>
      </c>
      <c r="W295" s="45">
        <f t="shared" si="63"/>
        <v>0</v>
      </c>
      <c r="X295" s="45">
        <f t="shared" si="64"/>
        <v>0</v>
      </c>
      <c r="Y295" s="46">
        <f>0</f>
        <v>0</v>
      </c>
      <c r="Z295" s="11"/>
    </row>
    <row r="296" spans="11:26" x14ac:dyDescent="0.45">
      <c r="K296" s="39">
        <f t="shared" si="59"/>
        <v>7.3</v>
      </c>
      <c r="L296" s="40">
        <f t="shared" si="52"/>
        <v>47.3</v>
      </c>
      <c r="M296" s="41">
        <f t="shared" si="53"/>
        <v>42.3</v>
      </c>
      <c r="N296" s="49">
        <f t="shared" si="54"/>
        <v>2.3568576023273162E-2</v>
      </c>
      <c r="O296" s="50">
        <f t="shared" si="55"/>
        <v>1.5317957287883863E-2</v>
      </c>
      <c r="P296" s="50">
        <f t="shared" si="60"/>
        <v>2.3568576023273162E-2</v>
      </c>
      <c r="Q296" s="51">
        <f t="shared" si="61"/>
        <v>1.5317957287883863E-2</v>
      </c>
      <c r="R296" s="4">
        <f t="shared" si="56"/>
        <v>-2.9620414396825629E-2</v>
      </c>
      <c r="S296">
        <f t="shared" si="57"/>
        <v>0</v>
      </c>
      <c r="T296">
        <f t="shared" si="58"/>
        <v>0</v>
      </c>
      <c r="U296" s="5">
        <f>0</f>
        <v>0</v>
      </c>
      <c r="V296" s="45">
        <f t="shared" si="62"/>
        <v>0.10424660034714517</v>
      </c>
      <c r="W296" s="45">
        <f t="shared" si="63"/>
        <v>0</v>
      </c>
      <c r="X296" s="45">
        <f t="shared" si="64"/>
        <v>0</v>
      </c>
      <c r="Y296" s="46">
        <f>0</f>
        <v>0</v>
      </c>
      <c r="Z296" s="11"/>
    </row>
    <row r="297" spans="11:26" x14ac:dyDescent="0.45">
      <c r="K297" s="39">
        <f t="shared" si="59"/>
        <v>7.29</v>
      </c>
      <c r="L297" s="40">
        <f t="shared" si="52"/>
        <v>47.29</v>
      </c>
      <c r="M297" s="41">
        <f t="shared" si="53"/>
        <v>42.29</v>
      </c>
      <c r="N297" s="49">
        <f t="shared" si="54"/>
        <v>2.3548273916619851E-2</v>
      </c>
      <c r="O297" s="50">
        <f t="shared" si="55"/>
        <v>1.5304762311561899E-2</v>
      </c>
      <c r="P297" s="50">
        <f t="shared" si="60"/>
        <v>2.3548273916619851E-2</v>
      </c>
      <c r="Q297" s="51">
        <f t="shared" si="61"/>
        <v>1.5304762311561899E-2</v>
      </c>
      <c r="R297" s="4">
        <f t="shared" si="56"/>
        <v>-2.9564090633337127E-2</v>
      </c>
      <c r="S297">
        <f t="shared" si="57"/>
        <v>0</v>
      </c>
      <c r="T297">
        <f t="shared" si="58"/>
        <v>0</v>
      </c>
      <c r="U297" s="5">
        <f>0</f>
        <v>0</v>
      </c>
      <c r="V297" s="45">
        <f t="shared" si="62"/>
        <v>0.10454280449111343</v>
      </c>
      <c r="W297" s="45">
        <f t="shared" si="63"/>
        <v>0</v>
      </c>
      <c r="X297" s="45">
        <f t="shared" si="64"/>
        <v>0</v>
      </c>
      <c r="Y297" s="46">
        <f>0</f>
        <v>0</v>
      </c>
      <c r="Z297" s="11"/>
    </row>
    <row r="298" spans="11:26" x14ac:dyDescent="0.45">
      <c r="K298" s="39">
        <f t="shared" si="59"/>
        <v>7.28</v>
      </c>
      <c r="L298" s="40">
        <f t="shared" si="52"/>
        <v>47.28</v>
      </c>
      <c r="M298" s="41">
        <f t="shared" si="53"/>
        <v>42.28</v>
      </c>
      <c r="N298" s="49">
        <f t="shared" si="54"/>
        <v>2.3527989298317731E-2</v>
      </c>
      <c r="O298" s="50">
        <f t="shared" si="55"/>
        <v>1.5291578701468278E-2</v>
      </c>
      <c r="P298" s="50">
        <f t="shared" si="60"/>
        <v>2.3527989298317731E-2</v>
      </c>
      <c r="Q298" s="51">
        <f t="shared" si="61"/>
        <v>1.5291578701468278E-2</v>
      </c>
      <c r="R298" s="4">
        <f t="shared" si="56"/>
        <v>-2.9507862569815631E-2</v>
      </c>
      <c r="S298">
        <f t="shared" si="57"/>
        <v>0</v>
      </c>
      <c r="T298">
        <f t="shared" si="58"/>
        <v>0</v>
      </c>
      <c r="U298" s="5">
        <f>0</f>
        <v>0</v>
      </c>
      <c r="V298" s="45">
        <f t="shared" si="62"/>
        <v>0.1048384453974468</v>
      </c>
      <c r="W298" s="45">
        <f t="shared" si="63"/>
        <v>0</v>
      </c>
      <c r="X298" s="45">
        <f t="shared" si="64"/>
        <v>0</v>
      </c>
      <c r="Y298" s="46">
        <f>0</f>
        <v>0</v>
      </c>
      <c r="Z298" s="11"/>
    </row>
    <row r="299" spans="11:26" x14ac:dyDescent="0.45">
      <c r="K299" s="39">
        <f t="shared" si="59"/>
        <v>7.27</v>
      </c>
      <c r="L299" s="40">
        <f t="shared" si="52"/>
        <v>47.269999999999996</v>
      </c>
      <c r="M299" s="41">
        <f t="shared" si="53"/>
        <v>42.269999999999996</v>
      </c>
      <c r="N299" s="49">
        <f t="shared" si="54"/>
        <v>2.3507722153302213E-2</v>
      </c>
      <c r="O299" s="50">
        <f t="shared" si="55"/>
        <v>1.5278406447812032E-2</v>
      </c>
      <c r="P299" s="50">
        <f t="shared" si="60"/>
        <v>2.3507722153302213E-2</v>
      </c>
      <c r="Q299" s="51">
        <f t="shared" si="61"/>
        <v>1.5278406447812032E-2</v>
      </c>
      <c r="R299" s="4">
        <f t="shared" si="56"/>
        <v>-2.9451730016906968E-2</v>
      </c>
      <c r="S299">
        <f t="shared" si="57"/>
        <v>0</v>
      </c>
      <c r="T299">
        <f t="shared" si="58"/>
        <v>0</v>
      </c>
      <c r="U299" s="5">
        <f>0</f>
        <v>0</v>
      </c>
      <c r="V299" s="45">
        <f t="shared" si="62"/>
        <v>0.10513352402314495</v>
      </c>
      <c r="W299" s="45">
        <f t="shared" si="63"/>
        <v>0</v>
      </c>
      <c r="X299" s="45">
        <f t="shared" si="64"/>
        <v>0</v>
      </c>
      <c r="Y299" s="46">
        <f>0</f>
        <v>0</v>
      </c>
      <c r="Z299" s="11"/>
    </row>
    <row r="300" spans="11:26" x14ac:dyDescent="0.45">
      <c r="K300" s="39">
        <f t="shared" si="59"/>
        <v>7.26</v>
      </c>
      <c r="L300" s="40">
        <f t="shared" si="52"/>
        <v>47.26</v>
      </c>
      <c r="M300" s="41">
        <f t="shared" si="53"/>
        <v>42.26</v>
      </c>
      <c r="N300" s="49">
        <f t="shared" si="54"/>
        <v>2.3487472466521771E-2</v>
      </c>
      <c r="O300" s="50">
        <f t="shared" si="55"/>
        <v>1.52652455408107E-2</v>
      </c>
      <c r="P300" s="50">
        <f t="shared" si="60"/>
        <v>2.3487472466521771E-2</v>
      </c>
      <c r="Q300" s="51">
        <f t="shared" si="61"/>
        <v>1.52652455408107E-2</v>
      </c>
      <c r="R300" s="4">
        <f t="shared" si="56"/>
        <v>-2.9395692785698993E-2</v>
      </c>
      <c r="S300">
        <f t="shared" si="57"/>
        <v>0</v>
      </c>
      <c r="T300">
        <f t="shared" si="58"/>
        <v>0</v>
      </c>
      <c r="U300" s="5">
        <f>0</f>
        <v>0</v>
      </c>
      <c r="V300" s="45">
        <f t="shared" si="62"/>
        <v>0.10542804132331401</v>
      </c>
      <c r="W300" s="45">
        <f t="shared" si="63"/>
        <v>0</v>
      </c>
      <c r="X300" s="45">
        <f t="shared" si="64"/>
        <v>0</v>
      </c>
      <c r="Y300" s="46">
        <f>0</f>
        <v>0</v>
      </c>
      <c r="Z300" s="11"/>
    </row>
    <row r="301" spans="11:26" x14ac:dyDescent="0.45">
      <c r="K301" s="39">
        <f t="shared" si="59"/>
        <v>7.25</v>
      </c>
      <c r="L301" s="40">
        <f t="shared" si="52"/>
        <v>47.25</v>
      </c>
      <c r="M301" s="41">
        <f t="shared" si="53"/>
        <v>42.25</v>
      </c>
      <c r="N301" s="49">
        <f t="shared" si="54"/>
        <v>2.3467240222937724E-2</v>
      </c>
      <c r="O301" s="50">
        <f t="shared" si="55"/>
        <v>1.5252095970690202E-2</v>
      </c>
      <c r="P301" s="50">
        <f t="shared" si="60"/>
        <v>2.3467240222937724E-2</v>
      </c>
      <c r="Q301" s="51">
        <f t="shared" si="61"/>
        <v>1.5252095970690202E-2</v>
      </c>
      <c r="R301" s="4">
        <f t="shared" si="56"/>
        <v>-2.9339750687720136E-2</v>
      </c>
      <c r="S301">
        <f t="shared" si="57"/>
        <v>0</v>
      </c>
      <c r="T301">
        <f t="shared" si="58"/>
        <v>0</v>
      </c>
      <c r="U301" s="5">
        <f>0</f>
        <v>0</v>
      </c>
      <c r="V301" s="45">
        <f t="shared" si="62"/>
        <v>0.105721998251171</v>
      </c>
      <c r="W301" s="45">
        <f t="shared" si="63"/>
        <v>0</v>
      </c>
      <c r="X301" s="45">
        <f t="shared" si="64"/>
        <v>0</v>
      </c>
      <c r="Y301" s="46">
        <f>0</f>
        <v>0</v>
      </c>
      <c r="Z301" s="11"/>
    </row>
    <row r="302" spans="11:26" x14ac:dyDescent="0.45">
      <c r="K302" s="39">
        <f t="shared" si="59"/>
        <v>7.24</v>
      </c>
      <c r="L302" s="40">
        <f t="shared" si="52"/>
        <v>47.24</v>
      </c>
      <c r="M302" s="41">
        <f t="shared" si="53"/>
        <v>42.24</v>
      </c>
      <c r="N302" s="49">
        <f t="shared" si="54"/>
        <v>2.3447025407524417E-2</v>
      </c>
      <c r="O302" s="50">
        <f t="shared" si="55"/>
        <v>1.5238957727684863E-2</v>
      </c>
      <c r="P302" s="50">
        <f t="shared" si="60"/>
        <v>2.3447025407524417E-2</v>
      </c>
      <c r="Q302" s="51">
        <f t="shared" si="61"/>
        <v>1.5238957727684863E-2</v>
      </c>
      <c r="R302" s="4">
        <f t="shared" si="56"/>
        <v>-2.9283903534938479E-2</v>
      </c>
      <c r="S302">
        <f t="shared" si="57"/>
        <v>0</v>
      </c>
      <c r="T302">
        <f t="shared" si="58"/>
        <v>0</v>
      </c>
      <c r="U302" s="5">
        <f>0</f>
        <v>0</v>
      </c>
      <c r="V302" s="45">
        <f t="shared" si="62"/>
        <v>0.10601539575804821</v>
      </c>
      <c r="W302" s="45">
        <f t="shared" si="63"/>
        <v>0</v>
      </c>
      <c r="X302" s="45">
        <f t="shared" si="64"/>
        <v>0</v>
      </c>
      <c r="Y302" s="46">
        <f>0</f>
        <v>0</v>
      </c>
      <c r="Z302" s="11"/>
    </row>
    <row r="303" spans="11:26" x14ac:dyDescent="0.45">
      <c r="K303" s="39">
        <f t="shared" si="59"/>
        <v>7.23</v>
      </c>
      <c r="L303" s="40">
        <f t="shared" si="52"/>
        <v>47.230000000000004</v>
      </c>
      <c r="M303" s="41">
        <f t="shared" si="53"/>
        <v>42.230000000000004</v>
      </c>
      <c r="N303" s="49">
        <f t="shared" si="54"/>
        <v>2.3426828005269126E-2</v>
      </c>
      <c r="O303" s="50">
        <f t="shared" si="55"/>
        <v>1.522583080203746E-2</v>
      </c>
      <c r="P303" s="50">
        <f t="shared" si="60"/>
        <v>2.3426828005269126E-2</v>
      </c>
      <c r="Q303" s="51">
        <f t="shared" si="61"/>
        <v>1.522583080203746E-2</v>
      </c>
      <c r="R303" s="4">
        <f t="shared" si="56"/>
        <v>-2.9228151139760468E-2</v>
      </c>
      <c r="S303">
        <f t="shared" si="57"/>
        <v>0</v>
      </c>
      <c r="T303">
        <f t="shared" si="58"/>
        <v>0</v>
      </c>
      <c r="U303" s="5">
        <f>0</f>
        <v>0</v>
      </c>
      <c r="V303" s="45">
        <f t="shared" si="62"/>
        <v>0.10630823479339759</v>
      </c>
      <c r="W303" s="45">
        <f t="shared" si="63"/>
        <v>0</v>
      </c>
      <c r="X303" s="45">
        <f t="shared" si="64"/>
        <v>0</v>
      </c>
      <c r="Y303" s="46">
        <f>0</f>
        <v>0</v>
      </c>
      <c r="Z303" s="11"/>
    </row>
    <row r="304" spans="11:26" x14ac:dyDescent="0.45">
      <c r="K304" s="39">
        <f t="shared" si="59"/>
        <v>7.22</v>
      </c>
      <c r="L304" s="40">
        <f t="shared" si="52"/>
        <v>47.22</v>
      </c>
      <c r="M304" s="41">
        <f t="shared" si="53"/>
        <v>42.22</v>
      </c>
      <c r="N304" s="49">
        <f t="shared" si="54"/>
        <v>2.3406648001172037E-2</v>
      </c>
      <c r="O304" s="50">
        <f t="shared" si="55"/>
        <v>1.5212715183999137E-2</v>
      </c>
      <c r="P304" s="50">
        <f t="shared" si="60"/>
        <v>2.3406648001172037E-2</v>
      </c>
      <c r="Q304" s="51">
        <f t="shared" si="61"/>
        <v>1.5212715183999137E-2</v>
      </c>
      <c r="R304" s="4">
        <f t="shared" si="56"/>
        <v>-2.9172493315029767E-2</v>
      </c>
      <c r="S304">
        <f t="shared" si="57"/>
        <v>0</v>
      </c>
      <c r="T304">
        <f t="shared" si="58"/>
        <v>0</v>
      </c>
      <c r="U304" s="5">
        <f>0</f>
        <v>0</v>
      </c>
      <c r="V304" s="45">
        <f t="shared" si="62"/>
        <v>0.1066005163047952</v>
      </c>
      <c r="W304" s="45">
        <f t="shared" si="63"/>
        <v>0</v>
      </c>
      <c r="X304" s="45">
        <f t="shared" si="64"/>
        <v>0</v>
      </c>
      <c r="Y304" s="46">
        <f>0</f>
        <v>0</v>
      </c>
      <c r="Z304" s="11"/>
    </row>
    <row r="305" spans="11:26" x14ac:dyDescent="0.45">
      <c r="K305" s="39">
        <f t="shared" si="59"/>
        <v>7.21</v>
      </c>
      <c r="L305" s="40">
        <f t="shared" si="52"/>
        <v>47.21</v>
      </c>
      <c r="M305" s="41">
        <f t="shared" si="53"/>
        <v>42.21</v>
      </c>
      <c r="N305" s="49">
        <f t="shared" si="54"/>
        <v>2.3386485380246316E-2</v>
      </c>
      <c r="O305" s="50">
        <f t="shared" si="55"/>
        <v>1.5199610863829476E-2</v>
      </c>
      <c r="P305" s="50">
        <f t="shared" si="60"/>
        <v>2.3386485380246316E-2</v>
      </c>
      <c r="Q305" s="51">
        <f t="shared" si="61"/>
        <v>1.5199610863829476E-2</v>
      </c>
      <c r="R305" s="4">
        <f t="shared" si="56"/>
        <v>-2.9116929874026188E-2</v>
      </c>
      <c r="S305">
        <f t="shared" si="57"/>
        <v>0</v>
      </c>
      <c r="T305">
        <f t="shared" si="58"/>
        <v>0</v>
      </c>
      <c r="U305" s="5">
        <f>0</f>
        <v>0</v>
      </c>
      <c r="V305" s="45">
        <f t="shared" si="62"/>
        <v>0.1068922412379455</v>
      </c>
      <c r="W305" s="45">
        <f t="shared" si="63"/>
        <v>0</v>
      </c>
      <c r="X305" s="45">
        <f t="shared" si="64"/>
        <v>0</v>
      </c>
      <c r="Y305" s="46">
        <f>0</f>
        <v>0</v>
      </c>
      <c r="Z305" s="11"/>
    </row>
    <row r="306" spans="11:26" x14ac:dyDescent="0.45">
      <c r="K306" s="39">
        <f t="shared" si="59"/>
        <v>7.2</v>
      </c>
      <c r="L306" s="40">
        <f t="shared" si="52"/>
        <v>47.2</v>
      </c>
      <c r="M306" s="41">
        <f t="shared" si="53"/>
        <v>42.2</v>
      </c>
      <c r="N306" s="49">
        <f t="shared" si="54"/>
        <v>2.3366340127517975E-2</v>
      </c>
      <c r="O306" s="50">
        <f t="shared" si="55"/>
        <v>1.5186517831796415E-2</v>
      </c>
      <c r="P306" s="50">
        <f t="shared" si="60"/>
        <v>2.3366340127517975E-2</v>
      </c>
      <c r="Q306" s="51">
        <f t="shared" si="61"/>
        <v>1.5186517831796415E-2</v>
      </c>
      <c r="R306" s="4">
        <f t="shared" si="56"/>
        <v>-2.9061460630464372E-2</v>
      </c>
      <c r="S306">
        <f t="shared" si="57"/>
        <v>0</v>
      </c>
      <c r="T306">
        <f t="shared" si="58"/>
        <v>0</v>
      </c>
      <c r="U306" s="5">
        <f>0</f>
        <v>0</v>
      </c>
      <c r="V306" s="45">
        <f t="shared" si="62"/>
        <v>0.10718341053668576</v>
      </c>
      <c r="W306" s="45">
        <f t="shared" si="63"/>
        <v>0</v>
      </c>
      <c r="X306" s="45">
        <f t="shared" si="64"/>
        <v>0</v>
      </c>
      <c r="Y306" s="46">
        <f>0</f>
        <v>0</v>
      </c>
      <c r="Z306" s="11"/>
    </row>
    <row r="307" spans="11:26" x14ac:dyDescent="0.45">
      <c r="K307" s="39">
        <f t="shared" si="59"/>
        <v>7.19</v>
      </c>
      <c r="L307" s="40">
        <f t="shared" si="52"/>
        <v>47.19</v>
      </c>
      <c r="M307" s="41">
        <f t="shared" si="53"/>
        <v>42.19</v>
      </c>
      <c r="N307" s="49">
        <f t="shared" si="54"/>
        <v>2.3346212228025961E-2</v>
      </c>
      <c r="O307" s="50">
        <f t="shared" si="55"/>
        <v>1.5173436078176287E-2</v>
      </c>
      <c r="P307" s="50">
        <f t="shared" si="60"/>
        <v>2.3346212228025961E-2</v>
      </c>
      <c r="Q307" s="51">
        <f t="shared" si="61"/>
        <v>1.5173436078176287E-2</v>
      </c>
      <c r="R307" s="4">
        <f t="shared" si="56"/>
        <v>-2.9006085398492795E-2</v>
      </c>
      <c r="S307">
        <f t="shared" si="57"/>
        <v>0</v>
      </c>
      <c r="T307">
        <f t="shared" si="58"/>
        <v>0</v>
      </c>
      <c r="U307" s="5">
        <f>0</f>
        <v>0</v>
      </c>
      <c r="V307" s="45">
        <f t="shared" si="62"/>
        <v>0.1074740251429904</v>
      </c>
      <c r="W307" s="45">
        <f t="shared" si="63"/>
        <v>0</v>
      </c>
      <c r="X307" s="45">
        <f t="shared" si="64"/>
        <v>0</v>
      </c>
      <c r="Y307" s="46">
        <f>0</f>
        <v>0</v>
      </c>
      <c r="Z307" s="11"/>
    </row>
    <row r="308" spans="11:26" x14ac:dyDescent="0.45">
      <c r="K308" s="39">
        <f t="shared" si="59"/>
        <v>7.18</v>
      </c>
      <c r="L308" s="40">
        <f t="shared" si="52"/>
        <v>47.18</v>
      </c>
      <c r="M308" s="41">
        <f t="shared" si="53"/>
        <v>42.18</v>
      </c>
      <c r="N308" s="49">
        <f t="shared" si="54"/>
        <v>2.3326101666822086E-2</v>
      </c>
      <c r="O308" s="50">
        <f t="shared" si="55"/>
        <v>1.5160365593253816E-2</v>
      </c>
      <c r="P308" s="50">
        <f t="shared" si="60"/>
        <v>2.3326101666822086E-2</v>
      </c>
      <c r="Q308" s="51">
        <f t="shared" si="61"/>
        <v>1.5160365593253816E-2</v>
      </c>
      <c r="R308" s="4">
        <f t="shared" si="56"/>
        <v>-2.895080399269254E-2</v>
      </c>
      <c r="S308">
        <f t="shared" si="57"/>
        <v>0</v>
      </c>
      <c r="T308">
        <f t="shared" si="58"/>
        <v>0</v>
      </c>
      <c r="U308" s="5">
        <f>0</f>
        <v>0</v>
      </c>
      <c r="V308" s="45">
        <f t="shared" si="62"/>
        <v>0.10776408599697533</v>
      </c>
      <c r="W308" s="45">
        <f t="shared" si="63"/>
        <v>0</v>
      </c>
      <c r="X308" s="45">
        <f t="shared" si="64"/>
        <v>0</v>
      </c>
      <c r="Y308" s="46">
        <f>0</f>
        <v>0</v>
      </c>
      <c r="Z308" s="11"/>
    </row>
    <row r="309" spans="11:26" x14ac:dyDescent="0.45">
      <c r="K309" s="39">
        <f t="shared" si="59"/>
        <v>7.17</v>
      </c>
      <c r="L309" s="40">
        <f t="shared" si="52"/>
        <v>47.17</v>
      </c>
      <c r="M309" s="41">
        <f t="shared" si="53"/>
        <v>42.17</v>
      </c>
      <c r="N309" s="49">
        <f t="shared" si="54"/>
        <v>2.3306008428971049E-2</v>
      </c>
      <c r="O309" s="50">
        <f t="shared" si="55"/>
        <v>1.5147306367322071E-2</v>
      </c>
      <c r="P309" s="50">
        <f t="shared" si="60"/>
        <v>2.3306008428971049E-2</v>
      </c>
      <c r="Q309" s="51">
        <f t="shared" si="61"/>
        <v>1.5147306367322071E-2</v>
      </c>
      <c r="R309" s="4">
        <f t="shared" si="56"/>
        <v>-2.8895616228076144E-2</v>
      </c>
      <c r="S309">
        <f t="shared" si="57"/>
        <v>0</v>
      </c>
      <c r="T309">
        <f t="shared" si="58"/>
        <v>0</v>
      </c>
      <c r="U309" s="5">
        <f>0</f>
        <v>0</v>
      </c>
      <c r="V309" s="45">
        <f t="shared" si="62"/>
        <v>0.10805359403690226</v>
      </c>
      <c r="W309" s="45">
        <f t="shared" si="63"/>
        <v>0</v>
      </c>
      <c r="X309" s="45">
        <f t="shared" si="64"/>
        <v>0</v>
      </c>
      <c r="Y309" s="46">
        <f>0</f>
        <v>0</v>
      </c>
      <c r="Z309" s="11"/>
    </row>
    <row r="310" spans="11:26" x14ac:dyDescent="0.45">
      <c r="K310" s="39">
        <f t="shared" si="59"/>
        <v>7.16</v>
      </c>
      <c r="L310" s="40">
        <f t="shared" si="52"/>
        <v>47.16</v>
      </c>
      <c r="M310" s="41">
        <f t="shared" si="53"/>
        <v>42.16</v>
      </c>
      <c r="N310" s="49">
        <f t="shared" si="54"/>
        <v>2.3285932499550403E-2</v>
      </c>
      <c r="O310" s="50">
        <f t="shared" si="55"/>
        <v>1.5134258390682487E-2</v>
      </c>
      <c r="P310" s="50">
        <f t="shared" si="60"/>
        <v>2.3285932499550403E-2</v>
      </c>
      <c r="Q310" s="51">
        <f t="shared" si="61"/>
        <v>1.5134258390682487E-2</v>
      </c>
      <c r="R310" s="4">
        <f t="shared" si="56"/>
        <v>-2.8840521920086487E-2</v>
      </c>
      <c r="S310">
        <f t="shared" si="57"/>
        <v>0</v>
      </c>
      <c r="T310">
        <f t="shared" si="58"/>
        <v>0</v>
      </c>
      <c r="U310" s="5">
        <f>0</f>
        <v>0</v>
      </c>
      <c r="V310" s="45">
        <f t="shared" si="62"/>
        <v>0.10834255019918303</v>
      </c>
      <c r="W310" s="45">
        <f t="shared" si="63"/>
        <v>0</v>
      </c>
      <c r="X310" s="45">
        <f t="shared" si="64"/>
        <v>0</v>
      </c>
      <c r="Y310" s="46">
        <f>0</f>
        <v>0</v>
      </c>
      <c r="Z310" s="11"/>
    </row>
    <row r="311" spans="11:26" x14ac:dyDescent="0.45">
      <c r="K311" s="39">
        <f t="shared" si="59"/>
        <v>7.15</v>
      </c>
      <c r="L311" s="40">
        <f t="shared" si="52"/>
        <v>47.15</v>
      </c>
      <c r="M311" s="41">
        <f t="shared" si="53"/>
        <v>42.15</v>
      </c>
      <c r="N311" s="49">
        <f t="shared" si="54"/>
        <v>2.3265873863650598E-2</v>
      </c>
      <c r="O311" s="50">
        <f t="shared" si="55"/>
        <v>1.5121221653644873E-2</v>
      </c>
      <c r="P311" s="50">
        <f t="shared" si="60"/>
        <v>2.3265873863650598E-2</v>
      </c>
      <c r="Q311" s="51">
        <f t="shared" si="61"/>
        <v>1.5121221653644873E-2</v>
      </c>
      <c r="R311" s="4">
        <f t="shared" si="56"/>
        <v>-2.8785520884595708E-2</v>
      </c>
      <c r="S311">
        <f t="shared" si="57"/>
        <v>0</v>
      </c>
      <c r="T311">
        <f t="shared" si="58"/>
        <v>0</v>
      </c>
      <c r="U311" s="5">
        <f>0</f>
        <v>0</v>
      </c>
      <c r="V311" s="45">
        <f t="shared" si="62"/>
        <v>0.1086309554183839</v>
      </c>
      <c r="W311" s="45">
        <f t="shared" si="63"/>
        <v>0</v>
      </c>
      <c r="X311" s="45">
        <f t="shared" si="64"/>
        <v>0</v>
      </c>
      <c r="Y311" s="46">
        <f>0</f>
        <v>0</v>
      </c>
      <c r="Z311" s="11"/>
    </row>
    <row r="312" spans="11:26" x14ac:dyDescent="0.45">
      <c r="K312" s="39">
        <f t="shared" si="59"/>
        <v>7.14</v>
      </c>
      <c r="L312" s="40">
        <f t="shared" si="52"/>
        <v>47.14</v>
      </c>
      <c r="M312" s="41">
        <f t="shared" si="53"/>
        <v>42.14</v>
      </c>
      <c r="N312" s="49">
        <f t="shared" si="54"/>
        <v>2.3245832506374881E-2</v>
      </c>
      <c r="O312" s="50">
        <f t="shared" si="55"/>
        <v>1.5108196146527366E-2</v>
      </c>
      <c r="P312" s="50">
        <f t="shared" si="60"/>
        <v>2.3245832506374881E-2</v>
      </c>
      <c r="Q312" s="51">
        <f t="shared" si="61"/>
        <v>1.5108196146527366E-2</v>
      </c>
      <c r="R312" s="4">
        <f t="shared" si="56"/>
        <v>-2.8730612937903945E-2</v>
      </c>
      <c r="S312">
        <f t="shared" si="57"/>
        <v>0</v>
      </c>
      <c r="T312">
        <f t="shared" si="58"/>
        <v>0</v>
      </c>
      <c r="U312" s="5">
        <f>0</f>
        <v>0</v>
      </c>
      <c r="V312" s="45">
        <f t="shared" si="62"/>
        <v>0.10891881062722986</v>
      </c>
      <c r="W312" s="45">
        <f t="shared" si="63"/>
        <v>0</v>
      </c>
      <c r="X312" s="45">
        <f t="shared" si="64"/>
        <v>0</v>
      </c>
      <c r="Y312" s="46">
        <f>0</f>
        <v>0</v>
      </c>
      <c r="Z312" s="11"/>
    </row>
    <row r="313" spans="11:26" x14ac:dyDescent="0.45">
      <c r="K313" s="39">
        <f t="shared" si="59"/>
        <v>7.13</v>
      </c>
      <c r="L313" s="40">
        <f t="shared" si="52"/>
        <v>47.13</v>
      </c>
      <c r="M313" s="41">
        <f t="shared" si="53"/>
        <v>42.13</v>
      </c>
      <c r="N313" s="49">
        <f t="shared" si="54"/>
        <v>2.3225808412839343E-2</v>
      </c>
      <c r="O313" s="50">
        <f t="shared" si="55"/>
        <v>1.5095181859656448E-2</v>
      </c>
      <c r="P313" s="50">
        <f t="shared" si="60"/>
        <v>2.3225808412839343E-2</v>
      </c>
      <c r="Q313" s="51">
        <f t="shared" si="61"/>
        <v>1.5095181859656448E-2</v>
      </c>
      <c r="R313" s="4">
        <f t="shared" si="56"/>
        <v>-2.8675797896738294E-2</v>
      </c>
      <c r="S313">
        <f t="shared" si="57"/>
        <v>0</v>
      </c>
      <c r="T313">
        <f t="shared" si="58"/>
        <v>0</v>
      </c>
      <c r="U313" s="5">
        <f>0</f>
        <v>0</v>
      </c>
      <c r="V313" s="45">
        <f t="shared" si="62"/>
        <v>0.10920611675660889</v>
      </c>
      <c r="W313" s="45">
        <f t="shared" si="63"/>
        <v>0</v>
      </c>
      <c r="X313" s="45">
        <f t="shared" si="64"/>
        <v>0</v>
      </c>
      <c r="Y313" s="46">
        <f>0</f>
        <v>0</v>
      </c>
      <c r="Z313" s="11"/>
    </row>
    <row r="314" spans="11:26" x14ac:dyDescent="0.45">
      <c r="K314" s="39">
        <f t="shared" si="59"/>
        <v>7.12</v>
      </c>
      <c r="L314" s="40">
        <f t="shared" si="52"/>
        <v>47.12</v>
      </c>
      <c r="M314" s="41">
        <f t="shared" si="53"/>
        <v>42.12</v>
      </c>
      <c r="N314" s="49">
        <f t="shared" si="54"/>
        <v>2.3205801568172903E-2</v>
      </c>
      <c r="O314" s="50">
        <f t="shared" si="55"/>
        <v>1.5082178783366925E-2</v>
      </c>
      <c r="P314" s="50">
        <f t="shared" si="60"/>
        <v>2.3205801568172903E-2</v>
      </c>
      <c r="Q314" s="51">
        <f t="shared" si="61"/>
        <v>1.5082178783366925E-2</v>
      </c>
      <c r="R314" s="4">
        <f t="shared" si="56"/>
        <v>-2.8621075578251658E-2</v>
      </c>
      <c r="S314">
        <f t="shared" si="57"/>
        <v>0</v>
      </c>
      <c r="T314">
        <f t="shared" si="58"/>
        <v>0</v>
      </c>
      <c r="U314" s="5">
        <f>0</f>
        <v>0</v>
      </c>
      <c r="V314" s="45">
        <f t="shared" si="62"/>
        <v>0.10949287473557627</v>
      </c>
      <c r="W314" s="45">
        <f t="shared" si="63"/>
        <v>0</v>
      </c>
      <c r="X314" s="45">
        <f t="shared" si="64"/>
        <v>0</v>
      </c>
      <c r="Y314" s="46">
        <f>0</f>
        <v>0</v>
      </c>
      <c r="Z314" s="11"/>
    </row>
    <row r="315" spans="11:26" x14ac:dyDescent="0.45">
      <c r="K315" s="39">
        <f t="shared" si="59"/>
        <v>7.11</v>
      </c>
      <c r="L315" s="40">
        <f t="shared" si="52"/>
        <v>47.11</v>
      </c>
      <c r="M315" s="41">
        <f t="shared" si="53"/>
        <v>42.11</v>
      </c>
      <c r="N315" s="49">
        <f t="shared" si="54"/>
        <v>2.3185811957517281E-2</v>
      </c>
      <c r="O315" s="50">
        <f t="shared" si="55"/>
        <v>1.5069186908001953E-2</v>
      </c>
      <c r="P315" s="50">
        <f t="shared" si="60"/>
        <v>2.3185811957517281E-2</v>
      </c>
      <c r="Q315" s="51">
        <f t="shared" si="61"/>
        <v>1.5069186908001953E-2</v>
      </c>
      <c r="R315" s="4">
        <f t="shared" si="56"/>
        <v>-2.8566445800021632E-2</v>
      </c>
      <c r="S315">
        <f t="shared" si="57"/>
        <v>0</v>
      </c>
      <c r="T315">
        <f t="shared" si="58"/>
        <v>0</v>
      </c>
      <c r="U315" s="5">
        <f>0</f>
        <v>0</v>
      </c>
      <c r="V315" s="45">
        <f t="shared" si="62"/>
        <v>0.10977908549135879</v>
      </c>
      <c r="W315" s="45">
        <f t="shared" si="63"/>
        <v>0</v>
      </c>
      <c r="X315" s="45">
        <f t="shared" si="64"/>
        <v>0</v>
      </c>
      <c r="Y315" s="46">
        <f>0</f>
        <v>0</v>
      </c>
      <c r="Z315" s="11"/>
    </row>
    <row r="316" spans="11:26" x14ac:dyDescent="0.45">
      <c r="K316" s="39">
        <f t="shared" si="59"/>
        <v>7.1</v>
      </c>
      <c r="L316" s="40">
        <f t="shared" si="52"/>
        <v>47.1</v>
      </c>
      <c r="M316" s="41">
        <f t="shared" si="53"/>
        <v>42.1</v>
      </c>
      <c r="N316" s="49">
        <f t="shared" si="54"/>
        <v>2.3165839566027004E-2</v>
      </c>
      <c r="O316" s="50">
        <f t="shared" si="55"/>
        <v>1.5056206223912984E-2</v>
      </c>
      <c r="P316" s="50">
        <f t="shared" si="60"/>
        <v>2.3165839566027004E-2</v>
      </c>
      <c r="Q316" s="51">
        <f t="shared" si="61"/>
        <v>1.5056206223912984E-2</v>
      </c>
      <c r="R316" s="4">
        <f t="shared" si="56"/>
        <v>-2.8511908380049342E-2</v>
      </c>
      <c r="S316">
        <f t="shared" si="57"/>
        <v>0</v>
      </c>
      <c r="T316">
        <f t="shared" si="58"/>
        <v>0</v>
      </c>
      <c r="U316" s="5">
        <f>0</f>
        <v>0</v>
      </c>
      <c r="V316" s="45">
        <f t="shared" si="62"/>
        <v>0.110064749949359</v>
      </c>
      <c r="W316" s="45">
        <f t="shared" si="63"/>
        <v>0</v>
      </c>
      <c r="X316" s="45">
        <f t="shared" si="64"/>
        <v>0</v>
      </c>
      <c r="Y316" s="46">
        <f>0</f>
        <v>0</v>
      </c>
      <c r="Z316" s="11"/>
    </row>
    <row r="317" spans="11:26" x14ac:dyDescent="0.45">
      <c r="K317" s="39">
        <f t="shared" si="59"/>
        <v>7.09</v>
      </c>
      <c r="L317" s="40">
        <f t="shared" si="52"/>
        <v>47.09</v>
      </c>
      <c r="M317" s="41">
        <f t="shared" si="53"/>
        <v>42.09</v>
      </c>
      <c r="N317" s="49">
        <f t="shared" si="54"/>
        <v>2.3145884378869386E-2</v>
      </c>
      <c r="O317" s="50">
        <f t="shared" si="55"/>
        <v>1.5043236721459789E-2</v>
      </c>
      <c r="P317" s="50">
        <f t="shared" si="60"/>
        <v>2.3145884378869386E-2</v>
      </c>
      <c r="Q317" s="51">
        <f t="shared" si="61"/>
        <v>1.5043236721459789E-2</v>
      </c>
      <c r="R317" s="4">
        <f t="shared" si="56"/>
        <v>-2.8457463136758412E-2</v>
      </c>
      <c r="S317">
        <f t="shared" si="57"/>
        <v>0</v>
      </c>
      <c r="T317">
        <f t="shared" si="58"/>
        <v>0</v>
      </c>
      <c r="U317" s="5">
        <f>0</f>
        <v>0</v>
      </c>
      <c r="V317" s="45">
        <f t="shared" si="62"/>
        <v>0.11034986903315949</v>
      </c>
      <c r="W317" s="45">
        <f t="shared" si="63"/>
        <v>0</v>
      </c>
      <c r="X317" s="45">
        <f t="shared" si="64"/>
        <v>0</v>
      </c>
      <c r="Y317" s="46">
        <f>0</f>
        <v>0</v>
      </c>
      <c r="Z317" s="11"/>
    </row>
    <row r="318" spans="11:26" x14ac:dyDescent="0.45">
      <c r="K318" s="39">
        <f t="shared" si="59"/>
        <v>7.08</v>
      </c>
      <c r="L318" s="40">
        <f t="shared" si="52"/>
        <v>47.08</v>
      </c>
      <c r="M318" s="41">
        <f t="shared" si="53"/>
        <v>42.08</v>
      </c>
      <c r="N318" s="49">
        <f t="shared" si="54"/>
        <v>2.3125946381224494E-2</v>
      </c>
      <c r="O318" s="50">
        <f t="shared" si="55"/>
        <v>1.5030278391010439E-2</v>
      </c>
      <c r="P318" s="50">
        <f t="shared" si="60"/>
        <v>2.3125946381224494E-2</v>
      </c>
      <c r="Q318" s="51">
        <f t="shared" si="61"/>
        <v>1.5030278391010439E-2</v>
      </c>
      <c r="R318" s="4">
        <f t="shared" si="56"/>
        <v>-2.8403109888993722E-2</v>
      </c>
      <c r="S318">
        <f t="shared" si="57"/>
        <v>0</v>
      </c>
      <c r="T318">
        <f t="shared" si="58"/>
        <v>0</v>
      </c>
      <c r="U318" s="5">
        <f>0</f>
        <v>0</v>
      </c>
      <c r="V318" s="45">
        <f t="shared" si="62"/>
        <v>0.11063444366452707</v>
      </c>
      <c r="W318" s="45">
        <f t="shared" si="63"/>
        <v>0</v>
      </c>
      <c r="X318" s="45">
        <f t="shared" si="64"/>
        <v>0</v>
      </c>
      <c r="Y318" s="46">
        <f>0</f>
        <v>0</v>
      </c>
      <c r="Z318" s="11"/>
    </row>
    <row r="319" spans="11:26" x14ac:dyDescent="0.45">
      <c r="K319" s="39">
        <f t="shared" si="59"/>
        <v>7.07</v>
      </c>
      <c r="L319" s="40">
        <f t="shared" si="52"/>
        <v>47.07</v>
      </c>
      <c r="M319" s="41">
        <f t="shared" si="53"/>
        <v>42.07</v>
      </c>
      <c r="N319" s="49">
        <f t="shared" si="54"/>
        <v>2.3106025558285222E-2</v>
      </c>
      <c r="O319" s="50">
        <f t="shared" si="55"/>
        <v>1.5017331222941315E-2</v>
      </c>
      <c r="P319" s="50">
        <f t="shared" si="60"/>
        <v>2.3106025558285222E-2</v>
      </c>
      <c r="Q319" s="51">
        <f t="shared" si="61"/>
        <v>1.5017331222941315E-2</v>
      </c>
      <c r="R319" s="4">
        <f t="shared" si="56"/>
        <v>-2.8348848456020467E-2</v>
      </c>
      <c r="S319">
        <f t="shared" si="57"/>
        <v>0</v>
      </c>
      <c r="T319">
        <f t="shared" si="58"/>
        <v>0</v>
      </c>
      <c r="U319" s="5">
        <f>0</f>
        <v>0</v>
      </c>
      <c r="V319" s="45">
        <f t="shared" si="62"/>
        <v>0.11091847476341701</v>
      </c>
      <c r="W319" s="45">
        <f t="shared" si="63"/>
        <v>0</v>
      </c>
      <c r="X319" s="45">
        <f t="shared" si="64"/>
        <v>0</v>
      </c>
      <c r="Y319" s="46">
        <f>0</f>
        <v>0</v>
      </c>
      <c r="Z319" s="11"/>
    </row>
    <row r="320" spans="11:26" x14ac:dyDescent="0.45">
      <c r="K320" s="39">
        <f t="shared" si="59"/>
        <v>7.06</v>
      </c>
      <c r="L320" s="40">
        <f t="shared" si="52"/>
        <v>47.06</v>
      </c>
      <c r="M320" s="41">
        <f t="shared" si="53"/>
        <v>42.06</v>
      </c>
      <c r="N320" s="49">
        <f t="shared" si="54"/>
        <v>2.3086121895257165E-2</v>
      </c>
      <c r="O320" s="50">
        <f t="shared" si="55"/>
        <v>1.5004395207637073E-2</v>
      </c>
      <c r="P320" s="50">
        <f t="shared" si="60"/>
        <v>2.3086121895257165E-2</v>
      </c>
      <c r="Q320" s="51">
        <f t="shared" si="61"/>
        <v>1.5004395207637073E-2</v>
      </c>
      <c r="R320" s="4">
        <f t="shared" si="56"/>
        <v>-2.8294678657522884E-2</v>
      </c>
      <c r="S320">
        <f t="shared" si="57"/>
        <v>0</v>
      </c>
      <c r="T320">
        <f t="shared" si="58"/>
        <v>0</v>
      </c>
      <c r="U320" s="5">
        <f>0</f>
        <v>0</v>
      </c>
      <c r="V320" s="45">
        <f t="shared" si="62"/>
        <v>0.11120196324797722</v>
      </c>
      <c r="W320" s="45">
        <f t="shared" si="63"/>
        <v>0</v>
      </c>
      <c r="X320" s="45">
        <f t="shared" si="64"/>
        <v>0</v>
      </c>
      <c r="Y320" s="46">
        <f>0</f>
        <v>0</v>
      </c>
      <c r="Z320" s="11"/>
    </row>
    <row r="321" spans="11:26" x14ac:dyDescent="0.45">
      <c r="K321" s="39">
        <f t="shared" si="59"/>
        <v>7.05</v>
      </c>
      <c r="L321" s="40">
        <f t="shared" si="52"/>
        <v>47.05</v>
      </c>
      <c r="M321" s="41">
        <f t="shared" si="53"/>
        <v>42.05</v>
      </c>
      <c r="N321" s="49">
        <f t="shared" si="54"/>
        <v>2.3066235377358666E-2</v>
      </c>
      <c r="O321" s="50">
        <f t="shared" si="55"/>
        <v>1.4991470335490651E-2</v>
      </c>
      <c r="P321" s="50">
        <f t="shared" si="60"/>
        <v>2.3066235377358666E-2</v>
      </c>
      <c r="Q321" s="51">
        <f t="shared" si="61"/>
        <v>1.4991470335490651E-2</v>
      </c>
      <c r="R321" s="4">
        <f t="shared" si="56"/>
        <v>-2.8240600313603217E-2</v>
      </c>
      <c r="S321">
        <f t="shared" si="57"/>
        <v>0</v>
      </c>
      <c r="T321">
        <f t="shared" si="58"/>
        <v>0</v>
      </c>
      <c r="U321" s="5">
        <f>0</f>
        <v>0</v>
      </c>
      <c r="V321" s="45">
        <f t="shared" si="62"/>
        <v>0.11148491003455245</v>
      </c>
      <c r="W321" s="45">
        <f t="shared" si="63"/>
        <v>0</v>
      </c>
      <c r="X321" s="45">
        <f t="shared" si="64"/>
        <v>0</v>
      </c>
      <c r="Y321" s="46">
        <f>0</f>
        <v>0</v>
      </c>
      <c r="Z321" s="11"/>
    </row>
    <row r="322" spans="11:26" x14ac:dyDescent="0.45">
      <c r="K322" s="39">
        <f t="shared" si="59"/>
        <v>7.04</v>
      </c>
      <c r="L322" s="40">
        <f t="shared" si="52"/>
        <v>47.04</v>
      </c>
      <c r="M322" s="41">
        <f t="shared" si="53"/>
        <v>42.04</v>
      </c>
      <c r="N322" s="49">
        <f t="shared" si="54"/>
        <v>2.3046365989820825E-2</v>
      </c>
      <c r="O322" s="50">
        <f t="shared" si="55"/>
        <v>1.4978556596903281E-2</v>
      </c>
      <c r="P322" s="50">
        <f t="shared" si="60"/>
        <v>2.3046365989820825E-2</v>
      </c>
      <c r="Q322" s="51">
        <f t="shared" si="61"/>
        <v>1.4978556596903281E-2</v>
      </c>
      <c r="R322" s="4">
        <f t="shared" si="56"/>
        <v>-2.8186613244780646E-2</v>
      </c>
      <c r="S322">
        <f t="shared" si="57"/>
        <v>0</v>
      </c>
      <c r="T322">
        <f t="shared" si="58"/>
        <v>0</v>
      </c>
      <c r="U322" s="5">
        <f>0</f>
        <v>0</v>
      </c>
      <c r="V322" s="45">
        <f t="shared" si="62"/>
        <v>0.11176731603768848</v>
      </c>
      <c r="W322" s="45">
        <f t="shared" si="63"/>
        <v>0</v>
      </c>
      <c r="X322" s="45">
        <f t="shared" si="64"/>
        <v>0</v>
      </c>
      <c r="Y322" s="46">
        <f>0</f>
        <v>0</v>
      </c>
      <c r="Z322" s="11"/>
    </row>
    <row r="323" spans="11:26" x14ac:dyDescent="0.45">
      <c r="K323" s="39">
        <f t="shared" si="59"/>
        <v>7.03</v>
      </c>
      <c r="L323" s="40">
        <f t="shared" si="52"/>
        <v>47.03</v>
      </c>
      <c r="M323" s="41">
        <f t="shared" si="53"/>
        <v>42.03</v>
      </c>
      <c r="N323" s="49">
        <f t="shared" si="54"/>
        <v>2.3026513717887442E-2</v>
      </c>
      <c r="O323" s="50">
        <f t="shared" si="55"/>
        <v>1.4965653982284445E-2</v>
      </c>
      <c r="P323" s="50">
        <f t="shared" si="60"/>
        <v>2.3026513717887442E-2</v>
      </c>
      <c r="Q323" s="51">
        <f t="shared" si="61"/>
        <v>1.4965653982284445E-2</v>
      </c>
      <c r="R323" s="4">
        <f t="shared" si="56"/>
        <v>-2.8132717271990144E-2</v>
      </c>
      <c r="S323">
        <f t="shared" si="57"/>
        <v>0</v>
      </c>
      <c r="T323">
        <f t="shared" si="58"/>
        <v>0</v>
      </c>
      <c r="U323" s="5">
        <f>0</f>
        <v>0</v>
      </c>
      <c r="V323" s="45">
        <f t="shared" si="62"/>
        <v>0.11204918217013629</v>
      </c>
      <c r="W323" s="45">
        <f t="shared" si="63"/>
        <v>0</v>
      </c>
      <c r="X323" s="45">
        <f t="shared" si="64"/>
        <v>0</v>
      </c>
      <c r="Y323" s="46">
        <f>0</f>
        <v>0</v>
      </c>
      <c r="Z323" s="11"/>
    </row>
    <row r="324" spans="11:26" x14ac:dyDescent="0.45">
      <c r="K324" s="39">
        <f t="shared" si="59"/>
        <v>7.02</v>
      </c>
      <c r="L324" s="40">
        <f t="shared" si="52"/>
        <v>47.019999999999996</v>
      </c>
      <c r="M324" s="41">
        <f t="shared" si="53"/>
        <v>42.019999999999996</v>
      </c>
      <c r="N324" s="49">
        <f t="shared" si="54"/>
        <v>2.3006678546815023E-2</v>
      </c>
      <c r="O324" s="50">
        <f t="shared" si="55"/>
        <v>1.4952762482051889E-2</v>
      </c>
      <c r="P324" s="50">
        <f t="shared" si="60"/>
        <v>2.3006678546815023E-2</v>
      </c>
      <c r="Q324" s="51">
        <f t="shared" si="61"/>
        <v>1.4952762482051889E-2</v>
      </c>
      <c r="R324" s="4">
        <f t="shared" si="56"/>
        <v>-2.8078912216581372E-2</v>
      </c>
      <c r="S324">
        <f t="shared" si="57"/>
        <v>0</v>
      </c>
      <c r="T324">
        <f t="shared" si="58"/>
        <v>0</v>
      </c>
      <c r="U324" s="5">
        <f>0</f>
        <v>0</v>
      </c>
      <c r="V324" s="45">
        <f t="shared" si="62"/>
        <v>0.1123305093428562</v>
      </c>
      <c r="W324" s="45">
        <f t="shared" si="63"/>
        <v>0</v>
      </c>
      <c r="X324" s="45">
        <f t="shared" si="64"/>
        <v>0</v>
      </c>
      <c r="Y324" s="46">
        <f>0</f>
        <v>0</v>
      </c>
      <c r="Z324" s="11"/>
    </row>
    <row r="325" spans="11:26" x14ac:dyDescent="0.45">
      <c r="K325" s="39">
        <f t="shared" si="59"/>
        <v>7.01</v>
      </c>
      <c r="L325" s="40">
        <f t="shared" si="52"/>
        <v>47.01</v>
      </c>
      <c r="M325" s="41">
        <f t="shared" si="53"/>
        <v>42.01</v>
      </c>
      <c r="N325" s="49">
        <f t="shared" si="54"/>
        <v>2.2986860461872823E-2</v>
      </c>
      <c r="O325" s="50">
        <f t="shared" si="55"/>
        <v>1.4939882086631631E-2</v>
      </c>
      <c r="P325" s="50">
        <f t="shared" si="60"/>
        <v>2.2986860461872823E-2</v>
      </c>
      <c r="Q325" s="51">
        <f t="shared" si="61"/>
        <v>1.4939882086631631E-2</v>
      </c>
      <c r="R325" s="4">
        <f t="shared" si="56"/>
        <v>-2.8025197900317666E-2</v>
      </c>
      <c r="S325">
        <f t="shared" si="57"/>
        <v>0</v>
      </c>
      <c r="T325">
        <f t="shared" si="58"/>
        <v>0</v>
      </c>
      <c r="U325" s="5">
        <f>0</f>
        <v>0</v>
      </c>
      <c r="V325" s="45">
        <f t="shared" si="62"/>
        <v>0.11261129846502201</v>
      </c>
      <c r="W325" s="45">
        <f t="shared" si="63"/>
        <v>0</v>
      </c>
      <c r="X325" s="45">
        <f t="shared" si="64"/>
        <v>0</v>
      </c>
      <c r="Y325" s="46">
        <f>0</f>
        <v>0</v>
      </c>
      <c r="Z325" s="11"/>
    </row>
    <row r="326" spans="11:26" x14ac:dyDescent="0.45">
      <c r="K326" s="39">
        <f t="shared" si="59"/>
        <v>7</v>
      </c>
      <c r="L326" s="40">
        <f t="shared" si="52"/>
        <v>47</v>
      </c>
      <c r="M326" s="41">
        <f t="shared" si="53"/>
        <v>42</v>
      </c>
      <c r="N326" s="49">
        <f t="shared" si="54"/>
        <v>2.2967059448342715E-2</v>
      </c>
      <c r="O326" s="50">
        <f t="shared" si="55"/>
        <v>1.4927012786457892E-2</v>
      </c>
      <c r="P326" s="50">
        <f t="shared" si="60"/>
        <v>2.2967059448342715E-2</v>
      </c>
      <c r="Q326" s="51">
        <f t="shared" si="61"/>
        <v>1.4927012786457892E-2</v>
      </c>
      <c r="R326" s="4">
        <f t="shared" si="56"/>
        <v>-2.7971574145374822E-2</v>
      </c>
      <c r="S326">
        <f t="shared" si="57"/>
        <v>0</v>
      </c>
      <c r="T326">
        <f t="shared" si="58"/>
        <v>0</v>
      </c>
      <c r="U326" s="5">
        <f>0</f>
        <v>0</v>
      </c>
      <c r="V326" s="45">
        <f t="shared" si="62"/>
        <v>0.11289155044402518</v>
      </c>
      <c r="W326" s="45">
        <f t="shared" si="63"/>
        <v>0</v>
      </c>
      <c r="X326" s="45">
        <f t="shared" si="64"/>
        <v>0</v>
      </c>
      <c r="Y326" s="46">
        <f>0</f>
        <v>0</v>
      </c>
      <c r="Z326" s="11"/>
    </row>
    <row r="327" spans="11:26" x14ac:dyDescent="0.45">
      <c r="K327" s="39">
        <f t="shared" si="59"/>
        <v>6.99</v>
      </c>
      <c r="L327" s="40">
        <f t="shared" si="52"/>
        <v>46.99</v>
      </c>
      <c r="M327" s="41">
        <f t="shared" si="53"/>
        <v>41.99</v>
      </c>
      <c r="N327" s="49">
        <f t="shared" si="54"/>
        <v>2.2947275491519346E-2</v>
      </c>
      <c r="O327" s="50">
        <f t="shared" si="55"/>
        <v>1.4914154571973214E-2</v>
      </c>
      <c r="P327" s="50">
        <f t="shared" si="60"/>
        <v>2.2947275491519346E-2</v>
      </c>
      <c r="Q327" s="51">
        <f t="shared" si="61"/>
        <v>1.4914154571973214E-2</v>
      </c>
      <c r="R327" s="4">
        <f t="shared" si="56"/>
        <v>-2.7918040774340201E-2</v>
      </c>
      <c r="S327">
        <f t="shared" si="57"/>
        <v>0</v>
      </c>
      <c r="T327">
        <f t="shared" si="58"/>
        <v>0</v>
      </c>
      <c r="U327" s="5">
        <f>0</f>
        <v>0</v>
      </c>
      <c r="V327" s="45">
        <f t="shared" si="62"/>
        <v>0.11317126618547893</v>
      </c>
      <c r="W327" s="45">
        <f t="shared" si="63"/>
        <v>0</v>
      </c>
      <c r="X327" s="45">
        <f t="shared" si="64"/>
        <v>0</v>
      </c>
      <c r="Y327" s="46">
        <f>0</f>
        <v>0</v>
      </c>
      <c r="Z327" s="11"/>
    </row>
    <row r="328" spans="11:26" x14ac:dyDescent="0.45">
      <c r="K328" s="39">
        <f t="shared" si="59"/>
        <v>6.98</v>
      </c>
      <c r="L328" s="40">
        <f t="shared" si="52"/>
        <v>46.980000000000004</v>
      </c>
      <c r="M328" s="41">
        <f t="shared" si="53"/>
        <v>41.980000000000004</v>
      </c>
      <c r="N328" s="49">
        <f t="shared" si="54"/>
        <v>2.2927508576709933E-2</v>
      </c>
      <c r="O328" s="50">
        <f t="shared" si="55"/>
        <v>1.490130743362828E-2</v>
      </c>
      <c r="P328" s="50">
        <f t="shared" si="60"/>
        <v>2.2927508576709933E-2</v>
      </c>
      <c r="Q328" s="51">
        <f t="shared" si="61"/>
        <v>1.490130743362828E-2</v>
      </c>
      <c r="R328" s="4">
        <f t="shared" si="56"/>
        <v>-2.7864597610211386E-2</v>
      </c>
      <c r="S328">
        <f t="shared" si="57"/>
        <v>0</v>
      </c>
      <c r="T328">
        <f t="shared" si="58"/>
        <v>0</v>
      </c>
      <c r="U328" s="5">
        <f>0</f>
        <v>0</v>
      </c>
      <c r="V328" s="45">
        <f t="shared" si="62"/>
        <v>0.11345044659322233</v>
      </c>
      <c r="W328" s="45">
        <f t="shared" si="63"/>
        <v>0</v>
      </c>
      <c r="X328" s="45">
        <f t="shared" si="64"/>
        <v>0</v>
      </c>
      <c r="Y328" s="46">
        <f>0</f>
        <v>0</v>
      </c>
      <c r="Z328" s="11"/>
    </row>
    <row r="329" spans="11:26" x14ac:dyDescent="0.45">
      <c r="K329" s="39">
        <f t="shared" si="59"/>
        <v>6.97</v>
      </c>
      <c r="L329" s="40">
        <f t="shared" si="52"/>
        <v>46.97</v>
      </c>
      <c r="M329" s="41">
        <f t="shared" si="53"/>
        <v>41.97</v>
      </c>
      <c r="N329" s="49">
        <f t="shared" si="54"/>
        <v>2.2907758689234343E-2</v>
      </c>
      <c r="O329" s="50">
        <f t="shared" si="55"/>
        <v>1.4888471361882039E-2</v>
      </c>
      <c r="P329" s="50">
        <f t="shared" si="60"/>
        <v>2.2907758689234343E-2</v>
      </c>
      <c r="Q329" s="51">
        <f t="shared" si="61"/>
        <v>1.4888471361882039E-2</v>
      </c>
      <c r="R329" s="4">
        <f t="shared" si="56"/>
        <v>-2.7811244476395262E-2</v>
      </c>
      <c r="S329">
        <f t="shared" si="57"/>
        <v>0</v>
      </c>
      <c r="T329">
        <f t="shared" si="58"/>
        <v>0</v>
      </c>
      <c r="U329" s="5">
        <f>0</f>
        <v>0</v>
      </c>
      <c r="V329" s="45">
        <f t="shared" si="62"/>
        <v>0.11372909256932444</v>
      </c>
      <c r="W329" s="45">
        <f t="shared" si="63"/>
        <v>0</v>
      </c>
      <c r="X329" s="45">
        <f t="shared" si="64"/>
        <v>0</v>
      </c>
      <c r="Y329" s="46">
        <f>0</f>
        <v>0</v>
      </c>
      <c r="Z329" s="11"/>
    </row>
    <row r="330" spans="11:26" x14ac:dyDescent="0.45">
      <c r="K330" s="39">
        <f t="shared" si="59"/>
        <v>6.96</v>
      </c>
      <c r="L330" s="40">
        <f t="shared" si="52"/>
        <v>46.96</v>
      </c>
      <c r="M330" s="41">
        <f t="shared" si="53"/>
        <v>41.96</v>
      </c>
      <c r="N330" s="49">
        <f t="shared" si="54"/>
        <v>2.2888025814425197E-2</v>
      </c>
      <c r="O330" s="50">
        <f t="shared" si="55"/>
        <v>1.4875646347201675E-2</v>
      </c>
      <c r="P330" s="50">
        <f t="shared" si="60"/>
        <v>2.2888025814425197E-2</v>
      </c>
      <c r="Q330" s="51">
        <f t="shared" si="61"/>
        <v>1.4875646347201675E-2</v>
      </c>
      <c r="R330" s="4">
        <f t="shared" si="56"/>
        <v>-2.7757981196707037E-2</v>
      </c>
      <c r="S330">
        <f t="shared" si="57"/>
        <v>0</v>
      </c>
      <c r="T330">
        <f t="shared" si="58"/>
        <v>0</v>
      </c>
      <c r="U330" s="5">
        <f>0</f>
        <v>0</v>
      </c>
      <c r="V330" s="45">
        <f t="shared" si="62"/>
        <v>0.1140072050140884</v>
      </c>
      <c r="W330" s="45">
        <f t="shared" si="63"/>
        <v>0</v>
      </c>
      <c r="X330" s="45">
        <f t="shared" si="64"/>
        <v>0</v>
      </c>
      <c r="Y330" s="46">
        <f>0</f>
        <v>0</v>
      </c>
      <c r="Z330" s="11"/>
    </row>
    <row r="331" spans="11:26" x14ac:dyDescent="0.45">
      <c r="K331" s="39">
        <f t="shared" si="59"/>
        <v>6.95</v>
      </c>
      <c r="L331" s="40">
        <f t="shared" si="52"/>
        <v>46.95</v>
      </c>
      <c r="M331" s="41">
        <f t="shared" si="53"/>
        <v>41.95</v>
      </c>
      <c r="N331" s="49">
        <f t="shared" si="54"/>
        <v>2.2868309937627659E-2</v>
      </c>
      <c r="O331" s="50">
        <f t="shared" si="55"/>
        <v>1.4862832380062566E-2</v>
      </c>
      <c r="P331" s="50">
        <f t="shared" si="60"/>
        <v>2.2868309937627659E-2</v>
      </c>
      <c r="Q331" s="51">
        <f t="shared" si="61"/>
        <v>1.4862832380062566E-2</v>
      </c>
      <c r="R331" s="4">
        <f t="shared" si="56"/>
        <v>-2.7704807595368947E-2</v>
      </c>
      <c r="S331">
        <f t="shared" si="57"/>
        <v>0</v>
      </c>
      <c r="T331">
        <f t="shared" si="58"/>
        <v>0</v>
      </c>
      <c r="U331" s="5">
        <f>0</f>
        <v>0</v>
      </c>
      <c r="V331" s="45">
        <f t="shared" si="62"/>
        <v>0.11428478482605547</v>
      </c>
      <c r="W331" s="45">
        <f t="shared" si="63"/>
        <v>0</v>
      </c>
      <c r="X331" s="45">
        <f t="shared" si="64"/>
        <v>0</v>
      </c>
      <c r="Y331" s="46">
        <f>0</f>
        <v>0</v>
      </c>
      <c r="Z331" s="11"/>
    </row>
    <row r="332" spans="11:26" x14ac:dyDescent="0.45">
      <c r="K332" s="39">
        <f t="shared" si="59"/>
        <v>6.94</v>
      </c>
      <c r="L332" s="40">
        <f t="shared" si="52"/>
        <v>46.94</v>
      </c>
      <c r="M332" s="41">
        <f t="shared" si="53"/>
        <v>41.94</v>
      </c>
      <c r="N332" s="49">
        <f t="shared" si="54"/>
        <v>2.2848611044199531E-2</v>
      </c>
      <c r="O332" s="50">
        <f t="shared" si="55"/>
        <v>1.4850029450948288E-2</v>
      </c>
      <c r="P332" s="50">
        <f t="shared" si="60"/>
        <v>2.2848611044199531E-2</v>
      </c>
      <c r="Q332" s="51">
        <f t="shared" si="61"/>
        <v>1.4850029450948288E-2</v>
      </c>
      <c r="R332" s="4">
        <f t="shared" si="56"/>
        <v>-2.7651723497009319E-2</v>
      </c>
      <c r="S332">
        <f t="shared" si="57"/>
        <v>0</v>
      </c>
      <c r="T332">
        <f t="shared" si="58"/>
        <v>0</v>
      </c>
      <c r="U332" s="5">
        <f>0</f>
        <v>0</v>
      </c>
      <c r="V332" s="45">
        <f t="shared" si="62"/>
        <v>0.11456183290200916</v>
      </c>
      <c r="W332" s="45">
        <f t="shared" si="63"/>
        <v>0</v>
      </c>
      <c r="X332" s="45">
        <f t="shared" si="64"/>
        <v>0</v>
      </c>
      <c r="Y332" s="46">
        <f>0</f>
        <v>0</v>
      </c>
      <c r="Z332" s="11"/>
    </row>
    <row r="333" spans="11:26" x14ac:dyDescent="0.45">
      <c r="K333" s="39">
        <f t="shared" si="59"/>
        <v>6.93</v>
      </c>
      <c r="L333" s="40">
        <f t="shared" si="52"/>
        <v>46.93</v>
      </c>
      <c r="M333" s="41">
        <f t="shared" si="53"/>
        <v>41.93</v>
      </c>
      <c r="N333" s="49">
        <f t="shared" si="54"/>
        <v>2.2828929119511281E-2</v>
      </c>
      <c r="O333" s="50">
        <f t="shared" si="55"/>
        <v>1.4837237550350631E-2</v>
      </c>
      <c r="P333" s="50">
        <f t="shared" si="60"/>
        <v>2.2828929119511281E-2</v>
      </c>
      <c r="Q333" s="51">
        <f t="shared" si="61"/>
        <v>1.4837237550350631E-2</v>
      </c>
      <c r="R333" s="4">
        <f t="shared" si="56"/>
        <v>-2.7598728726661526E-2</v>
      </c>
      <c r="S333">
        <f t="shared" si="57"/>
        <v>0</v>
      </c>
      <c r="T333">
        <f t="shared" si="58"/>
        <v>0</v>
      </c>
      <c r="U333" s="5">
        <f>0</f>
        <v>0</v>
      </c>
      <c r="V333" s="45">
        <f t="shared" si="62"/>
        <v>0.11483835013697925</v>
      </c>
      <c r="W333" s="45">
        <f t="shared" si="63"/>
        <v>0</v>
      </c>
      <c r="X333" s="45">
        <f t="shared" si="64"/>
        <v>0</v>
      </c>
      <c r="Y333" s="46">
        <f>0</f>
        <v>0</v>
      </c>
      <c r="Z333" s="11"/>
    </row>
    <row r="334" spans="11:26" x14ac:dyDescent="0.45">
      <c r="K334" s="39">
        <f t="shared" si="59"/>
        <v>6.92</v>
      </c>
      <c r="L334" s="40">
        <f t="shared" si="52"/>
        <v>46.92</v>
      </c>
      <c r="M334" s="41">
        <f t="shared" si="53"/>
        <v>41.92</v>
      </c>
      <c r="N334" s="49">
        <f t="shared" si="54"/>
        <v>2.2809264148945938E-2</v>
      </c>
      <c r="O334" s="50">
        <f t="shared" si="55"/>
        <v>1.4824456668769569E-2</v>
      </c>
      <c r="P334" s="50">
        <f t="shared" si="60"/>
        <v>2.2809264148945938E-2</v>
      </c>
      <c r="Q334" s="51">
        <f t="shared" si="61"/>
        <v>1.4824456668769569E-2</v>
      </c>
      <c r="R334" s="4">
        <f t="shared" si="56"/>
        <v>-2.7545823109762845E-2</v>
      </c>
      <c r="S334">
        <f t="shared" si="57"/>
        <v>0</v>
      </c>
      <c r="T334">
        <f t="shared" si="58"/>
        <v>0</v>
      </c>
      <c r="U334" s="5">
        <f>0</f>
        <v>0</v>
      </c>
      <c r="V334" s="45">
        <f t="shared" si="62"/>
        <v>0.11511433742424587</v>
      </c>
      <c r="W334" s="45">
        <f t="shared" si="63"/>
        <v>0</v>
      </c>
      <c r="X334" s="45">
        <f t="shared" si="64"/>
        <v>0</v>
      </c>
      <c r="Y334" s="46">
        <f>0</f>
        <v>0</v>
      </c>
      <c r="Z334" s="11"/>
    </row>
    <row r="335" spans="11:26" x14ac:dyDescent="0.45">
      <c r="K335" s="39">
        <f t="shared" si="59"/>
        <v>6.91</v>
      </c>
      <c r="L335" s="40">
        <f t="shared" si="52"/>
        <v>46.91</v>
      </c>
      <c r="M335" s="41">
        <f t="shared" si="53"/>
        <v>41.91</v>
      </c>
      <c r="N335" s="49">
        <f t="shared" si="54"/>
        <v>2.2789616117899061E-2</v>
      </c>
      <c r="O335" s="50">
        <f t="shared" si="55"/>
        <v>1.4811686796713247E-2</v>
      </c>
      <c r="P335" s="50">
        <f t="shared" si="60"/>
        <v>2.2789616117899061E-2</v>
      </c>
      <c r="Q335" s="51">
        <f t="shared" si="61"/>
        <v>1.4811686796713247E-2</v>
      </c>
      <c r="R335" s="4">
        <f t="shared" si="56"/>
        <v>-2.7493006472153348E-2</v>
      </c>
      <c r="S335">
        <f t="shared" si="57"/>
        <v>0</v>
      </c>
      <c r="T335">
        <f t="shared" si="58"/>
        <v>0</v>
      </c>
      <c r="U335" s="5">
        <f>0</f>
        <v>0</v>
      </c>
      <c r="V335" s="45">
        <f t="shared" si="62"/>
        <v>0.11538979565534351</v>
      </c>
      <c r="W335" s="45">
        <f t="shared" si="63"/>
        <v>0</v>
      </c>
      <c r="X335" s="45">
        <f t="shared" si="64"/>
        <v>0</v>
      </c>
      <c r="Y335" s="46">
        <f>0</f>
        <v>0</v>
      </c>
      <c r="Z335" s="11"/>
    </row>
    <row r="336" spans="11:26" x14ac:dyDescent="0.45">
      <c r="K336" s="39">
        <f t="shared" si="59"/>
        <v>6.9</v>
      </c>
      <c r="L336" s="40">
        <f t="shared" si="52"/>
        <v>46.9</v>
      </c>
      <c r="M336" s="41">
        <f t="shared" si="53"/>
        <v>41.9</v>
      </c>
      <c r="N336" s="49">
        <f t="shared" si="54"/>
        <v>2.2769985011778914E-2</v>
      </c>
      <c r="O336" s="50">
        <f t="shared" si="55"/>
        <v>1.4798927924698009E-2</v>
      </c>
      <c r="P336" s="50">
        <f t="shared" si="60"/>
        <v>2.2769985011778914E-2</v>
      </c>
      <c r="Q336" s="51">
        <f t="shared" si="61"/>
        <v>1.4798927924698009E-2</v>
      </c>
      <c r="R336" s="4">
        <f t="shared" si="56"/>
        <v>-2.7440278640075068E-2</v>
      </c>
      <c r="S336">
        <f t="shared" si="57"/>
        <v>0</v>
      </c>
      <c r="T336">
        <f t="shared" si="58"/>
        <v>0</v>
      </c>
      <c r="U336" s="5">
        <f>0</f>
        <v>0</v>
      </c>
      <c r="V336" s="45">
        <f t="shared" si="62"/>
        <v>0.11566472572006505</v>
      </c>
      <c r="W336" s="45">
        <f t="shared" si="63"/>
        <v>0</v>
      </c>
      <c r="X336" s="45">
        <f t="shared" si="64"/>
        <v>0</v>
      </c>
      <c r="Y336" s="46">
        <f>0</f>
        <v>0</v>
      </c>
      <c r="Z336" s="11"/>
    </row>
    <row r="337" spans="11:26" x14ac:dyDescent="0.45">
      <c r="K337" s="39">
        <f t="shared" si="59"/>
        <v>6.89</v>
      </c>
      <c r="L337" s="40">
        <f t="shared" si="52"/>
        <v>46.89</v>
      </c>
      <c r="M337" s="41">
        <f t="shared" si="53"/>
        <v>41.89</v>
      </c>
      <c r="N337" s="49">
        <f t="shared" si="54"/>
        <v>2.2750370816006248E-2</v>
      </c>
      <c r="O337" s="50">
        <f t="shared" si="55"/>
        <v>1.4786180043248354E-2</v>
      </c>
      <c r="P337" s="50">
        <f t="shared" si="60"/>
        <v>2.2750370816006248E-2</v>
      </c>
      <c r="Q337" s="51">
        <f t="shared" si="61"/>
        <v>1.4786180043248354E-2</v>
      </c>
      <c r="R337" s="4">
        <f t="shared" si="56"/>
        <v>-2.7387639440170704E-2</v>
      </c>
      <c r="S337">
        <f t="shared" si="57"/>
        <v>0</v>
      </c>
      <c r="T337">
        <f t="shared" si="58"/>
        <v>0</v>
      </c>
      <c r="U337" s="5">
        <f>0</f>
        <v>0</v>
      </c>
      <c r="V337" s="45">
        <f t="shared" si="62"/>
        <v>0.1159391285064658</v>
      </c>
      <c r="W337" s="45">
        <f t="shared" si="63"/>
        <v>0</v>
      </c>
      <c r="X337" s="45">
        <f t="shared" si="64"/>
        <v>0</v>
      </c>
      <c r="Y337" s="46">
        <f>0</f>
        <v>0</v>
      </c>
      <c r="Z337" s="11"/>
    </row>
    <row r="338" spans="11:26" x14ac:dyDescent="0.45">
      <c r="K338" s="39">
        <f t="shared" si="59"/>
        <v>6.88</v>
      </c>
      <c r="L338" s="40">
        <f t="shared" si="52"/>
        <v>46.88</v>
      </c>
      <c r="M338" s="41">
        <f t="shared" si="53"/>
        <v>41.88</v>
      </c>
      <c r="N338" s="49">
        <f t="shared" si="54"/>
        <v>2.2730773516014394E-2</v>
      </c>
      <c r="O338" s="50">
        <f t="shared" si="55"/>
        <v>1.477344314289695E-2</v>
      </c>
      <c r="P338" s="50">
        <f t="shared" si="60"/>
        <v>2.2730773516014394E-2</v>
      </c>
      <c r="Q338" s="51">
        <f t="shared" si="61"/>
        <v>1.477344314289695E-2</v>
      </c>
      <c r="R338" s="4">
        <f t="shared" si="56"/>
        <v>-2.7335088699482708E-2</v>
      </c>
      <c r="S338">
        <f t="shared" si="57"/>
        <v>0</v>
      </c>
      <c r="T338">
        <f t="shared" si="58"/>
        <v>0</v>
      </c>
      <c r="U338" s="5">
        <f>0</f>
        <v>0</v>
      </c>
      <c r="V338" s="45">
        <f t="shared" si="62"/>
        <v>0.11621300490086751</v>
      </c>
      <c r="W338" s="45">
        <f t="shared" si="63"/>
        <v>0</v>
      </c>
      <c r="X338" s="45">
        <f t="shared" si="64"/>
        <v>0</v>
      </c>
      <c r="Y338" s="46">
        <f>0</f>
        <v>0</v>
      </c>
      <c r="Z338" s="11"/>
    </row>
    <row r="339" spans="11:26" x14ac:dyDescent="0.45">
      <c r="K339" s="39">
        <f t="shared" si="59"/>
        <v>6.87</v>
      </c>
      <c r="L339" s="40">
        <f t="shared" si="52"/>
        <v>46.87</v>
      </c>
      <c r="M339" s="41">
        <f t="shared" si="53"/>
        <v>41.87</v>
      </c>
      <c r="N339" s="49">
        <f t="shared" si="54"/>
        <v>2.2711193097249206E-2</v>
      </c>
      <c r="O339" s="50">
        <f t="shared" si="55"/>
        <v>1.476071721418459E-2</v>
      </c>
      <c r="P339" s="50">
        <f t="shared" si="60"/>
        <v>2.2711193097249206E-2</v>
      </c>
      <c r="Q339" s="51">
        <f t="shared" si="61"/>
        <v>1.476071721418459E-2</v>
      </c>
      <c r="R339" s="4">
        <f t="shared" si="56"/>
        <v>-2.7282626245452135E-2</v>
      </c>
      <c r="S339">
        <f t="shared" si="57"/>
        <v>0</v>
      </c>
      <c r="T339">
        <f t="shared" si="58"/>
        <v>0</v>
      </c>
      <c r="U339" s="5">
        <f>0</f>
        <v>0</v>
      </c>
      <c r="V339" s="45">
        <f t="shared" si="62"/>
        <v>0.11648635578786234</v>
      </c>
      <c r="W339" s="45">
        <f t="shared" si="63"/>
        <v>0</v>
      </c>
      <c r="X339" s="45">
        <f t="shared" si="64"/>
        <v>0</v>
      </c>
      <c r="Y339" s="46">
        <f>0</f>
        <v>0</v>
      </c>
      <c r="Z339" s="11"/>
    </row>
    <row r="340" spans="11:26" x14ac:dyDescent="0.45">
      <c r="K340" s="39">
        <f t="shared" si="59"/>
        <v>6.86</v>
      </c>
      <c r="L340" s="40">
        <f t="shared" si="52"/>
        <v>46.86</v>
      </c>
      <c r="M340" s="41">
        <f t="shared" si="53"/>
        <v>41.86</v>
      </c>
      <c r="N340" s="49">
        <f t="shared" si="54"/>
        <v>2.2691629545169158E-2</v>
      </c>
      <c r="O340" s="50">
        <f t="shared" si="55"/>
        <v>1.474800224766027E-2</v>
      </c>
      <c r="P340" s="50">
        <f t="shared" si="60"/>
        <v>2.2691629545169158E-2</v>
      </c>
      <c r="Q340" s="51">
        <f t="shared" si="61"/>
        <v>1.474800224766027E-2</v>
      </c>
      <c r="R340" s="4">
        <f t="shared" si="56"/>
        <v>-2.7230251905917779E-2</v>
      </c>
      <c r="S340">
        <f t="shared" si="57"/>
        <v>0</v>
      </c>
      <c r="T340">
        <f t="shared" si="58"/>
        <v>0</v>
      </c>
      <c r="U340" s="5">
        <f>0</f>
        <v>0</v>
      </c>
      <c r="V340" s="45">
        <f t="shared" si="62"/>
        <v>0.11675918205031686</v>
      </c>
      <c r="W340" s="45">
        <f t="shared" si="63"/>
        <v>0</v>
      </c>
      <c r="X340" s="45">
        <f t="shared" si="64"/>
        <v>0</v>
      </c>
      <c r="Y340" s="46">
        <f>0</f>
        <v>0</v>
      </c>
      <c r="Z340" s="11"/>
    </row>
    <row r="341" spans="11:26" x14ac:dyDescent="0.45">
      <c r="K341" s="39">
        <f t="shared" si="59"/>
        <v>6.85</v>
      </c>
      <c r="L341" s="40">
        <f t="shared" si="52"/>
        <v>46.85</v>
      </c>
      <c r="M341" s="41">
        <f t="shared" si="53"/>
        <v>41.85</v>
      </c>
      <c r="N341" s="49">
        <f t="shared" si="54"/>
        <v>2.2672082845245134E-2</v>
      </c>
      <c r="O341" s="50">
        <f t="shared" si="55"/>
        <v>1.4735298233881099E-2</v>
      </c>
      <c r="P341" s="50">
        <f t="shared" si="60"/>
        <v>2.2672082845245134E-2</v>
      </c>
      <c r="Q341" s="51">
        <f t="shared" si="61"/>
        <v>1.4735298233881099E-2</v>
      </c>
      <c r="R341" s="4">
        <f t="shared" si="56"/>
        <v>-2.7177965509114898E-2</v>
      </c>
      <c r="S341">
        <f t="shared" si="57"/>
        <v>0</v>
      </c>
      <c r="T341">
        <f t="shared" si="58"/>
        <v>0</v>
      </c>
      <c r="U341" s="5">
        <f>0</f>
        <v>0</v>
      </c>
      <c r="V341" s="45">
        <f t="shared" si="62"/>
        <v>0.11703148456937604</v>
      </c>
      <c r="W341" s="45">
        <f t="shared" si="63"/>
        <v>0</v>
      </c>
      <c r="X341" s="45">
        <f t="shared" si="64"/>
        <v>0</v>
      </c>
      <c r="Y341" s="46">
        <f>0</f>
        <v>0</v>
      </c>
      <c r="Z341" s="11"/>
    </row>
    <row r="342" spans="11:26" x14ac:dyDescent="0.45">
      <c r="K342" s="39">
        <f t="shared" si="59"/>
        <v>6.84</v>
      </c>
      <c r="L342" s="40">
        <f t="shared" si="52"/>
        <v>46.84</v>
      </c>
      <c r="M342" s="41">
        <f t="shared" si="53"/>
        <v>41.84</v>
      </c>
      <c r="N342" s="49">
        <f t="shared" si="54"/>
        <v>2.2652552982960612E-2</v>
      </c>
      <c r="O342" s="50">
        <f t="shared" si="55"/>
        <v>1.4722605163412303E-2</v>
      </c>
      <c r="P342" s="50">
        <f t="shared" si="60"/>
        <v>2.2652552982960612E-2</v>
      </c>
      <c r="Q342" s="51">
        <f t="shared" si="61"/>
        <v>1.4722605163412303E-2</v>
      </c>
      <c r="R342" s="4">
        <f t="shared" si="56"/>
        <v>-2.7125766883674331E-2</v>
      </c>
      <c r="S342">
        <f t="shared" si="57"/>
        <v>0</v>
      </c>
      <c r="T342">
        <f t="shared" si="58"/>
        <v>0</v>
      </c>
      <c r="U342" s="5">
        <f>0</f>
        <v>0</v>
      </c>
      <c r="V342" s="45">
        <f t="shared" si="62"/>
        <v>0.11730326422446719</v>
      </c>
      <c r="W342" s="45">
        <f t="shared" si="63"/>
        <v>0</v>
      </c>
      <c r="X342" s="45">
        <f t="shared" si="64"/>
        <v>0</v>
      </c>
      <c r="Y342" s="46">
        <f>0</f>
        <v>0</v>
      </c>
      <c r="Z342" s="11"/>
    </row>
    <row r="343" spans="11:26" x14ac:dyDescent="0.45">
      <c r="K343" s="39">
        <f t="shared" si="59"/>
        <v>6.83</v>
      </c>
      <c r="L343" s="40">
        <f t="shared" si="52"/>
        <v>46.83</v>
      </c>
      <c r="M343" s="41">
        <f t="shared" si="53"/>
        <v>41.83</v>
      </c>
      <c r="N343" s="49">
        <f t="shared" si="54"/>
        <v>2.2633039943811526E-2</v>
      </c>
      <c r="O343" s="50">
        <f t="shared" si="55"/>
        <v>1.4709923026827245E-2</v>
      </c>
      <c r="P343" s="50">
        <f t="shared" si="60"/>
        <v>2.2633039943811526E-2</v>
      </c>
      <c r="Q343" s="51">
        <f t="shared" si="61"/>
        <v>1.4709923026827245E-2</v>
      </c>
      <c r="R343" s="4">
        <f t="shared" si="56"/>
        <v>-2.7073655858621367E-2</v>
      </c>
      <c r="S343">
        <f t="shared" si="57"/>
        <v>0</v>
      </c>
      <c r="T343">
        <f t="shared" si="58"/>
        <v>0</v>
      </c>
      <c r="U343" s="5">
        <f>0</f>
        <v>0</v>
      </c>
      <c r="V343" s="45">
        <f t="shared" si="62"/>
        <v>0.11757452189330393</v>
      </c>
      <c r="W343" s="45">
        <f t="shared" si="63"/>
        <v>0</v>
      </c>
      <c r="X343" s="45">
        <f t="shared" si="64"/>
        <v>0</v>
      </c>
      <c r="Y343" s="46">
        <f>0</f>
        <v>0</v>
      </c>
      <c r="Z343" s="11"/>
    </row>
    <row r="344" spans="11:26" x14ac:dyDescent="0.45">
      <c r="K344" s="39">
        <f t="shared" si="59"/>
        <v>6.82</v>
      </c>
      <c r="L344" s="40">
        <f t="shared" si="52"/>
        <v>46.82</v>
      </c>
      <c r="M344" s="41">
        <f t="shared" si="53"/>
        <v>41.82</v>
      </c>
      <c r="N344" s="49">
        <f t="shared" si="54"/>
        <v>2.2613543713306376E-2</v>
      </c>
      <c r="O344" s="50">
        <f t="shared" si="55"/>
        <v>1.4697251814707445E-2</v>
      </c>
      <c r="P344" s="50">
        <f t="shared" si="60"/>
        <v>2.2613543713306376E-2</v>
      </c>
      <c r="Q344" s="51">
        <f t="shared" si="61"/>
        <v>1.4697251814707445E-2</v>
      </c>
      <c r="R344" s="4">
        <f t="shared" si="56"/>
        <v>-2.7021632263374899E-2</v>
      </c>
      <c r="S344">
        <f t="shared" si="57"/>
        <v>0</v>
      </c>
      <c r="T344">
        <f t="shared" si="58"/>
        <v>0</v>
      </c>
      <c r="U344" s="5">
        <f>0</f>
        <v>0</v>
      </c>
      <c r="V344" s="45">
        <f t="shared" si="62"/>
        <v>0.11784525845189014</v>
      </c>
      <c r="W344" s="45">
        <f t="shared" si="63"/>
        <v>0</v>
      </c>
      <c r="X344" s="45">
        <f t="shared" si="64"/>
        <v>0</v>
      </c>
      <c r="Y344" s="46">
        <f>0</f>
        <v>0</v>
      </c>
      <c r="Z344" s="11"/>
    </row>
    <row r="345" spans="11:26" x14ac:dyDescent="0.45">
      <c r="K345" s="39">
        <f t="shared" si="59"/>
        <v>6.81</v>
      </c>
      <c r="L345" s="40">
        <f t="shared" si="52"/>
        <v>46.81</v>
      </c>
      <c r="M345" s="41">
        <f t="shared" si="53"/>
        <v>41.81</v>
      </c>
      <c r="N345" s="49">
        <f t="shared" si="54"/>
        <v>2.2594064276966076E-2</v>
      </c>
      <c r="O345" s="50">
        <f t="shared" si="55"/>
        <v>1.4684591517642483E-2</v>
      </c>
      <c r="P345" s="50">
        <f t="shared" si="60"/>
        <v>2.2594064276966076E-2</v>
      </c>
      <c r="Q345" s="51">
        <f t="shared" si="61"/>
        <v>1.4684591517642483E-2</v>
      </c>
      <c r="R345" s="4">
        <f t="shared" si="56"/>
        <v>-2.6969695927746118E-2</v>
      </c>
      <c r="S345">
        <f t="shared" si="57"/>
        <v>0</v>
      </c>
      <c r="T345">
        <f t="shared" si="58"/>
        <v>0</v>
      </c>
      <c r="U345" s="5">
        <f>0</f>
        <v>0</v>
      </c>
      <c r="V345" s="45">
        <f t="shared" si="62"/>
        <v>0.11811547477452389</v>
      </c>
      <c r="W345" s="45">
        <f t="shared" si="63"/>
        <v>0</v>
      </c>
      <c r="X345" s="45">
        <f t="shared" si="64"/>
        <v>0</v>
      </c>
      <c r="Y345" s="46">
        <f>0</f>
        <v>0</v>
      </c>
      <c r="Z345" s="11"/>
    </row>
    <row r="346" spans="11:26" x14ac:dyDescent="0.45">
      <c r="K346" s="39">
        <f t="shared" si="59"/>
        <v>6.8</v>
      </c>
      <c r="L346" s="40">
        <f t="shared" ref="L346:L409" si="65">InitialAge_x+K346</f>
        <v>46.8</v>
      </c>
      <c r="M346" s="41">
        <f t="shared" ref="M346:M409" si="66">InitialAge_y+K346</f>
        <v>41.8</v>
      </c>
      <c r="N346" s="49">
        <f t="shared" ref="N346:N409" si="67">muParameter_B*muParameter_c^L346</f>
        <v>2.2574601620324035E-2</v>
      </c>
      <c r="O346" s="50">
        <f t="shared" ref="O346:O409" si="68">muParameter_B*muParameter_c^M346</f>
        <v>1.4671942126230061E-2</v>
      </c>
      <c r="P346" s="50">
        <f t="shared" si="60"/>
        <v>2.2574601620324035E-2</v>
      </c>
      <c r="Q346" s="51">
        <f t="shared" si="61"/>
        <v>1.4671942126230061E-2</v>
      </c>
      <c r="R346" s="4">
        <f t="shared" ref="R346:R409" si="69">V346*Delta-Constant_b1-(O346*(Constant_b12+W346-V346)+N346*(Constant_b13+X346-V346))</f>
        <v>-2.6917846681937675E-2</v>
      </c>
      <c r="S346">
        <f t="shared" ref="S346:S409" si="70">W346*Delta-Constant_b2-(P346*(Constant_b24+Y346-W346)+Q346*(Constant_b34+Y346-X346))</f>
        <v>0</v>
      </c>
      <c r="T346">
        <f t="shared" ref="T346:T409" si="71">X346*Delta-Constant_b3-(Q346*(Constant_b34+Y346-X346))</f>
        <v>0</v>
      </c>
      <c r="U346" s="5">
        <f>0</f>
        <v>0</v>
      </c>
      <c r="V346" s="45">
        <f t="shared" si="62"/>
        <v>0.11838517173380135</v>
      </c>
      <c r="W346" s="45">
        <f t="shared" si="63"/>
        <v>0</v>
      </c>
      <c r="X346" s="45">
        <f t="shared" si="64"/>
        <v>0</v>
      </c>
      <c r="Y346" s="46">
        <f>0</f>
        <v>0</v>
      </c>
      <c r="Z346" s="11"/>
    </row>
    <row r="347" spans="11:26" x14ac:dyDescent="0.45">
      <c r="K347" s="39">
        <f t="shared" ref="K347:K410" si="72">ROUND(K346-StepSize,2)</f>
        <v>6.79</v>
      </c>
      <c r="L347" s="40">
        <f t="shared" si="65"/>
        <v>46.79</v>
      </c>
      <c r="M347" s="41">
        <f t="shared" si="66"/>
        <v>41.79</v>
      </c>
      <c r="N347" s="49">
        <f t="shared" si="67"/>
        <v>2.2555155728926132E-2</v>
      </c>
      <c r="O347" s="50">
        <f t="shared" si="68"/>
        <v>1.465930363107602E-2</v>
      </c>
      <c r="P347" s="50">
        <f t="shared" ref="P347:P410" si="73">N347</f>
        <v>2.2555155728926132E-2</v>
      </c>
      <c r="Q347" s="51">
        <f t="shared" ref="Q347:Q410" si="74">O347</f>
        <v>1.465930363107602E-2</v>
      </c>
      <c r="R347" s="4">
        <f t="shared" si="69"/>
        <v>-2.6866084356542655E-2</v>
      </c>
      <c r="S347">
        <f t="shared" si="70"/>
        <v>0</v>
      </c>
      <c r="T347">
        <f t="shared" si="71"/>
        <v>0</v>
      </c>
      <c r="U347" s="5">
        <f>0</f>
        <v>0</v>
      </c>
      <c r="V347" s="45">
        <f t="shared" ref="V347:V410" si="75">V346-StepSize*(R346)</f>
        <v>0.11865435020062073</v>
      </c>
      <c r="W347" s="45">
        <f t="shared" ref="W347:W410" si="76">W346-StepSize*(S346)</f>
        <v>0</v>
      </c>
      <c r="X347" s="45">
        <f t="shared" ref="X347:X410" si="77">X346-StepSize*(T346)</f>
        <v>0</v>
      </c>
      <c r="Y347" s="46">
        <f>0</f>
        <v>0</v>
      </c>
      <c r="Z347" s="11"/>
    </row>
    <row r="348" spans="11:26" x14ac:dyDescent="0.45">
      <c r="K348" s="39">
        <f t="shared" si="72"/>
        <v>6.78</v>
      </c>
      <c r="L348" s="40">
        <f t="shared" si="65"/>
        <v>46.78</v>
      </c>
      <c r="M348" s="41">
        <f t="shared" si="66"/>
        <v>41.78</v>
      </c>
      <c r="N348" s="49">
        <f t="shared" si="67"/>
        <v>2.2535726588330682E-2</v>
      </c>
      <c r="O348" s="50">
        <f t="shared" si="68"/>
        <v>1.4646676022794236E-2</v>
      </c>
      <c r="P348" s="50">
        <f t="shared" si="73"/>
        <v>2.2535726588330682E-2</v>
      </c>
      <c r="Q348" s="51">
        <f t="shared" si="74"/>
        <v>1.4646676022794236E-2</v>
      </c>
      <c r="R348" s="4">
        <f t="shared" si="69"/>
        <v>-2.6814408782543424E-2</v>
      </c>
      <c r="S348">
        <f t="shared" si="70"/>
        <v>0</v>
      </c>
      <c r="T348">
        <f t="shared" si="71"/>
        <v>0</v>
      </c>
      <c r="U348" s="5">
        <f>0</f>
        <v>0</v>
      </c>
      <c r="V348" s="45">
        <f t="shared" si="75"/>
        <v>0.11892301104418616</v>
      </c>
      <c r="W348" s="45">
        <f t="shared" si="76"/>
        <v>0</v>
      </c>
      <c r="X348" s="45">
        <f t="shared" si="77"/>
        <v>0</v>
      </c>
      <c r="Y348" s="46">
        <f>0</f>
        <v>0</v>
      </c>
      <c r="Z348" s="11"/>
    </row>
    <row r="349" spans="11:26" x14ac:dyDescent="0.45">
      <c r="K349" s="39">
        <f t="shared" si="72"/>
        <v>6.77</v>
      </c>
      <c r="L349" s="40">
        <f t="shared" si="65"/>
        <v>46.769999999999996</v>
      </c>
      <c r="M349" s="41">
        <f t="shared" si="66"/>
        <v>41.769999999999996</v>
      </c>
      <c r="N349" s="49">
        <f t="shared" si="67"/>
        <v>2.2516314184108432E-2</v>
      </c>
      <c r="O349" s="50">
        <f t="shared" si="68"/>
        <v>1.4634059292006691E-2</v>
      </c>
      <c r="P349" s="50">
        <f t="shared" si="73"/>
        <v>2.2516314184108432E-2</v>
      </c>
      <c r="Q349" s="51">
        <f t="shared" si="74"/>
        <v>1.4634059292006691E-2</v>
      </c>
      <c r="R349" s="4">
        <f t="shared" si="69"/>
        <v>-2.6762819791310736E-2</v>
      </c>
      <c r="S349">
        <f t="shared" si="70"/>
        <v>0</v>
      </c>
      <c r="T349">
        <f t="shared" si="71"/>
        <v>0</v>
      </c>
      <c r="U349" s="5">
        <f>0</f>
        <v>0</v>
      </c>
      <c r="V349" s="45">
        <f t="shared" si="75"/>
        <v>0.1191911551320116</v>
      </c>
      <c r="W349" s="45">
        <f t="shared" si="76"/>
        <v>0</v>
      </c>
      <c r="X349" s="45">
        <f t="shared" si="77"/>
        <v>0</v>
      </c>
      <c r="Y349" s="46">
        <f>0</f>
        <v>0</v>
      </c>
      <c r="Z349" s="11"/>
    </row>
    <row r="350" spans="11:26" x14ac:dyDescent="0.45">
      <c r="K350" s="39">
        <f t="shared" si="72"/>
        <v>6.76</v>
      </c>
      <c r="L350" s="40">
        <f t="shared" si="65"/>
        <v>46.76</v>
      </c>
      <c r="M350" s="41">
        <f t="shared" si="66"/>
        <v>41.76</v>
      </c>
      <c r="N350" s="49">
        <f t="shared" si="67"/>
        <v>2.2496918501842614E-2</v>
      </c>
      <c r="O350" s="50">
        <f t="shared" si="68"/>
        <v>1.4621453429343465E-2</v>
      </c>
      <c r="P350" s="50">
        <f t="shared" si="73"/>
        <v>2.2496918501842614E-2</v>
      </c>
      <c r="Q350" s="51">
        <f t="shared" si="74"/>
        <v>1.4621453429343465E-2</v>
      </c>
      <c r="R350" s="4">
        <f t="shared" si="69"/>
        <v>-2.6711317214602723E-2</v>
      </c>
      <c r="S350">
        <f t="shared" si="70"/>
        <v>0</v>
      </c>
      <c r="T350">
        <f t="shared" si="71"/>
        <v>0</v>
      </c>
      <c r="U350" s="5">
        <f>0</f>
        <v>0</v>
      </c>
      <c r="V350" s="45">
        <f t="shared" si="75"/>
        <v>0.11945878332992471</v>
      </c>
      <c r="W350" s="45">
        <f t="shared" si="76"/>
        <v>0</v>
      </c>
      <c r="X350" s="45">
        <f t="shared" si="77"/>
        <v>0</v>
      </c>
      <c r="Y350" s="46">
        <f>0</f>
        <v>0</v>
      </c>
      <c r="Z350" s="11"/>
    </row>
    <row r="351" spans="11:26" x14ac:dyDescent="0.45">
      <c r="K351" s="39">
        <f t="shared" si="72"/>
        <v>6.75</v>
      </c>
      <c r="L351" s="40">
        <f t="shared" si="65"/>
        <v>46.75</v>
      </c>
      <c r="M351" s="41">
        <f t="shared" si="66"/>
        <v>41.75</v>
      </c>
      <c r="N351" s="49">
        <f t="shared" si="67"/>
        <v>2.2477539527128814E-2</v>
      </c>
      <c r="O351" s="50">
        <f t="shared" si="68"/>
        <v>1.4608858425442685E-2</v>
      </c>
      <c r="P351" s="50">
        <f t="shared" si="73"/>
        <v>2.2477539527128814E-2</v>
      </c>
      <c r="Q351" s="51">
        <f t="shared" si="74"/>
        <v>1.4608858425442685E-2</v>
      </c>
      <c r="R351" s="4">
        <f t="shared" si="69"/>
        <v>-2.6659900884563777E-2</v>
      </c>
      <c r="S351">
        <f t="shared" si="70"/>
        <v>0</v>
      </c>
      <c r="T351">
        <f t="shared" si="71"/>
        <v>0</v>
      </c>
      <c r="U351" s="5">
        <f>0</f>
        <v>0</v>
      </c>
      <c r="V351" s="45">
        <f t="shared" si="75"/>
        <v>0.11972589650207074</v>
      </c>
      <c r="W351" s="45">
        <f t="shared" si="76"/>
        <v>0</v>
      </c>
      <c r="X351" s="45">
        <f t="shared" si="77"/>
        <v>0</v>
      </c>
      <c r="Y351" s="46">
        <f>0</f>
        <v>0</v>
      </c>
      <c r="Z351" s="11"/>
    </row>
    <row r="352" spans="11:26" x14ac:dyDescent="0.45">
      <c r="K352" s="39">
        <f t="shared" si="72"/>
        <v>6.74</v>
      </c>
      <c r="L352" s="40">
        <f t="shared" si="65"/>
        <v>46.74</v>
      </c>
      <c r="M352" s="41">
        <f t="shared" si="66"/>
        <v>41.74</v>
      </c>
      <c r="N352" s="49">
        <f t="shared" si="67"/>
        <v>2.2458177245575053E-2</v>
      </c>
      <c r="O352" s="50">
        <f t="shared" si="68"/>
        <v>1.4596274270950551E-2</v>
      </c>
      <c r="P352" s="50">
        <f t="shared" si="73"/>
        <v>2.2458177245575053E-2</v>
      </c>
      <c r="Q352" s="51">
        <f t="shared" si="74"/>
        <v>1.4596274270950551E-2</v>
      </c>
      <c r="R352" s="4">
        <f t="shared" si="69"/>
        <v>-2.6608570633723617E-2</v>
      </c>
      <c r="S352">
        <f t="shared" si="70"/>
        <v>0</v>
      </c>
      <c r="T352">
        <f t="shared" si="71"/>
        <v>0</v>
      </c>
      <c r="U352" s="5">
        <f>0</f>
        <v>0</v>
      </c>
      <c r="V352" s="45">
        <f t="shared" si="75"/>
        <v>0.11999249551091638</v>
      </c>
      <c r="W352" s="45">
        <f t="shared" si="76"/>
        <v>0</v>
      </c>
      <c r="X352" s="45">
        <f t="shared" si="77"/>
        <v>0</v>
      </c>
      <c r="Y352" s="46">
        <f>0</f>
        <v>0</v>
      </c>
      <c r="Z352" s="11"/>
    </row>
    <row r="353" spans="11:26" x14ac:dyDescent="0.45">
      <c r="K353" s="39">
        <f t="shared" si="72"/>
        <v>6.73</v>
      </c>
      <c r="L353" s="40">
        <f t="shared" si="65"/>
        <v>46.730000000000004</v>
      </c>
      <c r="M353" s="41">
        <f t="shared" si="66"/>
        <v>41.730000000000004</v>
      </c>
      <c r="N353" s="49">
        <f t="shared" si="67"/>
        <v>2.2438831642801752E-2</v>
      </c>
      <c r="O353" s="50">
        <f t="shared" si="68"/>
        <v>1.4583700956521322E-2</v>
      </c>
      <c r="P353" s="50">
        <f t="shared" si="73"/>
        <v>2.2438831642801752E-2</v>
      </c>
      <c r="Q353" s="51">
        <f t="shared" si="74"/>
        <v>1.4583700956521322E-2</v>
      </c>
      <c r="R353" s="4">
        <f t="shared" si="69"/>
        <v>-2.6557326294996277E-2</v>
      </c>
      <c r="S353">
        <f t="shared" si="70"/>
        <v>0</v>
      </c>
      <c r="T353">
        <f t="shared" si="71"/>
        <v>0</v>
      </c>
      <c r="U353" s="5">
        <f>0</f>
        <v>0</v>
      </c>
      <c r="V353" s="45">
        <f t="shared" si="75"/>
        <v>0.12025858121725362</v>
      </c>
      <c r="W353" s="45">
        <f t="shared" si="76"/>
        <v>0</v>
      </c>
      <c r="X353" s="45">
        <f t="shared" si="77"/>
        <v>0</v>
      </c>
      <c r="Y353" s="46">
        <f>0</f>
        <v>0</v>
      </c>
      <c r="Z353" s="11"/>
    </row>
    <row r="354" spans="11:26" x14ac:dyDescent="0.45">
      <c r="K354" s="39">
        <f t="shared" si="72"/>
        <v>6.72</v>
      </c>
      <c r="L354" s="40">
        <f t="shared" si="65"/>
        <v>46.72</v>
      </c>
      <c r="M354" s="41">
        <f t="shared" si="66"/>
        <v>41.72</v>
      </c>
      <c r="N354" s="49">
        <f t="shared" si="67"/>
        <v>2.2419502704441707E-2</v>
      </c>
      <c r="O354" s="50">
        <f t="shared" si="68"/>
        <v>1.4571138472817297E-2</v>
      </c>
      <c r="P354" s="50">
        <f t="shared" si="73"/>
        <v>2.2419502704441707E-2</v>
      </c>
      <c r="Q354" s="51">
        <f t="shared" si="74"/>
        <v>1.4571138472817297E-2</v>
      </c>
      <c r="R354" s="4">
        <f t="shared" si="69"/>
        <v>-2.6506167701679077E-2</v>
      </c>
      <c r="S354">
        <f t="shared" si="70"/>
        <v>0</v>
      </c>
      <c r="T354">
        <f t="shared" si="71"/>
        <v>0</v>
      </c>
      <c r="U354" s="5">
        <f>0</f>
        <v>0</v>
      </c>
      <c r="V354" s="45">
        <f t="shared" si="75"/>
        <v>0.12052415448020358</v>
      </c>
      <c r="W354" s="45">
        <f t="shared" si="76"/>
        <v>0</v>
      </c>
      <c r="X354" s="45">
        <f t="shared" si="77"/>
        <v>0</v>
      </c>
      <c r="Y354" s="46">
        <f>0</f>
        <v>0</v>
      </c>
      <c r="Z354" s="11"/>
    </row>
    <row r="355" spans="11:26" x14ac:dyDescent="0.45">
      <c r="K355" s="39">
        <f t="shared" si="72"/>
        <v>6.71</v>
      </c>
      <c r="L355" s="40">
        <f t="shared" si="65"/>
        <v>46.71</v>
      </c>
      <c r="M355" s="41">
        <f t="shared" si="66"/>
        <v>41.71</v>
      </c>
      <c r="N355" s="49">
        <f t="shared" si="67"/>
        <v>2.2400190416140102E-2</v>
      </c>
      <c r="O355" s="50">
        <f t="shared" si="68"/>
        <v>1.4558586810508841E-2</v>
      </c>
      <c r="P355" s="50">
        <f t="shared" si="73"/>
        <v>2.2400190416140102E-2</v>
      </c>
      <c r="Q355" s="51">
        <f t="shared" si="74"/>
        <v>1.4558586810508841E-2</v>
      </c>
      <c r="R355" s="4">
        <f t="shared" si="69"/>
        <v>-2.645509468745167E-2</v>
      </c>
      <c r="S355">
        <f t="shared" si="70"/>
        <v>0</v>
      </c>
      <c r="T355">
        <f t="shared" si="71"/>
        <v>0</v>
      </c>
      <c r="U355" s="5">
        <f>0</f>
        <v>0</v>
      </c>
      <c r="V355" s="45">
        <f t="shared" si="75"/>
        <v>0.12078921615722037</v>
      </c>
      <c r="W355" s="45">
        <f t="shared" si="76"/>
        <v>0</v>
      </c>
      <c r="X355" s="45">
        <f t="shared" si="77"/>
        <v>0</v>
      </c>
      <c r="Y355" s="46">
        <f>0</f>
        <v>0</v>
      </c>
      <c r="Z355" s="11"/>
    </row>
    <row r="356" spans="11:26" x14ac:dyDescent="0.45">
      <c r="K356" s="39">
        <f t="shared" si="72"/>
        <v>6.7</v>
      </c>
      <c r="L356" s="40">
        <f t="shared" si="65"/>
        <v>46.7</v>
      </c>
      <c r="M356" s="41">
        <f t="shared" si="66"/>
        <v>41.7</v>
      </c>
      <c r="N356" s="49">
        <f t="shared" si="67"/>
        <v>2.2380894763554475E-2</v>
      </c>
      <c r="O356" s="50">
        <f t="shared" si="68"/>
        <v>1.4546045960274333E-2</v>
      </c>
      <c r="P356" s="50">
        <f t="shared" si="73"/>
        <v>2.2380894763554475E-2</v>
      </c>
      <c r="Q356" s="51">
        <f t="shared" si="74"/>
        <v>1.4546045960274333E-2</v>
      </c>
      <c r="R356" s="4">
        <f t="shared" si="69"/>
        <v>-2.6404107086374969E-2</v>
      </c>
      <c r="S356">
        <f t="shared" si="70"/>
        <v>0</v>
      </c>
      <c r="T356">
        <f t="shared" si="71"/>
        <v>0</v>
      </c>
      <c r="U356" s="5">
        <f>0</f>
        <v>0</v>
      </c>
      <c r="V356" s="45">
        <f t="shared" si="75"/>
        <v>0.12105376710409488</v>
      </c>
      <c r="W356" s="45">
        <f t="shared" si="76"/>
        <v>0</v>
      </c>
      <c r="X356" s="45">
        <f t="shared" si="77"/>
        <v>0</v>
      </c>
      <c r="Y356" s="46">
        <f>0</f>
        <v>0</v>
      </c>
      <c r="Z356" s="11"/>
    </row>
    <row r="357" spans="11:26" x14ac:dyDescent="0.45">
      <c r="K357" s="39">
        <f t="shared" si="72"/>
        <v>6.69</v>
      </c>
      <c r="L357" s="40">
        <f t="shared" si="65"/>
        <v>46.69</v>
      </c>
      <c r="M357" s="41">
        <f t="shared" si="66"/>
        <v>41.69</v>
      </c>
      <c r="N357" s="49">
        <f t="shared" si="67"/>
        <v>2.2361615732354709E-2</v>
      </c>
      <c r="O357" s="50">
        <f t="shared" si="68"/>
        <v>1.453351591280019E-2</v>
      </c>
      <c r="P357" s="50">
        <f t="shared" si="73"/>
        <v>2.2361615732354709E-2</v>
      </c>
      <c r="Q357" s="51">
        <f t="shared" si="74"/>
        <v>1.453351591280019E-2</v>
      </c>
      <c r="R357" s="4">
        <f t="shared" si="69"/>
        <v>-2.6353204732890215E-2</v>
      </c>
      <c r="S357">
        <f t="shared" si="70"/>
        <v>0</v>
      </c>
      <c r="T357">
        <f t="shared" si="71"/>
        <v>0</v>
      </c>
      <c r="U357" s="5">
        <f>0</f>
        <v>0</v>
      </c>
      <c r="V357" s="45">
        <f t="shared" si="75"/>
        <v>0.12131780817495863</v>
      </c>
      <c r="W357" s="45">
        <f t="shared" si="76"/>
        <v>0</v>
      </c>
      <c r="X357" s="45">
        <f t="shared" si="77"/>
        <v>0</v>
      </c>
      <c r="Y357" s="46">
        <f>0</f>
        <v>0</v>
      </c>
      <c r="Z357" s="11"/>
    </row>
    <row r="358" spans="11:26" x14ac:dyDescent="0.45">
      <c r="K358" s="39">
        <f t="shared" si="72"/>
        <v>6.68</v>
      </c>
      <c r="L358" s="40">
        <f t="shared" si="65"/>
        <v>46.68</v>
      </c>
      <c r="M358" s="41">
        <f t="shared" si="66"/>
        <v>41.68</v>
      </c>
      <c r="N358" s="49">
        <f t="shared" si="67"/>
        <v>2.2342353308223092E-2</v>
      </c>
      <c r="O358" s="50">
        <f t="shared" si="68"/>
        <v>1.4520996658780858E-2</v>
      </c>
      <c r="P358" s="50">
        <f t="shared" si="73"/>
        <v>2.2342353308223092E-2</v>
      </c>
      <c r="Q358" s="51">
        <f t="shared" si="74"/>
        <v>1.4520996658780858E-2</v>
      </c>
      <c r="R358" s="4">
        <f t="shared" si="69"/>
        <v>-2.6302387461818014E-2</v>
      </c>
      <c r="S358">
        <f t="shared" si="70"/>
        <v>0</v>
      </c>
      <c r="T358">
        <f t="shared" si="71"/>
        <v>0</v>
      </c>
      <c r="U358" s="5">
        <f>0</f>
        <v>0</v>
      </c>
      <c r="V358" s="45">
        <f t="shared" si="75"/>
        <v>0.12158134022228753</v>
      </c>
      <c r="W358" s="45">
        <f t="shared" si="76"/>
        <v>0</v>
      </c>
      <c r="X358" s="45">
        <f t="shared" si="77"/>
        <v>0</v>
      </c>
      <c r="Y358" s="46">
        <f>0</f>
        <v>0</v>
      </c>
      <c r="Z358" s="11"/>
    </row>
    <row r="359" spans="11:26" x14ac:dyDescent="0.45">
      <c r="K359" s="39">
        <f t="shared" si="72"/>
        <v>6.67</v>
      </c>
      <c r="L359" s="40">
        <f t="shared" si="65"/>
        <v>46.67</v>
      </c>
      <c r="M359" s="41">
        <f t="shared" si="66"/>
        <v>41.67</v>
      </c>
      <c r="N359" s="49">
        <f t="shared" si="67"/>
        <v>2.2323107476854172E-2</v>
      </c>
      <c r="O359" s="50">
        <f t="shared" si="68"/>
        <v>1.450848818891879E-2</v>
      </c>
      <c r="P359" s="50">
        <f t="shared" si="73"/>
        <v>2.2323107476854172E-2</v>
      </c>
      <c r="Q359" s="51">
        <f t="shared" si="74"/>
        <v>1.450848818891879E-2</v>
      </c>
      <c r="R359" s="4">
        <f t="shared" si="69"/>
        <v>-2.6251655108357221E-2</v>
      </c>
      <c r="S359">
        <f t="shared" si="70"/>
        <v>0</v>
      </c>
      <c r="T359">
        <f t="shared" si="71"/>
        <v>0</v>
      </c>
      <c r="U359" s="5">
        <f>0</f>
        <v>0</v>
      </c>
      <c r="V359" s="45">
        <f t="shared" si="75"/>
        <v>0.12184436409690572</v>
      </c>
      <c r="W359" s="45">
        <f t="shared" si="76"/>
        <v>0</v>
      </c>
      <c r="X359" s="45">
        <f t="shared" si="77"/>
        <v>0</v>
      </c>
      <c r="Y359" s="46">
        <f>0</f>
        <v>0</v>
      </c>
      <c r="Z359" s="11"/>
    </row>
    <row r="360" spans="11:26" x14ac:dyDescent="0.45">
      <c r="K360" s="39">
        <f t="shared" si="72"/>
        <v>6.66</v>
      </c>
      <c r="L360" s="40">
        <f t="shared" si="65"/>
        <v>46.66</v>
      </c>
      <c r="M360" s="41">
        <f t="shared" si="66"/>
        <v>41.66</v>
      </c>
      <c r="N360" s="49">
        <f t="shared" si="67"/>
        <v>2.230387822395485E-2</v>
      </c>
      <c r="O360" s="50">
        <f t="shared" si="68"/>
        <v>1.4495990493924447E-2</v>
      </c>
      <c r="P360" s="50">
        <f t="shared" si="73"/>
        <v>2.230387822395485E-2</v>
      </c>
      <c r="Q360" s="51">
        <f t="shared" si="74"/>
        <v>1.4495990493924447E-2</v>
      </c>
      <c r="R360" s="4">
        <f t="shared" si="69"/>
        <v>-2.6201007508084073E-2</v>
      </c>
      <c r="S360">
        <f t="shared" si="70"/>
        <v>0</v>
      </c>
      <c r="T360">
        <f t="shared" si="71"/>
        <v>0</v>
      </c>
      <c r="U360" s="5">
        <f>0</f>
        <v>0</v>
      </c>
      <c r="V360" s="45">
        <f t="shared" si="75"/>
        <v>0.12210688064798929</v>
      </c>
      <c r="W360" s="45">
        <f t="shared" si="76"/>
        <v>0</v>
      </c>
      <c r="X360" s="45">
        <f t="shared" si="77"/>
        <v>0</v>
      </c>
      <c r="Y360" s="46">
        <f>0</f>
        <v>0</v>
      </c>
      <c r="Z360" s="11"/>
    </row>
    <row r="361" spans="11:26" x14ac:dyDescent="0.45">
      <c r="K361" s="39">
        <f t="shared" si="72"/>
        <v>6.65</v>
      </c>
      <c r="L361" s="40">
        <f t="shared" si="65"/>
        <v>46.65</v>
      </c>
      <c r="M361" s="41">
        <f t="shared" si="66"/>
        <v>41.65</v>
      </c>
      <c r="N361" s="49">
        <f t="shared" si="67"/>
        <v>2.2284665535244337E-2</v>
      </c>
      <c r="O361" s="50">
        <f t="shared" si="68"/>
        <v>1.4483503564516303E-2</v>
      </c>
      <c r="P361" s="50">
        <f t="shared" si="73"/>
        <v>2.2284665535244337E-2</v>
      </c>
      <c r="Q361" s="51">
        <f t="shared" si="74"/>
        <v>1.4483503564516303E-2</v>
      </c>
      <c r="R361" s="4">
        <f t="shared" si="69"/>
        <v>-2.6150444496951159E-2</v>
      </c>
      <c r="S361">
        <f t="shared" si="70"/>
        <v>0</v>
      </c>
      <c r="T361">
        <f t="shared" si="71"/>
        <v>0</v>
      </c>
      <c r="U361" s="5">
        <f>0</f>
        <v>0</v>
      </c>
      <c r="V361" s="45">
        <f t="shared" si="75"/>
        <v>0.12236889072307013</v>
      </c>
      <c r="W361" s="45">
        <f t="shared" si="76"/>
        <v>0</v>
      </c>
      <c r="X361" s="45">
        <f t="shared" si="77"/>
        <v>0</v>
      </c>
      <c r="Y361" s="46">
        <f>0</f>
        <v>0</v>
      </c>
      <c r="Z361" s="11"/>
    </row>
    <row r="362" spans="11:26" x14ac:dyDescent="0.45">
      <c r="K362" s="39">
        <f t="shared" si="72"/>
        <v>6.64</v>
      </c>
      <c r="L362" s="40">
        <f t="shared" si="65"/>
        <v>46.64</v>
      </c>
      <c r="M362" s="41">
        <f t="shared" si="66"/>
        <v>41.64</v>
      </c>
      <c r="N362" s="49">
        <f t="shared" si="67"/>
        <v>2.2265469396454147E-2</v>
      </c>
      <c r="O362" s="50">
        <f t="shared" si="68"/>
        <v>1.447102739142082E-2</v>
      </c>
      <c r="P362" s="50">
        <f t="shared" si="73"/>
        <v>2.2265469396454147E-2</v>
      </c>
      <c r="Q362" s="51">
        <f t="shared" si="74"/>
        <v>1.447102739142082E-2</v>
      </c>
      <c r="R362" s="4">
        <f t="shared" si="69"/>
        <v>-2.6099965911286459E-2</v>
      </c>
      <c r="S362">
        <f t="shared" si="70"/>
        <v>0</v>
      </c>
      <c r="T362">
        <f t="shared" si="71"/>
        <v>0</v>
      </c>
      <c r="U362" s="5">
        <f>0</f>
        <v>0</v>
      </c>
      <c r="V362" s="45">
        <f t="shared" si="75"/>
        <v>0.12263039516803964</v>
      </c>
      <c r="W362" s="45">
        <f t="shared" si="76"/>
        <v>0</v>
      </c>
      <c r="X362" s="45">
        <f t="shared" si="77"/>
        <v>0</v>
      </c>
      <c r="Y362" s="46">
        <f>0</f>
        <v>0</v>
      </c>
      <c r="Z362" s="11"/>
    </row>
    <row r="363" spans="11:26" x14ac:dyDescent="0.45">
      <c r="K363" s="39">
        <f t="shared" si="72"/>
        <v>6.63</v>
      </c>
      <c r="L363" s="40">
        <f t="shared" si="65"/>
        <v>46.63</v>
      </c>
      <c r="M363" s="41">
        <f t="shared" si="66"/>
        <v>41.63</v>
      </c>
      <c r="N363" s="49">
        <f t="shared" si="67"/>
        <v>2.2246289793328083E-2</v>
      </c>
      <c r="O363" s="50">
        <f t="shared" si="68"/>
        <v>1.4458561965372445E-2</v>
      </c>
      <c r="P363" s="50">
        <f t="shared" si="73"/>
        <v>2.2246289793328083E-2</v>
      </c>
      <c r="Q363" s="51">
        <f t="shared" si="74"/>
        <v>1.4458561965372445E-2</v>
      </c>
      <c r="R363" s="4">
        <f t="shared" si="69"/>
        <v>-2.6049571587792336E-2</v>
      </c>
      <c r="S363">
        <f t="shared" si="70"/>
        <v>0</v>
      </c>
      <c r="T363">
        <f t="shared" si="71"/>
        <v>0</v>
      </c>
      <c r="U363" s="5">
        <f>0</f>
        <v>0</v>
      </c>
      <c r="V363" s="45">
        <f t="shared" si="75"/>
        <v>0.1228913948271525</v>
      </c>
      <c r="W363" s="45">
        <f t="shared" si="76"/>
        <v>0</v>
      </c>
      <c r="X363" s="45">
        <f t="shared" si="77"/>
        <v>0</v>
      </c>
      <c r="Y363" s="46">
        <f>0</f>
        <v>0</v>
      </c>
      <c r="Z363" s="11"/>
    </row>
    <row r="364" spans="11:26" x14ac:dyDescent="0.45">
      <c r="K364" s="39">
        <f t="shared" si="72"/>
        <v>6.62</v>
      </c>
      <c r="L364" s="40">
        <f t="shared" si="65"/>
        <v>46.62</v>
      </c>
      <c r="M364" s="41">
        <f t="shared" si="66"/>
        <v>41.62</v>
      </c>
      <c r="N364" s="49">
        <f t="shared" si="67"/>
        <v>2.2227126711622209E-2</v>
      </c>
      <c r="O364" s="50">
        <f t="shared" si="68"/>
        <v>1.4446107277113604E-2</v>
      </c>
      <c r="P364" s="50">
        <f t="shared" si="73"/>
        <v>2.2227126711622209E-2</v>
      </c>
      <c r="Q364" s="51">
        <f t="shared" si="74"/>
        <v>1.4446107277113604E-2</v>
      </c>
      <c r="R364" s="4">
        <f t="shared" si="69"/>
        <v>-2.5999261363544555E-2</v>
      </c>
      <c r="S364">
        <f t="shared" si="70"/>
        <v>0</v>
      </c>
      <c r="T364">
        <f t="shared" si="71"/>
        <v>0</v>
      </c>
      <c r="U364" s="5">
        <f>0</f>
        <v>0</v>
      </c>
      <c r="V364" s="45">
        <f t="shared" si="75"/>
        <v>0.12315189054303043</v>
      </c>
      <c r="W364" s="45">
        <f t="shared" si="76"/>
        <v>0</v>
      </c>
      <c r="X364" s="45">
        <f t="shared" si="77"/>
        <v>0</v>
      </c>
      <c r="Y364" s="46">
        <f>0</f>
        <v>0</v>
      </c>
      <c r="Z364" s="11"/>
    </row>
    <row r="365" spans="11:26" x14ac:dyDescent="0.45">
      <c r="K365" s="39">
        <f t="shared" si="72"/>
        <v>6.61</v>
      </c>
      <c r="L365" s="40">
        <f t="shared" si="65"/>
        <v>46.61</v>
      </c>
      <c r="M365" s="41">
        <f t="shared" si="66"/>
        <v>41.61</v>
      </c>
      <c r="N365" s="49">
        <f t="shared" si="67"/>
        <v>2.220798013710492E-2</v>
      </c>
      <c r="O365" s="50">
        <f t="shared" si="68"/>
        <v>1.4433663317394719E-2</v>
      </c>
      <c r="P365" s="50">
        <f t="shared" si="73"/>
        <v>2.220798013710492E-2</v>
      </c>
      <c r="Q365" s="51">
        <f t="shared" si="74"/>
        <v>1.4433663317394719E-2</v>
      </c>
      <c r="R365" s="4">
        <f t="shared" si="69"/>
        <v>-2.5949035075991427E-2</v>
      </c>
      <c r="S365">
        <f t="shared" si="70"/>
        <v>0</v>
      </c>
      <c r="T365">
        <f t="shared" si="71"/>
        <v>0</v>
      </c>
      <c r="U365" s="5">
        <f>0</f>
        <v>0</v>
      </c>
      <c r="V365" s="45">
        <f t="shared" si="75"/>
        <v>0.12341188315666587</v>
      </c>
      <c r="W365" s="45">
        <f t="shared" si="76"/>
        <v>0</v>
      </c>
      <c r="X365" s="45">
        <f t="shared" si="77"/>
        <v>0</v>
      </c>
      <c r="Y365" s="46">
        <f>0</f>
        <v>0</v>
      </c>
      <c r="Z365" s="11"/>
    </row>
    <row r="366" spans="11:26" x14ac:dyDescent="0.45">
      <c r="K366" s="39">
        <f t="shared" si="72"/>
        <v>6.6</v>
      </c>
      <c r="L366" s="40">
        <f t="shared" si="65"/>
        <v>46.6</v>
      </c>
      <c r="M366" s="41">
        <f t="shared" si="66"/>
        <v>41.6</v>
      </c>
      <c r="N366" s="49">
        <f t="shared" si="67"/>
        <v>2.2188850055556805E-2</v>
      </c>
      <c r="O366" s="50">
        <f t="shared" si="68"/>
        <v>1.4421230076974153E-2</v>
      </c>
      <c r="P366" s="50">
        <f t="shared" si="73"/>
        <v>2.2188850055556805E-2</v>
      </c>
      <c r="Q366" s="51">
        <f t="shared" si="74"/>
        <v>1.4421230076974153E-2</v>
      </c>
      <c r="R366" s="4">
        <f t="shared" si="69"/>
        <v>-2.5898892562952646E-2</v>
      </c>
      <c r="S366">
        <f t="shared" si="70"/>
        <v>0</v>
      </c>
      <c r="T366">
        <f t="shared" si="71"/>
        <v>0</v>
      </c>
      <c r="U366" s="5">
        <f>0</f>
        <v>0</v>
      </c>
      <c r="V366" s="45">
        <f t="shared" si="75"/>
        <v>0.12367137350742578</v>
      </c>
      <c r="W366" s="45">
        <f t="shared" si="76"/>
        <v>0</v>
      </c>
      <c r="X366" s="45">
        <f t="shared" si="77"/>
        <v>0</v>
      </c>
      <c r="Y366" s="46">
        <f>0</f>
        <v>0</v>
      </c>
      <c r="Z366" s="11"/>
    </row>
    <row r="367" spans="11:26" x14ac:dyDescent="0.45">
      <c r="K367" s="39">
        <f t="shared" si="72"/>
        <v>6.59</v>
      </c>
      <c r="L367" s="40">
        <f t="shared" si="65"/>
        <v>46.59</v>
      </c>
      <c r="M367" s="41">
        <f t="shared" si="66"/>
        <v>41.59</v>
      </c>
      <c r="N367" s="49">
        <f t="shared" si="67"/>
        <v>2.216973645277073E-2</v>
      </c>
      <c r="O367" s="50">
        <f t="shared" si="68"/>
        <v>1.4408807546618245E-2</v>
      </c>
      <c r="P367" s="50">
        <f t="shared" si="73"/>
        <v>2.216973645277073E-2</v>
      </c>
      <c r="Q367" s="51">
        <f t="shared" si="74"/>
        <v>1.4408807546618245E-2</v>
      </c>
      <c r="R367" s="4">
        <f t="shared" si="69"/>
        <v>-2.5848833662618472E-2</v>
      </c>
      <c r="S367">
        <f t="shared" si="70"/>
        <v>0</v>
      </c>
      <c r="T367">
        <f t="shared" si="71"/>
        <v>0</v>
      </c>
      <c r="U367" s="5">
        <f>0</f>
        <v>0</v>
      </c>
      <c r="V367" s="45">
        <f t="shared" si="75"/>
        <v>0.12393036243305532</v>
      </c>
      <c r="W367" s="45">
        <f t="shared" si="76"/>
        <v>0</v>
      </c>
      <c r="X367" s="45">
        <f t="shared" si="77"/>
        <v>0</v>
      </c>
      <c r="Y367" s="46">
        <f>0</f>
        <v>0</v>
      </c>
      <c r="Z367" s="11"/>
    </row>
    <row r="368" spans="11:26" x14ac:dyDescent="0.45">
      <c r="K368" s="39">
        <f t="shared" si="72"/>
        <v>6.58</v>
      </c>
      <c r="L368" s="40">
        <f t="shared" si="65"/>
        <v>46.58</v>
      </c>
      <c r="M368" s="41">
        <f t="shared" si="66"/>
        <v>41.58</v>
      </c>
      <c r="N368" s="49">
        <f t="shared" si="67"/>
        <v>2.2150639314551794E-2</v>
      </c>
      <c r="O368" s="50">
        <f t="shared" si="68"/>
        <v>1.4396395717101272E-2</v>
      </c>
      <c r="P368" s="50">
        <f t="shared" si="73"/>
        <v>2.2150639314551794E-2</v>
      </c>
      <c r="Q368" s="51">
        <f t="shared" si="74"/>
        <v>1.4396395717101272E-2</v>
      </c>
      <c r="R368" s="4">
        <f t="shared" si="69"/>
        <v>-2.5798858213548704E-2</v>
      </c>
      <c r="S368">
        <f t="shared" si="70"/>
        <v>0</v>
      </c>
      <c r="T368">
        <f t="shared" si="71"/>
        <v>0</v>
      </c>
      <c r="U368" s="5">
        <f>0</f>
        <v>0</v>
      </c>
      <c r="V368" s="45">
        <f t="shared" si="75"/>
        <v>0.1241888507696815</v>
      </c>
      <c r="W368" s="45">
        <f t="shared" si="76"/>
        <v>0</v>
      </c>
      <c r="X368" s="45">
        <f t="shared" si="77"/>
        <v>0</v>
      </c>
      <c r="Y368" s="46">
        <f>0</f>
        <v>0</v>
      </c>
      <c r="Z368" s="11"/>
    </row>
    <row r="369" spans="11:26" x14ac:dyDescent="0.45">
      <c r="K369" s="39">
        <f t="shared" si="72"/>
        <v>6.57</v>
      </c>
      <c r="L369" s="40">
        <f t="shared" si="65"/>
        <v>46.57</v>
      </c>
      <c r="M369" s="41">
        <f t="shared" si="66"/>
        <v>41.57</v>
      </c>
      <c r="N369" s="49">
        <f t="shared" si="67"/>
        <v>2.2131558626717323E-2</v>
      </c>
      <c r="O369" s="50">
        <f t="shared" si="68"/>
        <v>1.438399457920549E-2</v>
      </c>
      <c r="P369" s="50">
        <f t="shared" si="73"/>
        <v>2.2131558626717323E-2</v>
      </c>
      <c r="Q369" s="51">
        <f t="shared" si="74"/>
        <v>1.438399457920549E-2</v>
      </c>
      <c r="R369" s="4">
        <f t="shared" si="69"/>
        <v>-2.5748966054671762E-2</v>
      </c>
      <c r="S369">
        <f t="shared" si="70"/>
        <v>0</v>
      </c>
      <c r="T369">
        <f t="shared" si="71"/>
        <v>0</v>
      </c>
      <c r="U369" s="5">
        <f>0</f>
        <v>0</v>
      </c>
      <c r="V369" s="45">
        <f t="shared" si="75"/>
        <v>0.124446839351817</v>
      </c>
      <c r="W369" s="45">
        <f t="shared" si="76"/>
        <v>0</v>
      </c>
      <c r="X369" s="45">
        <f t="shared" si="77"/>
        <v>0</v>
      </c>
      <c r="Y369" s="46">
        <f>0</f>
        <v>0</v>
      </c>
      <c r="Z369" s="11"/>
    </row>
    <row r="370" spans="11:26" x14ac:dyDescent="0.45">
      <c r="K370" s="39">
        <f t="shared" si="72"/>
        <v>6.56</v>
      </c>
      <c r="L370" s="40">
        <f t="shared" si="65"/>
        <v>46.56</v>
      </c>
      <c r="M370" s="41">
        <f t="shared" si="66"/>
        <v>41.56</v>
      </c>
      <c r="N370" s="49">
        <f t="shared" si="67"/>
        <v>2.2112494375096863E-2</v>
      </c>
      <c r="O370" s="50">
        <f t="shared" si="68"/>
        <v>1.4371604123721063E-2</v>
      </c>
      <c r="P370" s="50">
        <f t="shared" si="73"/>
        <v>2.2112494375096863E-2</v>
      </c>
      <c r="Q370" s="51">
        <f t="shared" si="74"/>
        <v>1.4371604123721063E-2</v>
      </c>
      <c r="R370" s="4">
        <f t="shared" si="69"/>
        <v>-2.5699157025283661E-2</v>
      </c>
      <c r="S370">
        <f t="shared" si="70"/>
        <v>0</v>
      </c>
      <c r="T370">
        <f t="shared" si="71"/>
        <v>0</v>
      </c>
      <c r="U370" s="5">
        <f>0</f>
        <v>0</v>
      </c>
      <c r="V370" s="45">
        <f t="shared" si="75"/>
        <v>0.12470432901236371</v>
      </c>
      <c r="W370" s="45">
        <f t="shared" si="76"/>
        <v>0</v>
      </c>
      <c r="X370" s="45">
        <f t="shared" si="77"/>
        <v>0</v>
      </c>
      <c r="Y370" s="46">
        <f>0</f>
        <v>0</v>
      </c>
      <c r="Z370" s="11"/>
    </row>
    <row r="371" spans="11:26" x14ac:dyDescent="0.45">
      <c r="K371" s="39">
        <f t="shared" si="72"/>
        <v>6.55</v>
      </c>
      <c r="L371" s="40">
        <f t="shared" si="65"/>
        <v>46.55</v>
      </c>
      <c r="M371" s="41">
        <f t="shared" si="66"/>
        <v>41.55</v>
      </c>
      <c r="N371" s="49">
        <f t="shared" si="67"/>
        <v>2.2093446545532143E-2</v>
      </c>
      <c r="O371" s="50">
        <f t="shared" si="68"/>
        <v>1.4359224341446097E-2</v>
      </c>
      <c r="P371" s="50">
        <f t="shared" si="73"/>
        <v>2.2093446545532143E-2</v>
      </c>
      <c r="Q371" s="51">
        <f t="shared" si="74"/>
        <v>1.4359224341446097E-2</v>
      </c>
      <c r="R371" s="4">
        <f t="shared" si="69"/>
        <v>-2.5649430965047113E-2</v>
      </c>
      <c r="S371">
        <f t="shared" si="70"/>
        <v>0</v>
      </c>
      <c r="T371">
        <f t="shared" si="71"/>
        <v>0</v>
      </c>
      <c r="U371" s="5">
        <f>0</f>
        <v>0</v>
      </c>
      <c r="V371" s="45">
        <f t="shared" si="75"/>
        <v>0.12496132058261655</v>
      </c>
      <c r="W371" s="45">
        <f t="shared" si="76"/>
        <v>0</v>
      </c>
      <c r="X371" s="45">
        <f t="shared" si="77"/>
        <v>0</v>
      </c>
      <c r="Y371" s="46">
        <f>0</f>
        <v>0</v>
      </c>
      <c r="Z371" s="11"/>
    </row>
    <row r="372" spans="11:26" x14ac:dyDescent="0.45">
      <c r="K372" s="39">
        <f t="shared" si="72"/>
        <v>6.54</v>
      </c>
      <c r="L372" s="40">
        <f t="shared" si="65"/>
        <v>46.54</v>
      </c>
      <c r="M372" s="41">
        <f t="shared" si="66"/>
        <v>41.54</v>
      </c>
      <c r="N372" s="49">
        <f t="shared" si="67"/>
        <v>2.2074415123877152E-2</v>
      </c>
      <c r="O372" s="50">
        <f t="shared" si="68"/>
        <v>1.434685522318664E-2</v>
      </c>
      <c r="P372" s="50">
        <f t="shared" si="73"/>
        <v>2.2074415123877152E-2</v>
      </c>
      <c r="Q372" s="51">
        <f t="shared" si="74"/>
        <v>1.434685522318664E-2</v>
      </c>
      <c r="R372" s="4">
        <f t="shared" si="69"/>
        <v>-2.5599787713990591E-2</v>
      </c>
      <c r="S372">
        <f t="shared" si="70"/>
        <v>0</v>
      </c>
      <c r="T372">
        <f t="shared" si="71"/>
        <v>0</v>
      </c>
      <c r="U372" s="5">
        <f>0</f>
        <v>0</v>
      </c>
      <c r="V372" s="45">
        <f t="shared" si="75"/>
        <v>0.12521781489226702</v>
      </c>
      <c r="W372" s="45">
        <f t="shared" si="76"/>
        <v>0</v>
      </c>
      <c r="X372" s="45">
        <f t="shared" si="77"/>
        <v>0</v>
      </c>
      <c r="Y372" s="46">
        <f>0</f>
        <v>0</v>
      </c>
      <c r="Z372" s="11"/>
    </row>
    <row r="373" spans="11:26" x14ac:dyDescent="0.45">
      <c r="K373" s="39">
        <f t="shared" si="72"/>
        <v>6.53</v>
      </c>
      <c r="L373" s="40">
        <f t="shared" si="65"/>
        <v>46.53</v>
      </c>
      <c r="M373" s="41">
        <f t="shared" si="66"/>
        <v>41.53</v>
      </c>
      <c r="N373" s="49">
        <f t="shared" si="67"/>
        <v>2.2055400095998004E-2</v>
      </c>
      <c r="O373" s="50">
        <f t="shared" si="68"/>
        <v>1.4334496759756642E-2</v>
      </c>
      <c r="P373" s="50">
        <f t="shared" si="73"/>
        <v>2.2055400095998004E-2</v>
      </c>
      <c r="Q373" s="51">
        <f t="shared" si="74"/>
        <v>1.4334496759756642E-2</v>
      </c>
      <c r="R373" s="4">
        <f t="shared" si="69"/>
        <v>-2.5550227112507318E-2</v>
      </c>
      <c r="S373">
        <f t="shared" si="70"/>
        <v>0</v>
      </c>
      <c r="T373">
        <f t="shared" si="71"/>
        <v>0</v>
      </c>
      <c r="U373" s="5">
        <f>0</f>
        <v>0</v>
      </c>
      <c r="V373" s="45">
        <f t="shared" si="75"/>
        <v>0.12547381276940692</v>
      </c>
      <c r="W373" s="45">
        <f t="shared" si="76"/>
        <v>0</v>
      </c>
      <c r="X373" s="45">
        <f t="shared" si="77"/>
        <v>0</v>
      </c>
      <c r="Y373" s="46">
        <f>0</f>
        <v>0</v>
      </c>
      <c r="Z373" s="11"/>
    </row>
    <row r="374" spans="11:26" x14ac:dyDescent="0.45">
      <c r="K374" s="39">
        <f t="shared" si="72"/>
        <v>6.52</v>
      </c>
      <c r="L374" s="40">
        <f t="shared" si="65"/>
        <v>46.519999999999996</v>
      </c>
      <c r="M374" s="41">
        <f t="shared" si="66"/>
        <v>41.519999999999996</v>
      </c>
      <c r="N374" s="49">
        <f t="shared" si="67"/>
        <v>2.2036401447772996E-2</v>
      </c>
      <c r="O374" s="50">
        <f t="shared" si="68"/>
        <v>1.4322148941977964E-2</v>
      </c>
      <c r="P374" s="50">
        <f t="shared" si="73"/>
        <v>2.2036401447772996E-2</v>
      </c>
      <c r="Q374" s="51">
        <f t="shared" si="74"/>
        <v>1.4322148941977964E-2</v>
      </c>
      <c r="R374" s="4">
        <f t="shared" si="69"/>
        <v>-2.5500749001354309E-2</v>
      </c>
      <c r="S374">
        <f t="shared" si="70"/>
        <v>0</v>
      </c>
      <c r="T374">
        <f t="shared" si="71"/>
        <v>0</v>
      </c>
      <c r="U374" s="5">
        <f>0</f>
        <v>0</v>
      </c>
      <c r="V374" s="45">
        <f t="shared" si="75"/>
        <v>0.125729315040532</v>
      </c>
      <c r="W374" s="45">
        <f t="shared" si="76"/>
        <v>0</v>
      </c>
      <c r="X374" s="45">
        <f t="shared" si="77"/>
        <v>0</v>
      </c>
      <c r="Y374" s="46">
        <f>0</f>
        <v>0</v>
      </c>
      <c r="Z374" s="11"/>
    </row>
    <row r="375" spans="11:26" x14ac:dyDescent="0.45">
      <c r="K375" s="39">
        <f t="shared" si="72"/>
        <v>6.51</v>
      </c>
      <c r="L375" s="40">
        <f t="shared" si="65"/>
        <v>46.51</v>
      </c>
      <c r="M375" s="41">
        <f t="shared" si="66"/>
        <v>41.51</v>
      </c>
      <c r="N375" s="49">
        <f t="shared" si="67"/>
        <v>2.2017419165092617E-2</v>
      </c>
      <c r="O375" s="50">
        <f t="shared" si="68"/>
        <v>1.4309811760680396E-2</v>
      </c>
      <c r="P375" s="50">
        <f t="shared" si="73"/>
        <v>2.2017419165092617E-2</v>
      </c>
      <c r="Q375" s="51">
        <f t="shared" si="74"/>
        <v>1.4309811760680396E-2</v>
      </c>
      <c r="R375" s="4">
        <f t="shared" si="69"/>
        <v>-2.545135322165154E-2</v>
      </c>
      <c r="S375">
        <f t="shared" si="70"/>
        <v>0</v>
      </c>
      <c r="T375">
        <f t="shared" si="71"/>
        <v>0</v>
      </c>
      <c r="U375" s="5">
        <f>0</f>
        <v>0</v>
      </c>
      <c r="V375" s="45">
        <f t="shared" si="75"/>
        <v>0.12598432253054553</v>
      </c>
      <c r="W375" s="45">
        <f t="shared" si="76"/>
        <v>0</v>
      </c>
      <c r="X375" s="45">
        <f t="shared" si="77"/>
        <v>0</v>
      </c>
      <c r="Y375" s="46">
        <f>0</f>
        <v>0</v>
      </c>
      <c r="Z375" s="11"/>
    </row>
    <row r="376" spans="11:26" x14ac:dyDescent="0.45">
      <c r="K376" s="39">
        <f t="shared" si="72"/>
        <v>6.5</v>
      </c>
      <c r="L376" s="40">
        <f t="shared" si="65"/>
        <v>46.5</v>
      </c>
      <c r="M376" s="41">
        <f t="shared" si="66"/>
        <v>41.5</v>
      </c>
      <c r="N376" s="49">
        <f t="shared" si="67"/>
        <v>2.1998453233859478E-2</v>
      </c>
      <c r="O376" s="50">
        <f t="shared" si="68"/>
        <v>1.4297485206701604E-2</v>
      </c>
      <c r="P376" s="50">
        <f t="shared" si="73"/>
        <v>2.1998453233859478E-2</v>
      </c>
      <c r="Q376" s="51">
        <f t="shared" si="74"/>
        <v>1.4297485206701604E-2</v>
      </c>
      <c r="R376" s="4">
        <f t="shared" si="69"/>
        <v>-2.5402039614880887E-2</v>
      </c>
      <c r="S376">
        <f t="shared" si="70"/>
        <v>0</v>
      </c>
      <c r="T376">
        <f t="shared" si="71"/>
        <v>0</v>
      </c>
      <c r="U376" s="5">
        <f>0</f>
        <v>0</v>
      </c>
      <c r="V376" s="45">
        <f t="shared" si="75"/>
        <v>0.12623883606276204</v>
      </c>
      <c r="W376" s="45">
        <f t="shared" si="76"/>
        <v>0</v>
      </c>
      <c r="X376" s="45">
        <f t="shared" si="77"/>
        <v>0</v>
      </c>
      <c r="Y376" s="46">
        <f>0</f>
        <v>0</v>
      </c>
      <c r="Z376" s="11"/>
    </row>
    <row r="377" spans="11:26" x14ac:dyDescent="0.45">
      <c r="K377" s="39">
        <f t="shared" si="72"/>
        <v>6.49</v>
      </c>
      <c r="L377" s="40">
        <f t="shared" si="65"/>
        <v>46.49</v>
      </c>
      <c r="M377" s="41">
        <f t="shared" si="66"/>
        <v>41.49</v>
      </c>
      <c r="N377" s="49">
        <f t="shared" si="67"/>
        <v>2.1979503639988355E-2</v>
      </c>
      <c r="O377" s="50">
        <f t="shared" si="68"/>
        <v>1.4285169270887157E-2</v>
      </c>
      <c r="P377" s="50">
        <f t="shared" si="73"/>
        <v>2.1979503639988355E-2</v>
      </c>
      <c r="Q377" s="51">
        <f t="shared" si="74"/>
        <v>1.4285169270887157E-2</v>
      </c>
      <c r="R377" s="4">
        <f t="shared" si="69"/>
        <v>-2.535280802288524E-2</v>
      </c>
      <c r="S377">
        <f t="shared" si="70"/>
        <v>0</v>
      </c>
      <c r="T377">
        <f t="shared" si="71"/>
        <v>0</v>
      </c>
      <c r="U377" s="5">
        <f>0</f>
        <v>0</v>
      </c>
      <c r="V377" s="45">
        <f t="shared" si="75"/>
        <v>0.12649285645891084</v>
      </c>
      <c r="W377" s="45">
        <f t="shared" si="76"/>
        <v>0</v>
      </c>
      <c r="X377" s="45">
        <f t="shared" si="77"/>
        <v>0</v>
      </c>
      <c r="Y377" s="46">
        <f>0</f>
        <v>0</v>
      </c>
      <c r="Z377" s="11"/>
    </row>
    <row r="378" spans="11:26" x14ac:dyDescent="0.45">
      <c r="K378" s="39">
        <f t="shared" si="72"/>
        <v>6.48</v>
      </c>
      <c r="L378" s="40">
        <f t="shared" si="65"/>
        <v>46.480000000000004</v>
      </c>
      <c r="M378" s="41">
        <f t="shared" si="66"/>
        <v>41.480000000000004</v>
      </c>
      <c r="N378" s="49">
        <f t="shared" si="67"/>
        <v>2.196057036940615E-2</v>
      </c>
      <c r="O378" s="50">
        <f t="shared" si="68"/>
        <v>1.4272863944090506E-2</v>
      </c>
      <c r="P378" s="50">
        <f t="shared" si="73"/>
        <v>2.196057036940615E-2</v>
      </c>
      <c r="Q378" s="51">
        <f t="shared" si="74"/>
        <v>1.4272863944090506E-2</v>
      </c>
      <c r="R378" s="4">
        <f t="shared" si="69"/>
        <v>-2.5303658287867566E-2</v>
      </c>
      <c r="S378">
        <f t="shared" si="70"/>
        <v>0</v>
      </c>
      <c r="T378">
        <f t="shared" si="71"/>
        <v>0</v>
      </c>
      <c r="U378" s="5">
        <f>0</f>
        <v>0</v>
      </c>
      <c r="V378" s="45">
        <f t="shared" si="75"/>
        <v>0.12674638453913969</v>
      </c>
      <c r="W378" s="45">
        <f t="shared" si="76"/>
        <v>0</v>
      </c>
      <c r="X378" s="45">
        <f t="shared" si="77"/>
        <v>0</v>
      </c>
      <c r="Y378" s="46">
        <f>0</f>
        <v>0</v>
      </c>
      <c r="Z378" s="11"/>
    </row>
    <row r="379" spans="11:26" x14ac:dyDescent="0.45">
      <c r="K379" s="39">
        <f t="shared" si="72"/>
        <v>6.47</v>
      </c>
      <c r="L379" s="40">
        <f t="shared" si="65"/>
        <v>46.47</v>
      </c>
      <c r="M379" s="41">
        <f t="shared" si="66"/>
        <v>41.47</v>
      </c>
      <c r="N379" s="49">
        <f t="shared" si="67"/>
        <v>2.1941653408051869E-2</v>
      </c>
      <c r="O379" s="50">
        <f t="shared" si="68"/>
        <v>1.4260569217172966E-2</v>
      </c>
      <c r="P379" s="50">
        <f t="shared" si="73"/>
        <v>2.1941653408051869E-2</v>
      </c>
      <c r="Q379" s="51">
        <f t="shared" si="74"/>
        <v>1.4260569217172966E-2</v>
      </c>
      <c r="R379" s="4">
        <f t="shared" si="69"/>
        <v>-2.5254590252389929E-2</v>
      </c>
      <c r="S379">
        <f t="shared" si="70"/>
        <v>0</v>
      </c>
      <c r="T379">
        <f t="shared" si="71"/>
        <v>0</v>
      </c>
      <c r="U379" s="5">
        <f>0</f>
        <v>0</v>
      </c>
      <c r="V379" s="45">
        <f t="shared" si="75"/>
        <v>0.12699942112201837</v>
      </c>
      <c r="W379" s="45">
        <f t="shared" si="76"/>
        <v>0</v>
      </c>
      <c r="X379" s="45">
        <f t="shared" si="77"/>
        <v>0</v>
      </c>
      <c r="Y379" s="46">
        <f>0</f>
        <v>0</v>
      </c>
      <c r="Z379" s="11"/>
    </row>
    <row r="380" spans="11:26" x14ac:dyDescent="0.45">
      <c r="K380" s="39">
        <f t="shared" si="72"/>
        <v>6.46</v>
      </c>
      <c r="L380" s="40">
        <f t="shared" si="65"/>
        <v>46.46</v>
      </c>
      <c r="M380" s="41">
        <f t="shared" si="66"/>
        <v>41.46</v>
      </c>
      <c r="N380" s="49">
        <f t="shared" si="67"/>
        <v>2.1922752741876706E-2</v>
      </c>
      <c r="O380" s="50">
        <f t="shared" si="68"/>
        <v>1.4248285081003769E-2</v>
      </c>
      <c r="P380" s="50">
        <f t="shared" si="73"/>
        <v>2.1922752741876706E-2</v>
      </c>
      <c r="Q380" s="51">
        <f t="shared" si="74"/>
        <v>1.4248285081003769E-2</v>
      </c>
      <c r="R380" s="4">
        <f t="shared" si="69"/>
        <v>-2.5205603759372704E-2</v>
      </c>
      <c r="S380">
        <f t="shared" si="70"/>
        <v>0</v>
      </c>
      <c r="T380">
        <f t="shared" si="71"/>
        <v>0</v>
      </c>
      <c r="U380" s="5">
        <f>0</f>
        <v>0</v>
      </c>
      <c r="V380" s="45">
        <f t="shared" si="75"/>
        <v>0.12725196702454228</v>
      </c>
      <c r="W380" s="45">
        <f t="shared" si="76"/>
        <v>0</v>
      </c>
      <c r="X380" s="45">
        <f t="shared" si="77"/>
        <v>0</v>
      </c>
      <c r="Y380" s="46">
        <f>0</f>
        <v>0</v>
      </c>
      <c r="Z380" s="11"/>
    </row>
    <row r="381" spans="11:26" x14ac:dyDescent="0.45">
      <c r="K381" s="39">
        <f t="shared" si="72"/>
        <v>6.45</v>
      </c>
      <c r="L381" s="40">
        <f t="shared" si="65"/>
        <v>46.45</v>
      </c>
      <c r="M381" s="41">
        <f t="shared" si="66"/>
        <v>41.45</v>
      </c>
      <c r="N381" s="49">
        <f t="shared" si="67"/>
        <v>2.190386835684385E-2</v>
      </c>
      <c r="O381" s="50">
        <f t="shared" si="68"/>
        <v>1.4236011526459976E-2</v>
      </c>
      <c r="P381" s="50">
        <f t="shared" si="73"/>
        <v>2.190386835684385E-2</v>
      </c>
      <c r="Q381" s="51">
        <f t="shared" si="74"/>
        <v>1.4236011526459976E-2</v>
      </c>
      <c r="R381" s="4">
        <f t="shared" si="69"/>
        <v>-2.5156698652093426E-2</v>
      </c>
      <c r="S381">
        <f t="shared" si="70"/>
        <v>0</v>
      </c>
      <c r="T381">
        <f t="shared" si="71"/>
        <v>0</v>
      </c>
      <c r="U381" s="5">
        <f>0</f>
        <v>0</v>
      </c>
      <c r="V381" s="45">
        <f t="shared" si="75"/>
        <v>0.12750402306213601</v>
      </c>
      <c r="W381" s="45">
        <f t="shared" si="76"/>
        <v>0</v>
      </c>
      <c r="X381" s="45">
        <f t="shared" si="77"/>
        <v>0</v>
      </c>
      <c r="Y381" s="46">
        <f>0</f>
        <v>0</v>
      </c>
      <c r="Z381" s="11"/>
    </row>
    <row r="382" spans="11:26" x14ac:dyDescent="0.45">
      <c r="K382" s="39">
        <f t="shared" si="72"/>
        <v>6.44</v>
      </c>
      <c r="L382" s="40">
        <f t="shared" si="65"/>
        <v>46.44</v>
      </c>
      <c r="M382" s="41">
        <f t="shared" si="66"/>
        <v>41.44</v>
      </c>
      <c r="N382" s="49">
        <f t="shared" si="67"/>
        <v>2.1885000238928618E-2</v>
      </c>
      <c r="O382" s="50">
        <f t="shared" si="68"/>
        <v>1.4223748544426491E-2</v>
      </c>
      <c r="P382" s="50">
        <f t="shared" si="73"/>
        <v>2.1885000238928618E-2</v>
      </c>
      <c r="Q382" s="51">
        <f t="shared" si="74"/>
        <v>1.4223748544426491E-2</v>
      </c>
      <c r="R382" s="4">
        <f t="shared" si="69"/>
        <v>-2.5107874774186009E-2</v>
      </c>
      <c r="S382">
        <f t="shared" si="70"/>
        <v>0</v>
      </c>
      <c r="T382">
        <f t="shared" si="71"/>
        <v>0</v>
      </c>
      <c r="U382" s="5">
        <f>0</f>
        <v>0</v>
      </c>
      <c r="V382" s="45">
        <f t="shared" si="75"/>
        <v>0.12775559004865694</v>
      </c>
      <c r="W382" s="45">
        <f t="shared" si="76"/>
        <v>0</v>
      </c>
      <c r="X382" s="45">
        <f t="shared" si="77"/>
        <v>0</v>
      </c>
      <c r="Y382" s="46">
        <f>0</f>
        <v>0</v>
      </c>
      <c r="Z382" s="11"/>
    </row>
    <row r="383" spans="11:26" x14ac:dyDescent="0.45">
      <c r="K383" s="39">
        <f t="shared" si="72"/>
        <v>6.43</v>
      </c>
      <c r="L383" s="40">
        <f t="shared" si="65"/>
        <v>46.43</v>
      </c>
      <c r="M383" s="41">
        <f t="shared" si="66"/>
        <v>41.43</v>
      </c>
      <c r="N383" s="49">
        <f t="shared" si="67"/>
        <v>2.1866148374118467E-2</v>
      </c>
      <c r="O383" s="50">
        <f t="shared" si="68"/>
        <v>1.4211496125796121E-2</v>
      </c>
      <c r="P383" s="50">
        <f t="shared" si="73"/>
        <v>2.1866148374118467E-2</v>
      </c>
      <c r="Q383" s="51">
        <f t="shared" si="74"/>
        <v>1.4211496125796121E-2</v>
      </c>
      <c r="R383" s="4">
        <f t="shared" si="69"/>
        <v>-2.5059131969639867E-2</v>
      </c>
      <c r="S383">
        <f t="shared" si="70"/>
        <v>0</v>
      </c>
      <c r="T383">
        <f t="shared" si="71"/>
        <v>0</v>
      </c>
      <c r="U383" s="5">
        <f>0</f>
        <v>0</v>
      </c>
      <c r="V383" s="45">
        <f t="shared" si="75"/>
        <v>0.1280066687963988</v>
      </c>
      <c r="W383" s="45">
        <f t="shared" si="76"/>
        <v>0</v>
      </c>
      <c r="X383" s="45">
        <f t="shared" si="77"/>
        <v>0</v>
      </c>
      <c r="Y383" s="46">
        <f>0</f>
        <v>0</v>
      </c>
      <c r="Z383" s="11"/>
    </row>
    <row r="384" spans="11:26" x14ac:dyDescent="0.45">
      <c r="K384" s="39">
        <f t="shared" si="72"/>
        <v>6.42</v>
      </c>
      <c r="L384" s="40">
        <f t="shared" si="65"/>
        <v>46.42</v>
      </c>
      <c r="M384" s="41">
        <f t="shared" si="66"/>
        <v>41.42</v>
      </c>
      <c r="N384" s="49">
        <f t="shared" si="67"/>
        <v>2.1847312748412864E-2</v>
      </c>
      <c r="O384" s="50">
        <f t="shared" si="68"/>
        <v>1.4199254261469486E-2</v>
      </c>
      <c r="P384" s="50">
        <f t="shared" si="73"/>
        <v>2.1847312748412864E-2</v>
      </c>
      <c r="Q384" s="51">
        <f t="shared" si="74"/>
        <v>1.4199254261469486E-2</v>
      </c>
      <c r="R384" s="4">
        <f t="shared" si="69"/>
        <v>-2.5010470082798855E-2</v>
      </c>
      <c r="S384">
        <f t="shared" si="70"/>
        <v>0</v>
      </c>
      <c r="T384">
        <f t="shared" si="71"/>
        <v>0</v>
      </c>
      <c r="U384" s="5">
        <f>0</f>
        <v>0</v>
      </c>
      <c r="V384" s="45">
        <f t="shared" si="75"/>
        <v>0.1282572601160952</v>
      </c>
      <c r="W384" s="45">
        <f t="shared" si="76"/>
        <v>0</v>
      </c>
      <c r="X384" s="45">
        <f t="shared" si="77"/>
        <v>0</v>
      </c>
      <c r="Y384" s="46">
        <f>0</f>
        <v>0</v>
      </c>
      <c r="Z384" s="11"/>
    </row>
    <row r="385" spans="11:26" x14ac:dyDescent="0.45">
      <c r="K385" s="39">
        <f t="shared" si="72"/>
        <v>6.41</v>
      </c>
      <c r="L385" s="40">
        <f t="shared" si="65"/>
        <v>46.41</v>
      </c>
      <c r="M385" s="41">
        <f t="shared" si="66"/>
        <v>41.41</v>
      </c>
      <c r="N385" s="49">
        <f t="shared" si="67"/>
        <v>2.1828493347823334E-2</v>
      </c>
      <c r="O385" s="50">
        <f t="shared" si="68"/>
        <v>1.4187022942355023E-2</v>
      </c>
      <c r="P385" s="50">
        <f t="shared" si="73"/>
        <v>2.1828493347823334E-2</v>
      </c>
      <c r="Q385" s="51">
        <f t="shared" si="74"/>
        <v>1.4187022942355023E-2</v>
      </c>
      <c r="R385" s="4">
        <f t="shared" si="69"/>
        <v>-2.496188895836041E-2</v>
      </c>
      <c r="S385">
        <f t="shared" si="70"/>
        <v>0</v>
      </c>
      <c r="T385">
        <f t="shared" si="71"/>
        <v>0</v>
      </c>
      <c r="U385" s="5">
        <f>0</f>
        <v>0</v>
      </c>
      <c r="V385" s="45">
        <f t="shared" si="75"/>
        <v>0.12850736481692318</v>
      </c>
      <c r="W385" s="45">
        <f t="shared" si="76"/>
        <v>0</v>
      </c>
      <c r="X385" s="45">
        <f t="shared" si="77"/>
        <v>0</v>
      </c>
      <c r="Y385" s="46">
        <f>0</f>
        <v>0</v>
      </c>
      <c r="Z385" s="11"/>
    </row>
    <row r="386" spans="11:26" x14ac:dyDescent="0.45">
      <c r="K386" s="39">
        <f t="shared" si="72"/>
        <v>6.4</v>
      </c>
      <c r="L386" s="40">
        <f t="shared" si="65"/>
        <v>46.4</v>
      </c>
      <c r="M386" s="41">
        <f t="shared" si="66"/>
        <v>41.4</v>
      </c>
      <c r="N386" s="49">
        <f t="shared" si="67"/>
        <v>2.1809690158373491E-2</v>
      </c>
      <c r="O386" s="50">
        <f t="shared" si="68"/>
        <v>1.4174802159369058E-2</v>
      </c>
      <c r="P386" s="50">
        <f t="shared" si="73"/>
        <v>2.1809690158373491E-2</v>
      </c>
      <c r="Q386" s="51">
        <f t="shared" si="74"/>
        <v>1.4174802159369058E-2</v>
      </c>
      <c r="R386" s="4">
        <f t="shared" si="69"/>
        <v>-2.4913388441374709E-2</v>
      </c>
      <c r="S386">
        <f t="shared" si="70"/>
        <v>0</v>
      </c>
      <c r="T386">
        <f t="shared" si="71"/>
        <v>0</v>
      </c>
      <c r="U386" s="5">
        <f>0</f>
        <v>0</v>
      </c>
      <c r="V386" s="45">
        <f t="shared" si="75"/>
        <v>0.12875698370650679</v>
      </c>
      <c r="W386" s="45">
        <f t="shared" si="76"/>
        <v>0</v>
      </c>
      <c r="X386" s="45">
        <f t="shared" si="77"/>
        <v>0</v>
      </c>
      <c r="Y386" s="46">
        <f>0</f>
        <v>0</v>
      </c>
      <c r="Z386" s="11"/>
    </row>
    <row r="387" spans="11:26" x14ac:dyDescent="0.45">
      <c r="K387" s="39">
        <f t="shared" si="72"/>
        <v>6.39</v>
      </c>
      <c r="L387" s="40">
        <f t="shared" si="65"/>
        <v>46.39</v>
      </c>
      <c r="M387" s="41">
        <f t="shared" si="66"/>
        <v>41.39</v>
      </c>
      <c r="N387" s="49">
        <f t="shared" si="67"/>
        <v>2.1790903166098958E-2</v>
      </c>
      <c r="O387" s="50">
        <f t="shared" si="68"/>
        <v>1.41625919034357E-2</v>
      </c>
      <c r="P387" s="50">
        <f t="shared" si="73"/>
        <v>2.1790903166098958E-2</v>
      </c>
      <c r="Q387" s="51">
        <f t="shared" si="74"/>
        <v>1.41625919034357E-2</v>
      </c>
      <c r="R387" s="4">
        <f t="shared" si="69"/>
        <v>-2.4864968377243665E-2</v>
      </c>
      <c r="S387">
        <f t="shared" si="70"/>
        <v>0</v>
      </c>
      <c r="T387">
        <f t="shared" si="71"/>
        <v>0</v>
      </c>
      <c r="U387" s="5">
        <f>0</f>
        <v>0</v>
      </c>
      <c r="V387" s="45">
        <f t="shared" si="75"/>
        <v>0.12900611759092054</v>
      </c>
      <c r="W387" s="45">
        <f t="shared" si="76"/>
        <v>0</v>
      </c>
      <c r="X387" s="45">
        <f t="shared" si="77"/>
        <v>0</v>
      </c>
      <c r="Y387" s="46">
        <f>0</f>
        <v>0</v>
      </c>
      <c r="Z387" s="11"/>
    </row>
    <row r="388" spans="11:26" x14ac:dyDescent="0.45">
      <c r="K388" s="39">
        <f t="shared" si="72"/>
        <v>6.38</v>
      </c>
      <c r="L388" s="40">
        <f t="shared" si="65"/>
        <v>46.38</v>
      </c>
      <c r="M388" s="41">
        <f t="shared" si="66"/>
        <v>41.38</v>
      </c>
      <c r="N388" s="49">
        <f t="shared" si="67"/>
        <v>2.1772132357047395E-2</v>
      </c>
      <c r="O388" s="50">
        <f t="shared" si="68"/>
        <v>1.4150392165486875E-2</v>
      </c>
      <c r="P388" s="50">
        <f t="shared" si="73"/>
        <v>2.1772132357047395E-2</v>
      </c>
      <c r="Q388" s="51">
        <f t="shared" si="74"/>
        <v>1.4150392165486875E-2</v>
      </c>
      <c r="R388" s="4">
        <f t="shared" si="69"/>
        <v>-2.4816628611720001E-2</v>
      </c>
      <c r="S388">
        <f t="shared" si="70"/>
        <v>0</v>
      </c>
      <c r="T388">
        <f t="shared" si="71"/>
        <v>0</v>
      </c>
      <c r="U388" s="5">
        <f>0</f>
        <v>0</v>
      </c>
      <c r="V388" s="45">
        <f t="shared" si="75"/>
        <v>0.12925476727469298</v>
      </c>
      <c r="W388" s="45">
        <f t="shared" si="76"/>
        <v>0</v>
      </c>
      <c r="X388" s="45">
        <f t="shared" si="77"/>
        <v>0</v>
      </c>
      <c r="Y388" s="46">
        <f>0</f>
        <v>0</v>
      </c>
      <c r="Z388" s="11"/>
    </row>
    <row r="389" spans="11:26" x14ac:dyDescent="0.45">
      <c r="K389" s="39">
        <f t="shared" si="72"/>
        <v>6.37</v>
      </c>
      <c r="L389" s="40">
        <f t="shared" si="65"/>
        <v>46.37</v>
      </c>
      <c r="M389" s="41">
        <f t="shared" si="66"/>
        <v>41.37</v>
      </c>
      <c r="N389" s="49">
        <f t="shared" si="67"/>
        <v>2.175337771727847E-2</v>
      </c>
      <c r="O389" s="50">
        <f t="shared" si="68"/>
        <v>1.4138202936462327E-2</v>
      </c>
      <c r="P389" s="50">
        <f t="shared" si="73"/>
        <v>2.175337771727847E-2</v>
      </c>
      <c r="Q389" s="51">
        <f t="shared" si="74"/>
        <v>1.4138202936462327E-2</v>
      </c>
      <c r="R389" s="4">
        <f t="shared" si="69"/>
        <v>-2.4768368990906432E-2</v>
      </c>
      <c r="S389">
        <f t="shared" si="70"/>
        <v>0</v>
      </c>
      <c r="T389">
        <f t="shared" si="71"/>
        <v>0</v>
      </c>
      <c r="U389" s="5">
        <f>0</f>
        <v>0</v>
      </c>
      <c r="V389" s="45">
        <f t="shared" si="75"/>
        <v>0.12950293356081019</v>
      </c>
      <c r="W389" s="45">
        <f t="shared" si="76"/>
        <v>0</v>
      </c>
      <c r="X389" s="45">
        <f t="shared" si="77"/>
        <v>0</v>
      </c>
      <c r="Y389" s="46">
        <f>0</f>
        <v>0</v>
      </c>
      <c r="Z389" s="11"/>
    </row>
    <row r="390" spans="11:26" x14ac:dyDescent="0.45">
      <c r="K390" s="39">
        <f t="shared" si="72"/>
        <v>6.36</v>
      </c>
      <c r="L390" s="40">
        <f t="shared" si="65"/>
        <v>46.36</v>
      </c>
      <c r="M390" s="41">
        <f t="shared" si="66"/>
        <v>41.36</v>
      </c>
      <c r="N390" s="49">
        <f t="shared" si="67"/>
        <v>2.1734639232863888E-2</v>
      </c>
      <c r="O390" s="50">
        <f t="shared" si="68"/>
        <v>1.4126024207309632E-2</v>
      </c>
      <c r="P390" s="50">
        <f t="shared" si="73"/>
        <v>2.1734639232863888E-2</v>
      </c>
      <c r="Q390" s="51">
        <f t="shared" si="74"/>
        <v>1.4126024207309632E-2</v>
      </c>
      <c r="R390" s="4">
        <f t="shared" si="69"/>
        <v>-2.4720189361254741E-2</v>
      </c>
      <c r="S390">
        <f t="shared" si="70"/>
        <v>0</v>
      </c>
      <c r="T390">
        <f t="shared" si="71"/>
        <v>0</v>
      </c>
      <c r="U390" s="5">
        <f>0</f>
        <v>0</v>
      </c>
      <c r="V390" s="45">
        <f t="shared" si="75"/>
        <v>0.12975061725071926</v>
      </c>
      <c r="W390" s="45">
        <f t="shared" si="76"/>
        <v>0</v>
      </c>
      <c r="X390" s="45">
        <f t="shared" si="77"/>
        <v>0</v>
      </c>
      <c r="Y390" s="46">
        <f>0</f>
        <v>0</v>
      </c>
      <c r="Z390" s="11"/>
    </row>
    <row r="391" spans="11:26" x14ac:dyDescent="0.45">
      <c r="K391" s="39">
        <f t="shared" si="72"/>
        <v>6.35</v>
      </c>
      <c r="L391" s="40">
        <f t="shared" si="65"/>
        <v>46.35</v>
      </c>
      <c r="M391" s="41">
        <f t="shared" si="66"/>
        <v>41.35</v>
      </c>
      <c r="N391" s="49">
        <f t="shared" si="67"/>
        <v>2.1715916889887329E-2</v>
      </c>
      <c r="O391" s="50">
        <f t="shared" si="68"/>
        <v>1.4113855968984127E-2</v>
      </c>
      <c r="P391" s="50">
        <f t="shared" si="73"/>
        <v>2.1715916889887329E-2</v>
      </c>
      <c r="Q391" s="51">
        <f t="shared" si="74"/>
        <v>1.4113855968984127E-2</v>
      </c>
      <c r="R391" s="4">
        <f t="shared" si="69"/>
        <v>-2.4672089569564806E-2</v>
      </c>
      <c r="S391">
        <f t="shared" si="70"/>
        <v>0</v>
      </c>
      <c r="T391">
        <f t="shared" si="71"/>
        <v>0</v>
      </c>
      <c r="U391" s="5">
        <f>0</f>
        <v>0</v>
      </c>
      <c r="V391" s="45">
        <f t="shared" si="75"/>
        <v>0.12999781914433181</v>
      </c>
      <c r="W391" s="45">
        <f t="shared" si="76"/>
        <v>0</v>
      </c>
      <c r="X391" s="45">
        <f t="shared" si="77"/>
        <v>0</v>
      </c>
      <c r="Y391" s="46">
        <f>0</f>
        <v>0</v>
      </c>
      <c r="Z391" s="11"/>
    </row>
    <row r="392" spans="11:26" x14ac:dyDescent="0.45">
      <c r="K392" s="39">
        <f t="shared" si="72"/>
        <v>6.34</v>
      </c>
      <c r="L392" s="40">
        <f t="shared" si="65"/>
        <v>46.34</v>
      </c>
      <c r="M392" s="41">
        <f t="shared" si="66"/>
        <v>41.34</v>
      </c>
      <c r="N392" s="49">
        <f t="shared" si="67"/>
        <v>2.169721067444446E-2</v>
      </c>
      <c r="O392" s="50">
        <f t="shared" si="68"/>
        <v>1.4101698212448947E-2</v>
      </c>
      <c r="P392" s="50">
        <f t="shared" si="73"/>
        <v>2.169721067444446E-2</v>
      </c>
      <c r="Q392" s="51">
        <f t="shared" si="74"/>
        <v>1.4101698212448947E-2</v>
      </c>
      <c r="R392" s="4">
        <f t="shared" si="69"/>
        <v>-2.462406946298375E-2</v>
      </c>
      <c r="S392">
        <f t="shared" si="70"/>
        <v>0</v>
      </c>
      <c r="T392">
        <f t="shared" si="71"/>
        <v>0</v>
      </c>
      <c r="U392" s="5">
        <f>0</f>
        <v>0</v>
      </c>
      <c r="V392" s="45">
        <f t="shared" si="75"/>
        <v>0.13024454004002745</v>
      </c>
      <c r="W392" s="45">
        <f t="shared" si="76"/>
        <v>0</v>
      </c>
      <c r="X392" s="45">
        <f t="shared" si="77"/>
        <v>0</v>
      </c>
      <c r="Y392" s="46">
        <f>0</f>
        <v>0</v>
      </c>
      <c r="Z392" s="11"/>
    </row>
    <row r="393" spans="11:26" x14ac:dyDescent="0.45">
      <c r="K393" s="39">
        <f t="shared" si="72"/>
        <v>6.33</v>
      </c>
      <c r="L393" s="40">
        <f t="shared" si="65"/>
        <v>46.33</v>
      </c>
      <c r="M393" s="41">
        <f t="shared" si="66"/>
        <v>41.33</v>
      </c>
      <c r="N393" s="49">
        <f t="shared" si="67"/>
        <v>2.1678520572642929E-2</v>
      </c>
      <c r="O393" s="50">
        <f t="shared" si="68"/>
        <v>1.408955092867502E-2</v>
      </c>
      <c r="P393" s="50">
        <f t="shared" si="73"/>
        <v>2.1678520572642929E-2</v>
      </c>
      <c r="Q393" s="51">
        <f t="shared" si="74"/>
        <v>1.408955092867502E-2</v>
      </c>
      <c r="R393" s="4">
        <f t="shared" si="69"/>
        <v>-2.457612888900506E-2</v>
      </c>
      <c r="S393">
        <f t="shared" si="70"/>
        <v>0</v>
      </c>
      <c r="T393">
        <f t="shared" si="71"/>
        <v>0</v>
      </c>
      <c r="U393" s="5">
        <f>0</f>
        <v>0</v>
      </c>
      <c r="V393" s="45">
        <f t="shared" si="75"/>
        <v>0.13049078073465728</v>
      </c>
      <c r="W393" s="45">
        <f t="shared" si="76"/>
        <v>0</v>
      </c>
      <c r="X393" s="45">
        <f t="shared" si="77"/>
        <v>0</v>
      </c>
      <c r="Y393" s="46">
        <f>0</f>
        <v>0</v>
      </c>
      <c r="Z393" s="11"/>
    </row>
    <row r="394" spans="11:26" x14ac:dyDescent="0.45">
      <c r="K394" s="39">
        <f t="shared" si="72"/>
        <v>6.32</v>
      </c>
      <c r="L394" s="40">
        <f t="shared" si="65"/>
        <v>46.32</v>
      </c>
      <c r="M394" s="41">
        <f t="shared" si="66"/>
        <v>41.32</v>
      </c>
      <c r="N394" s="49">
        <f t="shared" si="67"/>
        <v>2.1659846570602364E-2</v>
      </c>
      <c r="O394" s="50">
        <f t="shared" si="68"/>
        <v>1.4077414108641058E-2</v>
      </c>
      <c r="P394" s="50">
        <f t="shared" si="73"/>
        <v>2.1659846570602364E-2</v>
      </c>
      <c r="Q394" s="51">
        <f t="shared" si="74"/>
        <v>1.4077414108641058E-2</v>
      </c>
      <c r="R394" s="4">
        <f t="shared" si="69"/>
        <v>-2.4528267695467683E-2</v>
      </c>
      <c r="S394">
        <f t="shared" si="70"/>
        <v>0</v>
      </c>
      <c r="T394">
        <f t="shared" si="71"/>
        <v>0</v>
      </c>
      <c r="U394" s="5">
        <f>0</f>
        <v>0</v>
      </c>
      <c r="V394" s="45">
        <f t="shared" si="75"/>
        <v>0.13073654202354734</v>
      </c>
      <c r="W394" s="45">
        <f t="shared" si="76"/>
        <v>0</v>
      </c>
      <c r="X394" s="45">
        <f t="shared" si="77"/>
        <v>0</v>
      </c>
      <c r="Y394" s="46">
        <f>0</f>
        <v>0</v>
      </c>
      <c r="Z394" s="11"/>
    </row>
    <row r="395" spans="11:26" x14ac:dyDescent="0.45">
      <c r="K395" s="39">
        <f t="shared" si="72"/>
        <v>6.31</v>
      </c>
      <c r="L395" s="40">
        <f t="shared" si="65"/>
        <v>46.31</v>
      </c>
      <c r="M395" s="41">
        <f t="shared" si="66"/>
        <v>41.31</v>
      </c>
      <c r="N395" s="49">
        <f t="shared" si="67"/>
        <v>2.1641188654454333E-2</v>
      </c>
      <c r="O395" s="50">
        <f t="shared" si="68"/>
        <v>1.4065287743333528E-2</v>
      </c>
      <c r="P395" s="50">
        <f t="shared" si="73"/>
        <v>2.1641188654454333E-2</v>
      </c>
      <c r="Q395" s="51">
        <f t="shared" si="74"/>
        <v>1.4065287743333528E-2</v>
      </c>
      <c r="R395" s="4">
        <f t="shared" si="69"/>
        <v>-2.4480485730555102E-2</v>
      </c>
      <c r="S395">
        <f t="shared" si="70"/>
        <v>0</v>
      </c>
      <c r="T395">
        <f t="shared" si="71"/>
        <v>0</v>
      </c>
      <c r="U395" s="5">
        <f>0</f>
        <v>0</v>
      </c>
      <c r="V395" s="45">
        <f t="shared" si="75"/>
        <v>0.13098182470050201</v>
      </c>
      <c r="W395" s="45">
        <f t="shared" si="76"/>
        <v>0</v>
      </c>
      <c r="X395" s="45">
        <f t="shared" si="77"/>
        <v>0</v>
      </c>
      <c r="Y395" s="46">
        <f>0</f>
        <v>0</v>
      </c>
      <c r="Z395" s="11"/>
    </row>
    <row r="396" spans="11:26" x14ac:dyDescent="0.45">
      <c r="K396" s="39">
        <f t="shared" si="72"/>
        <v>6.3</v>
      </c>
      <c r="L396" s="40">
        <f t="shared" si="65"/>
        <v>46.3</v>
      </c>
      <c r="M396" s="41">
        <f t="shared" si="66"/>
        <v>41.3</v>
      </c>
      <c r="N396" s="49">
        <f t="shared" si="67"/>
        <v>2.1622546810342345E-2</v>
      </c>
      <c r="O396" s="50">
        <f t="shared" si="68"/>
        <v>1.4053171823746668E-2</v>
      </c>
      <c r="P396" s="50">
        <f t="shared" si="73"/>
        <v>2.1622546810342345E-2</v>
      </c>
      <c r="Q396" s="51">
        <f t="shared" si="74"/>
        <v>1.4053171823746668E-2</v>
      </c>
      <c r="R396" s="4">
        <f t="shared" si="69"/>
        <v>-2.4432782842794466E-2</v>
      </c>
      <c r="S396">
        <f t="shared" si="70"/>
        <v>0</v>
      </c>
      <c r="T396">
        <f t="shared" si="71"/>
        <v>0</v>
      </c>
      <c r="U396" s="5">
        <f>0</f>
        <v>0</v>
      </c>
      <c r="V396" s="45">
        <f t="shared" si="75"/>
        <v>0.13122662955780756</v>
      </c>
      <c r="W396" s="45">
        <f t="shared" si="76"/>
        <v>0</v>
      </c>
      <c r="X396" s="45">
        <f t="shared" si="77"/>
        <v>0</v>
      </c>
      <c r="Y396" s="46">
        <f>0</f>
        <v>0</v>
      </c>
      <c r="Z396" s="11"/>
    </row>
    <row r="397" spans="11:26" x14ac:dyDescent="0.45">
      <c r="K397" s="39">
        <f t="shared" si="72"/>
        <v>6.29</v>
      </c>
      <c r="L397" s="40">
        <f t="shared" si="65"/>
        <v>46.29</v>
      </c>
      <c r="M397" s="41">
        <f t="shared" si="66"/>
        <v>41.29</v>
      </c>
      <c r="N397" s="49">
        <f t="shared" si="67"/>
        <v>2.1603921024421876E-2</v>
      </c>
      <c r="O397" s="50">
        <f t="shared" si="68"/>
        <v>1.4041066340882482E-2</v>
      </c>
      <c r="P397" s="50">
        <f t="shared" si="73"/>
        <v>2.1603921024421876E-2</v>
      </c>
      <c r="Q397" s="51">
        <f t="shared" si="74"/>
        <v>1.4041066340882482E-2</v>
      </c>
      <c r="R397" s="4">
        <f t="shared" si="69"/>
        <v>-2.4385158881055753E-2</v>
      </c>
      <c r="S397">
        <f t="shared" si="70"/>
        <v>0</v>
      </c>
      <c r="T397">
        <f t="shared" si="71"/>
        <v>0</v>
      </c>
      <c r="U397" s="5">
        <f>0</f>
        <v>0</v>
      </c>
      <c r="V397" s="45">
        <f t="shared" si="75"/>
        <v>0.13147095738623552</v>
      </c>
      <c r="W397" s="45">
        <f t="shared" si="76"/>
        <v>0</v>
      </c>
      <c r="X397" s="45">
        <f t="shared" si="77"/>
        <v>0</v>
      </c>
      <c r="Y397" s="46">
        <f>0</f>
        <v>0</v>
      </c>
      <c r="Z397" s="11"/>
    </row>
    <row r="398" spans="11:26" x14ac:dyDescent="0.45">
      <c r="K398" s="39">
        <f t="shared" si="72"/>
        <v>6.28</v>
      </c>
      <c r="L398" s="40">
        <f t="shared" si="65"/>
        <v>46.28</v>
      </c>
      <c r="M398" s="41">
        <f t="shared" si="66"/>
        <v>41.28</v>
      </c>
      <c r="N398" s="49">
        <f t="shared" si="67"/>
        <v>2.1585311282860297E-2</v>
      </c>
      <c r="O398" s="50">
        <f t="shared" si="68"/>
        <v>1.4028971285750709E-2</v>
      </c>
      <c r="P398" s="50">
        <f t="shared" si="73"/>
        <v>2.1585311282860297E-2</v>
      </c>
      <c r="Q398" s="51">
        <f t="shared" si="74"/>
        <v>1.4028971285750709E-2</v>
      </c>
      <c r="R398" s="4">
        <f t="shared" si="69"/>
        <v>-2.4337613694550793E-2</v>
      </c>
      <c r="S398">
        <f t="shared" si="70"/>
        <v>0</v>
      </c>
      <c r="T398">
        <f t="shared" si="71"/>
        <v>0</v>
      </c>
      <c r="U398" s="5">
        <f>0</f>
        <v>0</v>
      </c>
      <c r="V398" s="45">
        <f t="shared" si="75"/>
        <v>0.13171480897504606</v>
      </c>
      <c r="W398" s="45">
        <f t="shared" si="76"/>
        <v>0</v>
      </c>
      <c r="X398" s="45">
        <f t="shared" si="77"/>
        <v>0</v>
      </c>
      <c r="Y398" s="46">
        <f>0</f>
        <v>0</v>
      </c>
      <c r="Z398" s="11"/>
    </row>
    <row r="399" spans="11:26" x14ac:dyDescent="0.45">
      <c r="K399" s="39">
        <f t="shared" si="72"/>
        <v>6.27</v>
      </c>
      <c r="L399" s="40">
        <f t="shared" si="65"/>
        <v>46.269999999999996</v>
      </c>
      <c r="M399" s="41">
        <f t="shared" si="66"/>
        <v>41.269999999999996</v>
      </c>
      <c r="N399" s="49">
        <f t="shared" si="67"/>
        <v>2.15667175718369E-2</v>
      </c>
      <c r="O399" s="50">
        <f t="shared" si="68"/>
        <v>1.4016886649368841E-2</v>
      </c>
      <c r="P399" s="50">
        <f t="shared" si="73"/>
        <v>2.15667175718369E-2</v>
      </c>
      <c r="Q399" s="51">
        <f t="shared" si="74"/>
        <v>1.4016886649368841E-2</v>
      </c>
      <c r="R399" s="4">
        <f t="shared" si="69"/>
        <v>-2.4290147132832451E-2</v>
      </c>
      <c r="S399">
        <f t="shared" si="70"/>
        <v>0</v>
      </c>
      <c r="T399">
        <f t="shared" si="71"/>
        <v>0</v>
      </c>
      <c r="U399" s="5">
        <f>0</f>
        <v>0</v>
      </c>
      <c r="V399" s="45">
        <f t="shared" si="75"/>
        <v>0.13195818511199156</v>
      </c>
      <c r="W399" s="45">
        <f t="shared" si="76"/>
        <v>0</v>
      </c>
      <c r="X399" s="45">
        <f t="shared" si="77"/>
        <v>0</v>
      </c>
      <c r="Y399" s="46">
        <f>0</f>
        <v>0</v>
      </c>
      <c r="Z399" s="11"/>
    </row>
    <row r="400" spans="11:26" x14ac:dyDescent="0.45">
      <c r="K400" s="39">
        <f t="shared" si="72"/>
        <v>6.26</v>
      </c>
      <c r="L400" s="40">
        <f t="shared" si="65"/>
        <v>46.26</v>
      </c>
      <c r="M400" s="41">
        <f t="shared" si="66"/>
        <v>41.26</v>
      </c>
      <c r="N400" s="49">
        <f t="shared" si="67"/>
        <v>2.1548139877542897E-2</v>
      </c>
      <c r="O400" s="50">
        <f t="shared" si="68"/>
        <v>1.4004812422762115E-2</v>
      </c>
      <c r="P400" s="50">
        <f t="shared" si="73"/>
        <v>2.1548139877542897E-2</v>
      </c>
      <c r="Q400" s="51">
        <f t="shared" si="74"/>
        <v>1.4004812422762115E-2</v>
      </c>
      <c r="R400" s="4">
        <f t="shared" si="69"/>
        <v>-2.4242759045793753E-2</v>
      </c>
      <c r="S400">
        <f t="shared" si="70"/>
        <v>0</v>
      </c>
      <c r="T400">
        <f t="shared" si="71"/>
        <v>0</v>
      </c>
      <c r="U400" s="5">
        <f>0</f>
        <v>0</v>
      </c>
      <c r="V400" s="45">
        <f t="shared" si="75"/>
        <v>0.13220108658331989</v>
      </c>
      <c r="W400" s="45">
        <f t="shared" si="76"/>
        <v>0</v>
      </c>
      <c r="X400" s="45">
        <f t="shared" si="77"/>
        <v>0</v>
      </c>
      <c r="Y400" s="46">
        <f>0</f>
        <v>0</v>
      </c>
      <c r="Z400" s="11"/>
    </row>
    <row r="401" spans="11:26" x14ac:dyDescent="0.45">
      <c r="K401" s="39">
        <f t="shared" si="72"/>
        <v>6.25</v>
      </c>
      <c r="L401" s="40">
        <f t="shared" si="65"/>
        <v>46.25</v>
      </c>
      <c r="M401" s="41">
        <f t="shared" si="66"/>
        <v>41.25</v>
      </c>
      <c r="N401" s="49">
        <f t="shared" si="67"/>
        <v>2.1529578186181383E-2</v>
      </c>
      <c r="O401" s="50">
        <f t="shared" si="68"/>
        <v>1.3992748596963483E-2</v>
      </c>
      <c r="P401" s="50">
        <f t="shared" si="73"/>
        <v>2.1529578186181383E-2</v>
      </c>
      <c r="Q401" s="51">
        <f t="shared" si="74"/>
        <v>1.3992748596963483E-2</v>
      </c>
      <c r="R401" s="4">
        <f t="shared" si="69"/>
        <v>-2.4195449283666959E-2</v>
      </c>
      <c r="S401">
        <f t="shared" si="70"/>
        <v>0</v>
      </c>
      <c r="T401">
        <f t="shared" si="71"/>
        <v>0</v>
      </c>
      <c r="U401" s="5">
        <f>0</f>
        <v>0</v>
      </c>
      <c r="V401" s="45">
        <f t="shared" si="75"/>
        <v>0.13244351417377784</v>
      </c>
      <c r="W401" s="45">
        <f t="shared" si="76"/>
        <v>0</v>
      </c>
      <c r="X401" s="45">
        <f t="shared" si="77"/>
        <v>0</v>
      </c>
      <c r="Y401" s="46">
        <f>0</f>
        <v>0</v>
      </c>
      <c r="Z401" s="11"/>
    </row>
    <row r="402" spans="11:26" x14ac:dyDescent="0.45">
      <c r="K402" s="39">
        <f t="shared" si="72"/>
        <v>6.24</v>
      </c>
      <c r="L402" s="40">
        <f t="shared" si="65"/>
        <v>46.24</v>
      </c>
      <c r="M402" s="41">
        <f t="shared" si="66"/>
        <v>41.24</v>
      </c>
      <c r="N402" s="49">
        <f t="shared" si="67"/>
        <v>2.1511032483967352E-2</v>
      </c>
      <c r="O402" s="50">
        <f t="shared" si="68"/>
        <v>1.3980695163013633E-2</v>
      </c>
      <c r="P402" s="50">
        <f t="shared" si="73"/>
        <v>2.1511032483967352E-2</v>
      </c>
      <c r="Q402" s="51">
        <f t="shared" si="74"/>
        <v>1.3980695163013633E-2</v>
      </c>
      <c r="R402" s="4">
        <f t="shared" si="69"/>
        <v>-2.4148217697022748E-2</v>
      </c>
      <c r="S402">
        <f t="shared" si="70"/>
        <v>0</v>
      </c>
      <c r="T402">
        <f t="shared" si="71"/>
        <v>0</v>
      </c>
      <c r="U402" s="5">
        <f>0</f>
        <v>0</v>
      </c>
      <c r="V402" s="45">
        <f t="shared" si="75"/>
        <v>0.13268546866661451</v>
      </c>
      <c r="W402" s="45">
        <f t="shared" si="76"/>
        <v>0</v>
      </c>
      <c r="X402" s="45">
        <f t="shared" si="77"/>
        <v>0</v>
      </c>
      <c r="Y402" s="46">
        <f>0</f>
        <v>0</v>
      </c>
      <c r="Z402" s="11"/>
    </row>
    <row r="403" spans="11:26" x14ac:dyDescent="0.45">
      <c r="K403" s="39">
        <f t="shared" si="72"/>
        <v>6.23</v>
      </c>
      <c r="L403" s="40">
        <f t="shared" si="65"/>
        <v>46.230000000000004</v>
      </c>
      <c r="M403" s="41">
        <f t="shared" si="66"/>
        <v>41.230000000000004</v>
      </c>
      <c r="N403" s="49">
        <f t="shared" si="67"/>
        <v>2.1492502757127635E-2</v>
      </c>
      <c r="O403" s="50">
        <f t="shared" si="68"/>
        <v>1.3968652111960966E-2</v>
      </c>
      <c r="P403" s="50">
        <f t="shared" si="73"/>
        <v>2.1492502757127635E-2</v>
      </c>
      <c r="Q403" s="51">
        <f t="shared" si="74"/>
        <v>1.3968652111960966E-2</v>
      </c>
      <c r="R403" s="4">
        <f t="shared" si="69"/>
        <v>-2.4101064136769275E-2</v>
      </c>
      <c r="S403">
        <f t="shared" si="70"/>
        <v>0</v>
      </c>
      <c r="T403">
        <f t="shared" si="71"/>
        <v>0</v>
      </c>
      <c r="U403" s="5">
        <f>0</f>
        <v>0</v>
      </c>
      <c r="V403" s="45">
        <f t="shared" si="75"/>
        <v>0.13292695084358475</v>
      </c>
      <c r="W403" s="45">
        <f t="shared" si="76"/>
        <v>0</v>
      </c>
      <c r="X403" s="45">
        <f t="shared" si="77"/>
        <v>0</v>
      </c>
      <c r="Y403" s="46">
        <f>0</f>
        <v>0</v>
      </c>
      <c r="Z403" s="11"/>
    </row>
    <row r="404" spans="11:26" x14ac:dyDescent="0.45">
      <c r="K404" s="39">
        <f t="shared" si="72"/>
        <v>6.22</v>
      </c>
      <c r="L404" s="40">
        <f t="shared" si="65"/>
        <v>46.22</v>
      </c>
      <c r="M404" s="41">
        <f t="shared" si="66"/>
        <v>41.22</v>
      </c>
      <c r="N404" s="49">
        <f t="shared" si="67"/>
        <v>2.1473988991900946E-2</v>
      </c>
      <c r="O404" s="50">
        <f t="shared" si="68"/>
        <v>1.3956619434861591E-2</v>
      </c>
      <c r="P404" s="50">
        <f t="shared" si="73"/>
        <v>2.1473988991900946E-2</v>
      </c>
      <c r="Q404" s="51">
        <f t="shared" si="74"/>
        <v>1.3956619434861591E-2</v>
      </c>
      <c r="R404" s="4">
        <f t="shared" si="69"/>
        <v>-2.4053988454151371E-2</v>
      </c>
      <c r="S404">
        <f t="shared" si="70"/>
        <v>0</v>
      </c>
      <c r="T404">
        <f t="shared" si="71"/>
        <v>0</v>
      </c>
      <c r="U404" s="5">
        <f>0</f>
        <v>0</v>
      </c>
      <c r="V404" s="45">
        <f t="shared" si="75"/>
        <v>0.13316796148495244</v>
      </c>
      <c r="W404" s="45">
        <f t="shared" si="76"/>
        <v>0</v>
      </c>
      <c r="X404" s="45">
        <f t="shared" si="77"/>
        <v>0</v>
      </c>
      <c r="Y404" s="46">
        <f>0</f>
        <v>0</v>
      </c>
      <c r="Z404" s="11"/>
    </row>
    <row r="405" spans="11:26" x14ac:dyDescent="0.45">
      <c r="K405" s="39">
        <f t="shared" si="72"/>
        <v>6.21</v>
      </c>
      <c r="L405" s="40">
        <f t="shared" si="65"/>
        <v>46.21</v>
      </c>
      <c r="M405" s="41">
        <f t="shared" si="66"/>
        <v>41.21</v>
      </c>
      <c r="N405" s="49">
        <f t="shared" si="67"/>
        <v>2.1455491174537909E-2</v>
      </c>
      <c r="O405" s="50">
        <f t="shared" si="68"/>
        <v>1.3944597122779331E-2</v>
      </c>
      <c r="P405" s="50">
        <f t="shared" si="73"/>
        <v>2.1455491174537909E-2</v>
      </c>
      <c r="Q405" s="51">
        <f t="shared" si="74"/>
        <v>1.3944597122779331E-2</v>
      </c>
      <c r="R405" s="4">
        <f t="shared" si="69"/>
        <v>-2.4006990500749687E-2</v>
      </c>
      <c r="S405">
        <f t="shared" si="70"/>
        <v>0</v>
      </c>
      <c r="T405">
        <f t="shared" si="71"/>
        <v>0</v>
      </c>
      <c r="U405" s="5">
        <f>0</f>
        <v>0</v>
      </c>
      <c r="V405" s="45">
        <f t="shared" si="75"/>
        <v>0.13340850136949395</v>
      </c>
      <c r="W405" s="45">
        <f t="shared" si="76"/>
        <v>0</v>
      </c>
      <c r="X405" s="45">
        <f t="shared" si="77"/>
        <v>0</v>
      </c>
      <c r="Y405" s="46">
        <f>0</f>
        <v>0</v>
      </c>
      <c r="Z405" s="11"/>
    </row>
    <row r="406" spans="11:26" x14ac:dyDescent="0.45">
      <c r="K406" s="39">
        <f t="shared" si="72"/>
        <v>6.2</v>
      </c>
      <c r="L406" s="40">
        <f t="shared" si="65"/>
        <v>46.2</v>
      </c>
      <c r="M406" s="41">
        <f t="shared" si="66"/>
        <v>41.2</v>
      </c>
      <c r="N406" s="49">
        <f t="shared" si="67"/>
        <v>2.14370092913009E-2</v>
      </c>
      <c r="O406" s="50">
        <f t="shared" si="68"/>
        <v>1.3932585166785701E-2</v>
      </c>
      <c r="P406" s="50">
        <f t="shared" si="73"/>
        <v>2.14370092913009E-2</v>
      </c>
      <c r="Q406" s="51">
        <f t="shared" si="74"/>
        <v>1.3932585166785701E-2</v>
      </c>
      <c r="R406" s="4">
        <f t="shared" si="69"/>
        <v>-2.3960070128479727E-2</v>
      </c>
      <c r="S406">
        <f t="shared" si="70"/>
        <v>0</v>
      </c>
      <c r="T406">
        <f t="shared" si="71"/>
        <v>0</v>
      </c>
      <c r="U406" s="5">
        <f>0</f>
        <v>0</v>
      </c>
      <c r="V406" s="45">
        <f t="shared" si="75"/>
        <v>0.13364857127450144</v>
      </c>
      <c r="W406" s="45">
        <f t="shared" si="76"/>
        <v>0</v>
      </c>
      <c r="X406" s="45">
        <f t="shared" si="77"/>
        <v>0</v>
      </c>
      <c r="Y406" s="46">
        <f>0</f>
        <v>0</v>
      </c>
      <c r="Z406" s="11"/>
    </row>
    <row r="407" spans="11:26" x14ac:dyDescent="0.45">
      <c r="K407" s="39">
        <f t="shared" si="72"/>
        <v>6.19</v>
      </c>
      <c r="L407" s="40">
        <f t="shared" si="65"/>
        <v>46.19</v>
      </c>
      <c r="M407" s="41">
        <f t="shared" si="66"/>
        <v>41.19</v>
      </c>
      <c r="N407" s="49">
        <f t="shared" si="67"/>
        <v>2.1418543328464178E-2</v>
      </c>
      <c r="O407" s="50">
        <f t="shared" si="68"/>
        <v>1.3920583557959894E-2</v>
      </c>
      <c r="P407" s="50">
        <f t="shared" si="73"/>
        <v>2.1418543328464178E-2</v>
      </c>
      <c r="Q407" s="51">
        <f t="shared" si="74"/>
        <v>1.3920583557959894E-2</v>
      </c>
      <c r="R407" s="4">
        <f t="shared" si="69"/>
        <v>-2.3913227189591078E-2</v>
      </c>
      <c r="S407">
        <f t="shared" si="70"/>
        <v>0</v>
      </c>
      <c r="T407">
        <f t="shared" si="71"/>
        <v>0</v>
      </c>
      <c r="U407" s="5">
        <f>0</f>
        <v>0</v>
      </c>
      <c r="V407" s="45">
        <f t="shared" si="75"/>
        <v>0.13388817197578623</v>
      </c>
      <c r="W407" s="45">
        <f t="shared" si="76"/>
        <v>0</v>
      </c>
      <c r="X407" s="45">
        <f t="shared" si="77"/>
        <v>0</v>
      </c>
      <c r="Y407" s="46">
        <f>0</f>
        <v>0</v>
      </c>
      <c r="Z407" s="11"/>
    </row>
    <row r="408" spans="11:26" x14ac:dyDescent="0.45">
      <c r="K408" s="39">
        <f t="shared" si="72"/>
        <v>6.18</v>
      </c>
      <c r="L408" s="40">
        <f t="shared" si="65"/>
        <v>46.18</v>
      </c>
      <c r="M408" s="41">
        <f t="shared" si="66"/>
        <v>41.18</v>
      </c>
      <c r="N408" s="49">
        <f t="shared" si="67"/>
        <v>2.1400093272313833E-2</v>
      </c>
      <c r="O408" s="50">
        <f t="shared" si="68"/>
        <v>1.390859228738882E-2</v>
      </c>
      <c r="P408" s="50">
        <f t="shared" si="73"/>
        <v>2.1400093272313833E-2</v>
      </c>
      <c r="Q408" s="51">
        <f t="shared" si="74"/>
        <v>1.390859228738882E-2</v>
      </c>
      <c r="R408" s="4">
        <f t="shared" si="69"/>
        <v>-2.3866461536666567E-2</v>
      </c>
      <c r="S408">
        <f t="shared" si="70"/>
        <v>0</v>
      </c>
      <c r="T408">
        <f t="shared" si="71"/>
        <v>0</v>
      </c>
      <c r="U408" s="5">
        <f>0</f>
        <v>0</v>
      </c>
      <c r="V408" s="45">
        <f t="shared" si="75"/>
        <v>0.13412730424768213</v>
      </c>
      <c r="W408" s="45">
        <f t="shared" si="76"/>
        <v>0</v>
      </c>
      <c r="X408" s="45">
        <f t="shared" si="77"/>
        <v>0</v>
      </c>
      <c r="Y408" s="46">
        <f>0</f>
        <v>0</v>
      </c>
      <c r="Z408" s="11"/>
    </row>
    <row r="409" spans="11:26" x14ac:dyDescent="0.45">
      <c r="K409" s="39">
        <f t="shared" si="72"/>
        <v>6.17</v>
      </c>
      <c r="L409" s="40">
        <f t="shared" si="65"/>
        <v>46.17</v>
      </c>
      <c r="M409" s="41">
        <f t="shared" si="66"/>
        <v>41.17</v>
      </c>
      <c r="N409" s="49">
        <f t="shared" si="67"/>
        <v>2.1381659109147747E-2</v>
      </c>
      <c r="O409" s="50">
        <f t="shared" si="68"/>
        <v>1.3896611346167036E-2</v>
      </c>
      <c r="P409" s="50">
        <f t="shared" si="73"/>
        <v>2.1381659109147747E-2</v>
      </c>
      <c r="Q409" s="51">
        <f t="shared" si="74"/>
        <v>1.3896611346167036E-2</v>
      </c>
      <c r="R409" s="4">
        <f t="shared" si="69"/>
        <v>-2.3819773022621307E-2</v>
      </c>
      <c r="S409">
        <f t="shared" si="70"/>
        <v>0</v>
      </c>
      <c r="T409">
        <f t="shared" si="71"/>
        <v>0</v>
      </c>
      <c r="U409" s="5">
        <f>0</f>
        <v>0</v>
      </c>
      <c r="V409" s="45">
        <f t="shared" si="75"/>
        <v>0.1343659688630488</v>
      </c>
      <c r="W409" s="45">
        <f t="shared" si="76"/>
        <v>0</v>
      </c>
      <c r="X409" s="45">
        <f t="shared" si="77"/>
        <v>0</v>
      </c>
      <c r="Y409" s="46">
        <f>0</f>
        <v>0</v>
      </c>
      <c r="Z409" s="11"/>
    </row>
    <row r="410" spans="11:26" x14ac:dyDescent="0.45">
      <c r="K410" s="39">
        <f t="shared" si="72"/>
        <v>6.16</v>
      </c>
      <c r="L410" s="40">
        <f t="shared" ref="L410:L473" si="78">InitialAge_x+K410</f>
        <v>46.16</v>
      </c>
      <c r="M410" s="41">
        <f t="shared" ref="M410:M473" si="79">InitialAge_y+K410</f>
        <v>41.16</v>
      </c>
      <c r="N410" s="49">
        <f t="shared" ref="N410:N473" si="80">muParameter_B*muParameter_c^L410</f>
        <v>2.1363240825275603E-2</v>
      </c>
      <c r="O410" s="50">
        <f t="shared" ref="O410:O473" si="81">muParameter_B*muParameter_c^M410</f>
        <v>1.3884640725396774E-2</v>
      </c>
      <c r="P410" s="50">
        <f t="shared" si="73"/>
        <v>2.1363240825275603E-2</v>
      </c>
      <c r="Q410" s="51">
        <f t="shared" si="74"/>
        <v>1.3884640725396774E-2</v>
      </c>
      <c r="R410" s="4">
        <f t="shared" ref="R410:R473" si="82">V410*Delta-Constant_b1-(O410*(Constant_b12+W410-V410)+N410*(Constant_b13+X410-V410))</f>
        <v>-2.3773161500701898E-2</v>
      </c>
      <c r="S410">
        <f t="shared" ref="S410:S473" si="83">W410*Delta-Constant_b2-(P410*(Constant_b24+Y410-W410)+Q410*(Constant_b34+Y410-X410))</f>
        <v>0</v>
      </c>
      <c r="T410">
        <f t="shared" ref="T410:T473" si="84">X410*Delta-Constant_b3-(Q410*(Constant_b34+Y410-X410))</f>
        <v>0</v>
      </c>
      <c r="U410" s="5">
        <f>0</f>
        <v>0</v>
      </c>
      <c r="V410" s="45">
        <f t="shared" si="75"/>
        <v>0.13460416659327501</v>
      </c>
      <c r="W410" s="45">
        <f t="shared" si="76"/>
        <v>0</v>
      </c>
      <c r="X410" s="45">
        <f t="shared" si="77"/>
        <v>0</v>
      </c>
      <c r="Y410" s="46">
        <f>0</f>
        <v>0</v>
      </c>
      <c r="Z410" s="11"/>
    </row>
    <row r="411" spans="11:26" x14ac:dyDescent="0.45">
      <c r="K411" s="39">
        <f t="shared" ref="K411:K474" si="85">ROUND(K410-StepSize,2)</f>
        <v>6.15</v>
      </c>
      <c r="L411" s="40">
        <f t="shared" si="78"/>
        <v>46.15</v>
      </c>
      <c r="M411" s="41">
        <f t="shared" si="79"/>
        <v>41.15</v>
      </c>
      <c r="N411" s="49">
        <f t="shared" si="80"/>
        <v>2.1344838407018903E-2</v>
      </c>
      <c r="O411" s="50">
        <f t="shared" si="81"/>
        <v>1.3872680416187956E-2</v>
      </c>
      <c r="P411" s="50">
        <f t="shared" ref="P411:P474" si="86">N411</f>
        <v>2.1344838407018903E-2</v>
      </c>
      <c r="Q411" s="51">
        <f t="shared" ref="Q411:Q474" si="87">O411</f>
        <v>1.3872680416187956E-2</v>
      </c>
      <c r="R411" s="4">
        <f t="shared" si="82"/>
        <v>-2.3726626824485644E-2</v>
      </c>
      <c r="S411">
        <f t="shared" si="83"/>
        <v>0</v>
      </c>
      <c r="T411">
        <f t="shared" si="84"/>
        <v>0</v>
      </c>
      <c r="U411" s="5">
        <f>0</f>
        <v>0</v>
      </c>
      <c r="V411" s="45">
        <f t="shared" ref="V411:V474" si="88">V410-StepSize*(R410)</f>
        <v>0.13484189820828202</v>
      </c>
      <c r="W411" s="45">
        <f t="shared" ref="W411:W474" si="89">W410-StepSize*(S410)</f>
        <v>0</v>
      </c>
      <c r="X411" s="45">
        <f t="shared" ref="X411:X474" si="90">X410-StepSize*(T410)</f>
        <v>0</v>
      </c>
      <c r="Y411" s="46">
        <f>0</f>
        <v>0</v>
      </c>
      <c r="Z411" s="11"/>
    </row>
    <row r="412" spans="11:26" x14ac:dyDescent="0.45">
      <c r="K412" s="39">
        <f t="shared" si="85"/>
        <v>6.14</v>
      </c>
      <c r="L412" s="40">
        <f t="shared" si="78"/>
        <v>46.14</v>
      </c>
      <c r="M412" s="41">
        <f t="shared" si="79"/>
        <v>41.14</v>
      </c>
      <c r="N412" s="49">
        <f t="shared" si="80"/>
        <v>2.1326451840710903E-2</v>
      </c>
      <c r="O412" s="50">
        <f t="shared" si="81"/>
        <v>1.3860730409658132E-2</v>
      </c>
      <c r="P412" s="50">
        <f t="shared" si="86"/>
        <v>2.1326451840710903E-2</v>
      </c>
      <c r="Q412" s="51">
        <f t="shared" si="87"/>
        <v>1.3860730409658132E-2</v>
      </c>
      <c r="R412" s="4">
        <f t="shared" si="82"/>
        <v>-2.3680168847879567E-2</v>
      </c>
      <c r="S412">
        <f t="shared" si="83"/>
        <v>0</v>
      </c>
      <c r="T412">
        <f t="shared" si="84"/>
        <v>0</v>
      </c>
      <c r="U412" s="5">
        <f>0</f>
        <v>0</v>
      </c>
      <c r="V412" s="45">
        <f t="shared" si="88"/>
        <v>0.13507916447652688</v>
      </c>
      <c r="W412" s="45">
        <f t="shared" si="89"/>
        <v>0</v>
      </c>
      <c r="X412" s="45">
        <f t="shared" si="90"/>
        <v>0</v>
      </c>
      <c r="Y412" s="46">
        <f>0</f>
        <v>0</v>
      </c>
      <c r="Z412" s="11"/>
    </row>
    <row r="413" spans="11:26" x14ac:dyDescent="0.45">
      <c r="K413" s="39">
        <f t="shared" si="85"/>
        <v>6.13</v>
      </c>
      <c r="L413" s="40">
        <f t="shared" si="78"/>
        <v>46.13</v>
      </c>
      <c r="M413" s="41">
        <f t="shared" si="79"/>
        <v>41.13</v>
      </c>
      <c r="N413" s="49">
        <f t="shared" si="80"/>
        <v>2.130808111269665E-2</v>
      </c>
      <c r="O413" s="50">
        <f t="shared" si="81"/>
        <v>1.3848790696932517E-2</v>
      </c>
      <c r="P413" s="50">
        <f t="shared" si="86"/>
        <v>2.130808111269665E-2</v>
      </c>
      <c r="Q413" s="51">
        <f t="shared" si="87"/>
        <v>1.3848790696932517E-2</v>
      </c>
      <c r="R413" s="4">
        <f t="shared" si="82"/>
        <v>-2.3633787425119662E-2</v>
      </c>
      <c r="S413">
        <f t="shared" si="83"/>
        <v>0</v>
      </c>
      <c r="T413">
        <f t="shared" si="84"/>
        <v>0</v>
      </c>
      <c r="U413" s="5">
        <f>0</f>
        <v>0</v>
      </c>
      <c r="V413" s="45">
        <f t="shared" si="88"/>
        <v>0.13531596616500566</v>
      </c>
      <c r="W413" s="45">
        <f t="shared" si="89"/>
        <v>0</v>
      </c>
      <c r="X413" s="45">
        <f t="shared" si="90"/>
        <v>0</v>
      </c>
      <c r="Y413" s="46">
        <f>0</f>
        <v>0</v>
      </c>
      <c r="Z413" s="11"/>
    </row>
    <row r="414" spans="11:26" x14ac:dyDescent="0.45">
      <c r="K414" s="39">
        <f t="shared" si="85"/>
        <v>6.12</v>
      </c>
      <c r="L414" s="40">
        <f t="shared" si="78"/>
        <v>46.12</v>
      </c>
      <c r="M414" s="41">
        <f t="shared" si="79"/>
        <v>41.12</v>
      </c>
      <c r="N414" s="49">
        <f t="shared" si="80"/>
        <v>2.1289726209332931E-2</v>
      </c>
      <c r="O414" s="50">
        <f t="shared" si="81"/>
        <v>1.3836861269143965E-2</v>
      </c>
      <c r="P414" s="50">
        <f t="shared" si="86"/>
        <v>2.1289726209332931E-2</v>
      </c>
      <c r="Q414" s="51">
        <f t="shared" si="87"/>
        <v>1.3836861269143965E-2</v>
      </c>
      <c r="R414" s="4">
        <f t="shared" si="82"/>
        <v>-2.3587482410769998E-2</v>
      </c>
      <c r="S414">
        <f t="shared" si="83"/>
        <v>0</v>
      </c>
      <c r="T414">
        <f t="shared" si="84"/>
        <v>0</v>
      </c>
      <c r="U414" s="5">
        <f>0</f>
        <v>0</v>
      </c>
      <c r="V414" s="45">
        <f t="shared" si="88"/>
        <v>0.13555230403925686</v>
      </c>
      <c r="W414" s="45">
        <f t="shared" si="89"/>
        <v>0</v>
      </c>
      <c r="X414" s="45">
        <f t="shared" si="90"/>
        <v>0</v>
      </c>
      <c r="Y414" s="46">
        <f>0</f>
        <v>0</v>
      </c>
      <c r="Z414" s="11"/>
    </row>
    <row r="415" spans="11:26" x14ac:dyDescent="0.45">
      <c r="K415" s="39">
        <f t="shared" si="85"/>
        <v>6.11</v>
      </c>
      <c r="L415" s="40">
        <f t="shared" si="78"/>
        <v>46.11</v>
      </c>
      <c r="M415" s="41">
        <f t="shared" si="79"/>
        <v>41.11</v>
      </c>
      <c r="N415" s="49">
        <f t="shared" si="80"/>
        <v>2.1271387116988325E-2</v>
      </c>
      <c r="O415" s="50">
        <f t="shared" si="81"/>
        <v>1.382494211743298E-2</v>
      </c>
      <c r="P415" s="50">
        <f t="shared" si="86"/>
        <v>2.1271387116988325E-2</v>
      </c>
      <c r="Q415" s="51">
        <f t="shared" si="87"/>
        <v>1.382494211743298E-2</v>
      </c>
      <c r="R415" s="4">
        <f t="shared" si="82"/>
        <v>-2.3541253659721945E-2</v>
      </c>
      <c r="S415">
        <f t="shared" si="83"/>
        <v>0</v>
      </c>
      <c r="T415">
        <f t="shared" si="84"/>
        <v>0</v>
      </c>
      <c r="U415" s="5">
        <f>0</f>
        <v>0</v>
      </c>
      <c r="V415" s="45">
        <f t="shared" si="88"/>
        <v>0.13578817886336456</v>
      </c>
      <c r="W415" s="45">
        <f t="shared" si="89"/>
        <v>0</v>
      </c>
      <c r="X415" s="45">
        <f t="shared" si="90"/>
        <v>0</v>
      </c>
      <c r="Y415" s="46">
        <f>0</f>
        <v>0</v>
      </c>
      <c r="Z415" s="11"/>
    </row>
    <row r="416" spans="11:26" x14ac:dyDescent="0.45">
      <c r="K416" s="39">
        <f t="shared" si="85"/>
        <v>6.1</v>
      </c>
      <c r="L416" s="40">
        <f t="shared" si="78"/>
        <v>46.1</v>
      </c>
      <c r="M416" s="41">
        <f t="shared" si="79"/>
        <v>41.1</v>
      </c>
      <c r="N416" s="49">
        <f t="shared" si="80"/>
        <v>2.125306382204312E-2</v>
      </c>
      <c r="O416" s="50">
        <f t="shared" si="81"/>
        <v>1.381303323294769E-2</v>
      </c>
      <c r="P416" s="50">
        <f t="shared" si="86"/>
        <v>2.125306382204312E-2</v>
      </c>
      <c r="Q416" s="51">
        <f t="shared" si="87"/>
        <v>1.381303323294769E-2</v>
      </c>
      <c r="R416" s="4">
        <f t="shared" si="82"/>
        <v>-2.3495101027193245E-2</v>
      </c>
      <c r="S416">
        <f t="shared" si="83"/>
        <v>0</v>
      </c>
      <c r="T416">
        <f t="shared" si="84"/>
        <v>0</v>
      </c>
      <c r="U416" s="5">
        <f>0</f>
        <v>0</v>
      </c>
      <c r="V416" s="45">
        <f t="shared" si="88"/>
        <v>0.13602359139996179</v>
      </c>
      <c r="W416" s="45">
        <f t="shared" si="89"/>
        <v>0</v>
      </c>
      <c r="X416" s="45">
        <f t="shared" si="90"/>
        <v>0</v>
      </c>
      <c r="Y416" s="46">
        <f>0</f>
        <v>0</v>
      </c>
      <c r="Z416" s="11"/>
    </row>
    <row r="417" spans="11:26" x14ac:dyDescent="0.45">
      <c r="K417" s="39">
        <f t="shared" si="85"/>
        <v>6.09</v>
      </c>
      <c r="L417" s="40">
        <f t="shared" si="78"/>
        <v>46.09</v>
      </c>
      <c r="M417" s="41">
        <f t="shared" si="79"/>
        <v>41.09</v>
      </c>
      <c r="N417" s="49">
        <f t="shared" si="80"/>
        <v>2.1234756310889343E-2</v>
      </c>
      <c r="O417" s="50">
        <f t="shared" si="81"/>
        <v>1.3801134606843844E-2</v>
      </c>
      <c r="P417" s="50">
        <f t="shared" si="86"/>
        <v>2.1234756310889343E-2</v>
      </c>
      <c r="Q417" s="51">
        <f t="shared" si="87"/>
        <v>1.3801134606843844E-2</v>
      </c>
      <c r="R417" s="4">
        <f t="shared" si="82"/>
        <v>-2.3449024368727228E-2</v>
      </c>
      <c r="S417">
        <f t="shared" si="83"/>
        <v>0</v>
      </c>
      <c r="T417">
        <f t="shared" si="84"/>
        <v>0</v>
      </c>
      <c r="U417" s="5">
        <f>0</f>
        <v>0</v>
      </c>
      <c r="V417" s="45">
        <f t="shared" si="88"/>
        <v>0.13625854241023372</v>
      </c>
      <c r="W417" s="45">
        <f t="shared" si="89"/>
        <v>0</v>
      </c>
      <c r="X417" s="45">
        <f t="shared" si="90"/>
        <v>0</v>
      </c>
      <c r="Y417" s="46">
        <f>0</f>
        <v>0</v>
      </c>
      <c r="Z417" s="11"/>
    </row>
    <row r="418" spans="11:26" x14ac:dyDescent="0.45">
      <c r="K418" s="39">
        <f t="shared" si="85"/>
        <v>6.08</v>
      </c>
      <c r="L418" s="40">
        <f t="shared" si="78"/>
        <v>46.08</v>
      </c>
      <c r="M418" s="41">
        <f t="shared" si="79"/>
        <v>41.08</v>
      </c>
      <c r="N418" s="49">
        <f t="shared" si="80"/>
        <v>2.1216464569930735E-2</v>
      </c>
      <c r="O418" s="50">
        <f t="shared" si="81"/>
        <v>1.3789246230284803E-2</v>
      </c>
      <c r="P418" s="50">
        <f t="shared" si="86"/>
        <v>2.1216464569930735E-2</v>
      </c>
      <c r="Q418" s="51">
        <f t="shared" si="87"/>
        <v>1.3789246230284803E-2</v>
      </c>
      <c r="R418" s="4">
        <f t="shared" si="82"/>
        <v>-2.3403023540191956E-2</v>
      </c>
      <c r="S418">
        <f t="shared" si="83"/>
        <v>0</v>
      </c>
      <c r="T418">
        <f t="shared" si="84"/>
        <v>0</v>
      </c>
      <c r="U418" s="5">
        <f>0</f>
        <v>0</v>
      </c>
      <c r="V418" s="45">
        <f t="shared" si="88"/>
        <v>0.13649303265392099</v>
      </c>
      <c r="W418" s="45">
        <f t="shared" si="89"/>
        <v>0</v>
      </c>
      <c r="X418" s="45">
        <f t="shared" si="90"/>
        <v>0</v>
      </c>
      <c r="Y418" s="46">
        <f>0</f>
        <v>0</v>
      </c>
      <c r="Z418" s="11"/>
    </row>
    <row r="419" spans="11:26" x14ac:dyDescent="0.45">
      <c r="K419" s="39">
        <f t="shared" si="85"/>
        <v>6.07</v>
      </c>
      <c r="L419" s="40">
        <f t="shared" si="78"/>
        <v>46.07</v>
      </c>
      <c r="M419" s="41">
        <f t="shared" si="79"/>
        <v>41.07</v>
      </c>
      <c r="N419" s="49">
        <f t="shared" si="80"/>
        <v>2.1198188585582776E-2</v>
      </c>
      <c r="O419" s="50">
        <f t="shared" si="81"/>
        <v>1.3777368094441571E-2</v>
      </c>
      <c r="P419" s="50">
        <f t="shared" si="86"/>
        <v>2.1198188585582776E-2</v>
      </c>
      <c r="Q419" s="51">
        <f t="shared" si="87"/>
        <v>1.3777368094441571E-2</v>
      </c>
      <c r="R419" s="4">
        <f t="shared" si="82"/>
        <v>-2.3357098397779434E-2</v>
      </c>
      <c r="S419">
        <f t="shared" si="83"/>
        <v>0</v>
      </c>
      <c r="T419">
        <f t="shared" si="84"/>
        <v>0</v>
      </c>
      <c r="U419" s="5">
        <f>0</f>
        <v>0</v>
      </c>
      <c r="V419" s="45">
        <f t="shared" si="88"/>
        <v>0.1367270628893229</v>
      </c>
      <c r="W419" s="45">
        <f t="shared" si="89"/>
        <v>0</v>
      </c>
      <c r="X419" s="45">
        <f t="shared" si="90"/>
        <v>0</v>
      </c>
      <c r="Y419" s="46">
        <f>0</f>
        <v>0</v>
      </c>
      <c r="Z419" s="11"/>
    </row>
    <row r="420" spans="11:26" x14ac:dyDescent="0.45">
      <c r="K420" s="39">
        <f t="shared" si="85"/>
        <v>6.06</v>
      </c>
      <c r="L420" s="40">
        <f t="shared" si="78"/>
        <v>46.06</v>
      </c>
      <c r="M420" s="41">
        <f t="shared" si="79"/>
        <v>41.06</v>
      </c>
      <c r="N420" s="49">
        <f t="shared" si="80"/>
        <v>2.1179928344272632E-2</v>
      </c>
      <c r="O420" s="50">
        <f t="shared" si="81"/>
        <v>1.3765500190492726E-2</v>
      </c>
      <c r="P420" s="50">
        <f t="shared" si="86"/>
        <v>2.1179928344272632E-2</v>
      </c>
      <c r="Q420" s="51">
        <f t="shared" si="87"/>
        <v>1.3765500190492726E-2</v>
      </c>
      <c r="R420" s="4">
        <f t="shared" si="82"/>
        <v>-2.3311248798004728E-2</v>
      </c>
      <c r="S420">
        <f t="shared" si="83"/>
        <v>0</v>
      </c>
      <c r="T420">
        <f t="shared" si="84"/>
        <v>0</v>
      </c>
      <c r="U420" s="5">
        <f>0</f>
        <v>0</v>
      </c>
      <c r="V420" s="45">
        <f t="shared" si="88"/>
        <v>0.13696063387330071</v>
      </c>
      <c r="W420" s="45">
        <f t="shared" si="89"/>
        <v>0</v>
      </c>
      <c r="X420" s="45">
        <f t="shared" si="90"/>
        <v>0</v>
      </c>
      <c r="Y420" s="46">
        <f>0</f>
        <v>0</v>
      </c>
      <c r="Z420" s="11"/>
    </row>
    <row r="421" spans="11:26" x14ac:dyDescent="0.45">
      <c r="K421" s="39">
        <f t="shared" si="85"/>
        <v>6.05</v>
      </c>
      <c r="L421" s="40">
        <f t="shared" si="78"/>
        <v>46.05</v>
      </c>
      <c r="M421" s="41">
        <f t="shared" si="79"/>
        <v>41.05</v>
      </c>
      <c r="N421" s="49">
        <f t="shared" si="80"/>
        <v>2.1161683832439139E-2</v>
      </c>
      <c r="O421" s="50">
        <f t="shared" si="81"/>
        <v>1.3753642509624448E-2</v>
      </c>
      <c r="P421" s="50">
        <f t="shared" si="86"/>
        <v>2.1161683832439139E-2</v>
      </c>
      <c r="Q421" s="51">
        <f t="shared" si="87"/>
        <v>1.3753642509624448E-2</v>
      </c>
      <c r="R421" s="4">
        <f t="shared" si="82"/>
        <v>-2.3265474597705137E-2</v>
      </c>
      <c r="S421">
        <f t="shared" si="83"/>
        <v>0</v>
      </c>
      <c r="T421">
        <f t="shared" si="84"/>
        <v>0</v>
      </c>
      <c r="U421" s="5">
        <f>0</f>
        <v>0</v>
      </c>
      <c r="V421" s="45">
        <f t="shared" si="88"/>
        <v>0.13719374636128076</v>
      </c>
      <c r="W421" s="45">
        <f t="shared" si="89"/>
        <v>0</v>
      </c>
      <c r="X421" s="45">
        <f t="shared" si="90"/>
        <v>0</v>
      </c>
      <c r="Y421" s="46">
        <f>0</f>
        <v>0</v>
      </c>
      <c r="Z421" s="11"/>
    </row>
    <row r="422" spans="11:26" x14ac:dyDescent="0.45">
      <c r="K422" s="39">
        <f t="shared" si="85"/>
        <v>6.04</v>
      </c>
      <c r="L422" s="40">
        <f t="shared" si="78"/>
        <v>46.04</v>
      </c>
      <c r="M422" s="41">
        <f t="shared" si="79"/>
        <v>41.04</v>
      </c>
      <c r="N422" s="49">
        <f t="shared" si="80"/>
        <v>2.1143455036532862E-2</v>
      </c>
      <c r="O422" s="50">
        <f t="shared" si="81"/>
        <v>1.374179504303053E-2</v>
      </c>
      <c r="P422" s="50">
        <f t="shared" si="86"/>
        <v>2.1143455036532862E-2</v>
      </c>
      <c r="Q422" s="51">
        <f t="shared" si="87"/>
        <v>1.374179504303053E-2</v>
      </c>
      <c r="R422" s="4">
        <f t="shared" si="82"/>
        <v>-2.3219775654039428E-2</v>
      </c>
      <c r="S422">
        <f t="shared" si="83"/>
        <v>0</v>
      </c>
      <c r="T422">
        <f t="shared" si="84"/>
        <v>0</v>
      </c>
      <c r="U422" s="5">
        <f>0</f>
        <v>0</v>
      </c>
      <c r="V422" s="45">
        <f t="shared" si="88"/>
        <v>0.13742640110725782</v>
      </c>
      <c r="W422" s="45">
        <f t="shared" si="89"/>
        <v>0</v>
      </c>
      <c r="X422" s="45">
        <f t="shared" si="90"/>
        <v>0</v>
      </c>
      <c r="Y422" s="46">
        <f>0</f>
        <v>0</v>
      </c>
      <c r="Z422" s="11"/>
    </row>
    <row r="423" spans="11:26" x14ac:dyDescent="0.45">
      <c r="K423" s="39">
        <f t="shared" si="85"/>
        <v>6.03</v>
      </c>
      <c r="L423" s="40">
        <f t="shared" si="78"/>
        <v>46.03</v>
      </c>
      <c r="M423" s="41">
        <f t="shared" si="79"/>
        <v>41.03</v>
      </c>
      <c r="N423" s="49">
        <f t="shared" si="80"/>
        <v>2.1125241943016002E-2</v>
      </c>
      <c r="O423" s="50">
        <f t="shared" si="81"/>
        <v>1.3729957781912333E-2</v>
      </c>
      <c r="P423" s="50">
        <f t="shared" si="86"/>
        <v>2.1125241943016002E-2</v>
      </c>
      <c r="Q423" s="51">
        <f t="shared" si="87"/>
        <v>1.3729957781912333E-2</v>
      </c>
      <c r="R423" s="4">
        <f t="shared" si="82"/>
        <v>-2.3174151824486948E-2</v>
      </c>
      <c r="S423">
        <f t="shared" si="83"/>
        <v>0</v>
      </c>
      <c r="T423">
        <f t="shared" si="84"/>
        <v>0</v>
      </c>
      <c r="U423" s="5">
        <f>0</f>
        <v>0</v>
      </c>
      <c r="V423" s="45">
        <f t="shared" si="88"/>
        <v>0.13765859886379822</v>
      </c>
      <c r="W423" s="45">
        <f t="shared" si="89"/>
        <v>0</v>
      </c>
      <c r="X423" s="45">
        <f t="shared" si="90"/>
        <v>0</v>
      </c>
      <c r="Y423" s="46">
        <f>0</f>
        <v>0</v>
      </c>
      <c r="Z423" s="11"/>
    </row>
    <row r="424" spans="11:26" x14ac:dyDescent="0.45">
      <c r="K424" s="39">
        <f t="shared" si="85"/>
        <v>6.02</v>
      </c>
      <c r="L424" s="40">
        <f t="shared" si="78"/>
        <v>46.019999999999996</v>
      </c>
      <c r="M424" s="41">
        <f t="shared" si="79"/>
        <v>41.019999999999996</v>
      </c>
      <c r="N424" s="49">
        <f t="shared" si="80"/>
        <v>2.1107044538362412E-2</v>
      </c>
      <c r="O424" s="50">
        <f t="shared" si="81"/>
        <v>1.3718130717478795E-2</v>
      </c>
      <c r="P424" s="50">
        <f t="shared" si="86"/>
        <v>2.1107044538362412E-2</v>
      </c>
      <c r="Q424" s="51">
        <f t="shared" si="87"/>
        <v>1.3718130717478795E-2</v>
      </c>
      <c r="R424" s="4">
        <f t="shared" si="82"/>
        <v>-2.3128602966846802E-2</v>
      </c>
      <c r="S424">
        <f t="shared" si="83"/>
        <v>0</v>
      </c>
      <c r="T424">
        <f t="shared" si="84"/>
        <v>0</v>
      </c>
      <c r="U424" s="5">
        <f>0</f>
        <v>0</v>
      </c>
      <c r="V424" s="45">
        <f t="shared" si="88"/>
        <v>0.13789034038204309</v>
      </c>
      <c r="W424" s="45">
        <f t="shared" si="89"/>
        <v>0</v>
      </c>
      <c r="X424" s="45">
        <f t="shared" si="90"/>
        <v>0</v>
      </c>
      <c r="Y424" s="46">
        <f>0</f>
        <v>0</v>
      </c>
      <c r="Z424" s="11"/>
    </row>
    <row r="425" spans="11:26" x14ac:dyDescent="0.45">
      <c r="K425" s="39">
        <f t="shared" si="85"/>
        <v>6.01</v>
      </c>
      <c r="L425" s="40">
        <f t="shared" si="78"/>
        <v>46.01</v>
      </c>
      <c r="M425" s="41">
        <f t="shared" si="79"/>
        <v>41.01</v>
      </c>
      <c r="N425" s="49">
        <f t="shared" si="80"/>
        <v>2.1088862809057644E-2</v>
      </c>
      <c r="O425" s="50">
        <f t="shared" si="81"/>
        <v>1.3706313840946446E-2</v>
      </c>
      <c r="P425" s="50">
        <f t="shared" si="86"/>
        <v>2.1088862809057644E-2</v>
      </c>
      <c r="Q425" s="51">
        <f t="shared" si="87"/>
        <v>1.3706313840946446E-2</v>
      </c>
      <c r="R425" s="4">
        <f t="shared" si="82"/>
        <v>-2.3083128939237137E-2</v>
      </c>
      <c r="S425">
        <f t="shared" si="83"/>
        <v>0</v>
      </c>
      <c r="T425">
        <f t="shared" si="84"/>
        <v>0</v>
      </c>
      <c r="U425" s="5">
        <f>0</f>
        <v>0</v>
      </c>
      <c r="V425" s="45">
        <f t="shared" si="88"/>
        <v>0.13812162641171155</v>
      </c>
      <c r="W425" s="45">
        <f t="shared" si="89"/>
        <v>0</v>
      </c>
      <c r="X425" s="45">
        <f t="shared" si="90"/>
        <v>0</v>
      </c>
      <c r="Y425" s="46">
        <f>0</f>
        <v>0</v>
      </c>
      <c r="Z425" s="11"/>
    </row>
    <row r="426" spans="11:26" x14ac:dyDescent="0.45">
      <c r="K426" s="39">
        <f t="shared" si="85"/>
        <v>6</v>
      </c>
      <c r="L426" s="40">
        <f t="shared" si="78"/>
        <v>46</v>
      </c>
      <c r="M426" s="41">
        <f t="shared" si="79"/>
        <v>41</v>
      </c>
      <c r="N426" s="49">
        <f t="shared" si="80"/>
        <v>2.107069674159882E-2</v>
      </c>
      <c r="O426" s="50">
        <f t="shared" si="81"/>
        <v>1.3694507143539349E-2</v>
      </c>
      <c r="P426" s="50">
        <f t="shared" si="86"/>
        <v>2.107069674159882E-2</v>
      </c>
      <c r="Q426" s="51">
        <f t="shared" si="87"/>
        <v>1.3694507143539349E-2</v>
      </c>
      <c r="R426" s="4">
        <f t="shared" si="82"/>
        <v>-2.3037729600094141E-2</v>
      </c>
      <c r="S426">
        <f t="shared" si="83"/>
        <v>0</v>
      </c>
      <c r="T426">
        <f t="shared" si="84"/>
        <v>0</v>
      </c>
      <c r="U426" s="5">
        <f>0</f>
        <v>0</v>
      </c>
      <c r="V426" s="45">
        <f t="shared" si="88"/>
        <v>0.13835245770110391</v>
      </c>
      <c r="W426" s="45">
        <f t="shared" si="89"/>
        <v>0</v>
      </c>
      <c r="X426" s="45">
        <f t="shared" si="90"/>
        <v>0</v>
      </c>
      <c r="Y426" s="46">
        <f>0</f>
        <v>0</v>
      </c>
      <c r="Z426" s="11"/>
    </row>
    <row r="427" spans="11:26" x14ac:dyDescent="0.45">
      <c r="K427" s="39">
        <f t="shared" si="85"/>
        <v>5.99</v>
      </c>
      <c r="L427" s="40">
        <f t="shared" si="78"/>
        <v>45.99</v>
      </c>
      <c r="M427" s="41">
        <f t="shared" si="79"/>
        <v>40.99</v>
      </c>
      <c r="N427" s="49">
        <f t="shared" si="80"/>
        <v>2.1052546322494821E-2</v>
      </c>
      <c r="O427" s="50">
        <f t="shared" si="81"/>
        <v>1.3682710616489192E-2</v>
      </c>
      <c r="P427" s="50">
        <f t="shared" si="86"/>
        <v>2.1052546322494821E-2</v>
      </c>
      <c r="Q427" s="51">
        <f t="shared" si="87"/>
        <v>1.3682710616489192E-2</v>
      </c>
      <c r="R427" s="4">
        <f t="shared" si="82"/>
        <v>-2.2992404808171506E-2</v>
      </c>
      <c r="S427">
        <f t="shared" si="83"/>
        <v>0</v>
      </c>
      <c r="T427">
        <f t="shared" si="84"/>
        <v>0</v>
      </c>
      <c r="U427" s="5">
        <f>0</f>
        <v>0</v>
      </c>
      <c r="V427" s="45">
        <f t="shared" si="88"/>
        <v>0.13858283499710486</v>
      </c>
      <c r="W427" s="45">
        <f t="shared" si="89"/>
        <v>0</v>
      </c>
      <c r="X427" s="45">
        <f t="shared" si="90"/>
        <v>0</v>
      </c>
      <c r="Y427" s="46">
        <f>0</f>
        <v>0</v>
      </c>
      <c r="Z427" s="11"/>
    </row>
    <row r="428" spans="11:26" x14ac:dyDescent="0.45">
      <c r="K428" s="39">
        <f t="shared" si="85"/>
        <v>5.98</v>
      </c>
      <c r="L428" s="40">
        <f t="shared" si="78"/>
        <v>45.980000000000004</v>
      </c>
      <c r="M428" s="41">
        <f t="shared" si="79"/>
        <v>40.980000000000004</v>
      </c>
      <c r="N428" s="49">
        <f t="shared" si="80"/>
        <v>2.103441153826598E-2</v>
      </c>
      <c r="O428" s="50">
        <f t="shared" si="81"/>
        <v>1.3670924251035121E-2</v>
      </c>
      <c r="P428" s="50">
        <f t="shared" si="86"/>
        <v>2.103441153826598E-2</v>
      </c>
      <c r="Q428" s="51">
        <f t="shared" si="87"/>
        <v>1.3670924251035121E-2</v>
      </c>
      <c r="R428" s="4">
        <f t="shared" si="82"/>
        <v>-2.2947154422539223E-2</v>
      </c>
      <c r="S428">
        <f t="shared" si="83"/>
        <v>0</v>
      </c>
      <c r="T428">
        <f t="shared" si="84"/>
        <v>0</v>
      </c>
      <c r="U428" s="5">
        <f>0</f>
        <v>0</v>
      </c>
      <c r="V428" s="45">
        <f t="shared" si="88"/>
        <v>0.13881275904518658</v>
      </c>
      <c r="W428" s="45">
        <f t="shared" si="89"/>
        <v>0</v>
      </c>
      <c r="X428" s="45">
        <f t="shared" si="90"/>
        <v>0</v>
      </c>
      <c r="Y428" s="46">
        <f>0</f>
        <v>0</v>
      </c>
      <c r="Z428" s="11"/>
    </row>
    <row r="429" spans="11:26" x14ac:dyDescent="0.45">
      <c r="K429" s="39">
        <f t="shared" si="85"/>
        <v>5.97</v>
      </c>
      <c r="L429" s="40">
        <f t="shared" si="78"/>
        <v>45.97</v>
      </c>
      <c r="M429" s="41">
        <f t="shared" si="79"/>
        <v>40.97</v>
      </c>
      <c r="N429" s="49">
        <f t="shared" si="80"/>
        <v>2.1016292375444348E-2</v>
      </c>
      <c r="O429" s="50">
        <f t="shared" si="81"/>
        <v>1.3659148038423885E-2</v>
      </c>
      <c r="P429" s="50">
        <f t="shared" si="86"/>
        <v>2.1016292375444348E-2</v>
      </c>
      <c r="Q429" s="51">
        <f t="shared" si="87"/>
        <v>1.3659148038423885E-2</v>
      </c>
      <c r="R429" s="4">
        <f t="shared" si="82"/>
        <v>-2.2901978302583153E-2</v>
      </c>
      <c r="S429">
        <f t="shared" si="83"/>
        <v>0</v>
      </c>
      <c r="T429">
        <f t="shared" si="84"/>
        <v>0</v>
      </c>
      <c r="U429" s="5">
        <f>0</f>
        <v>0</v>
      </c>
      <c r="V429" s="45">
        <f t="shared" si="88"/>
        <v>0.13904223058941198</v>
      </c>
      <c r="W429" s="45">
        <f t="shared" si="89"/>
        <v>0</v>
      </c>
      <c r="X429" s="45">
        <f t="shared" si="90"/>
        <v>0</v>
      </c>
      <c r="Y429" s="46">
        <f>0</f>
        <v>0</v>
      </c>
      <c r="Z429" s="11"/>
    </row>
    <row r="430" spans="11:26" x14ac:dyDescent="0.45">
      <c r="K430" s="39">
        <f t="shared" si="85"/>
        <v>5.96</v>
      </c>
      <c r="L430" s="40">
        <f t="shared" si="78"/>
        <v>45.96</v>
      </c>
      <c r="M430" s="41">
        <f t="shared" si="79"/>
        <v>40.96</v>
      </c>
      <c r="N430" s="49">
        <f t="shared" si="80"/>
        <v>2.0998188820573568E-2</v>
      </c>
      <c r="O430" s="50">
        <f t="shared" si="81"/>
        <v>1.3647381969909797E-2</v>
      </c>
      <c r="P430" s="50">
        <f t="shared" si="86"/>
        <v>2.0998188820573568E-2</v>
      </c>
      <c r="Q430" s="51">
        <f t="shared" si="87"/>
        <v>1.3647381969909797E-2</v>
      </c>
      <c r="R430" s="4">
        <f t="shared" si="82"/>
        <v>-2.2856876308004048E-2</v>
      </c>
      <c r="S430">
        <f t="shared" si="83"/>
        <v>0</v>
      </c>
      <c r="T430">
        <f t="shared" si="84"/>
        <v>0</v>
      </c>
      <c r="U430" s="5">
        <f>0</f>
        <v>0</v>
      </c>
      <c r="V430" s="45">
        <f t="shared" si="88"/>
        <v>0.13927125037243782</v>
      </c>
      <c r="W430" s="45">
        <f t="shared" si="89"/>
        <v>0</v>
      </c>
      <c r="X430" s="45">
        <f t="shared" si="90"/>
        <v>0</v>
      </c>
      <c r="Y430" s="46">
        <f>0</f>
        <v>0</v>
      </c>
      <c r="Z430" s="11"/>
    </row>
    <row r="431" spans="11:26" x14ac:dyDescent="0.45">
      <c r="K431" s="39">
        <f t="shared" si="85"/>
        <v>5.95</v>
      </c>
      <c r="L431" s="40">
        <f t="shared" si="78"/>
        <v>45.95</v>
      </c>
      <c r="M431" s="41">
        <f t="shared" si="79"/>
        <v>40.950000000000003</v>
      </c>
      <c r="N431" s="49">
        <f t="shared" si="80"/>
        <v>2.0980100860208857E-2</v>
      </c>
      <c r="O431" s="50">
        <f t="shared" si="81"/>
        <v>1.3635626036754651E-2</v>
      </c>
      <c r="P431" s="50">
        <f t="shared" si="86"/>
        <v>2.0980100860208857E-2</v>
      </c>
      <c r="Q431" s="51">
        <f t="shared" si="87"/>
        <v>1.3635626036754651E-2</v>
      </c>
      <c r="R431" s="4">
        <f t="shared" si="82"/>
        <v>-2.2811848298816724E-2</v>
      </c>
      <c r="S431">
        <f t="shared" si="83"/>
        <v>0</v>
      </c>
      <c r="T431">
        <f t="shared" si="84"/>
        <v>0</v>
      </c>
      <c r="U431" s="5">
        <f>0</f>
        <v>0</v>
      </c>
      <c r="V431" s="45">
        <f t="shared" si="88"/>
        <v>0.13949981913551784</v>
      </c>
      <c r="W431" s="45">
        <f t="shared" si="89"/>
        <v>0</v>
      </c>
      <c r="X431" s="45">
        <f t="shared" si="90"/>
        <v>0</v>
      </c>
      <c r="Y431" s="46">
        <f>0</f>
        <v>0</v>
      </c>
      <c r="Z431" s="11"/>
    </row>
    <row r="432" spans="11:26" x14ac:dyDescent="0.45">
      <c r="K432" s="39">
        <f t="shared" si="85"/>
        <v>5.94</v>
      </c>
      <c r="L432" s="40">
        <f t="shared" si="78"/>
        <v>45.94</v>
      </c>
      <c r="M432" s="41">
        <f t="shared" si="79"/>
        <v>40.94</v>
      </c>
      <c r="N432" s="49">
        <f t="shared" si="80"/>
        <v>2.0962028480917005E-2</v>
      </c>
      <c r="O432" s="50">
        <f t="shared" si="81"/>
        <v>1.3623880230227784E-2</v>
      </c>
      <c r="P432" s="50">
        <f t="shared" si="86"/>
        <v>2.0962028480917005E-2</v>
      </c>
      <c r="Q432" s="51">
        <f t="shared" si="87"/>
        <v>1.3623880230227784E-2</v>
      </c>
      <c r="R432" s="4">
        <f t="shared" si="82"/>
        <v>-2.2766894135349307E-2</v>
      </c>
      <c r="S432">
        <f t="shared" si="83"/>
        <v>0</v>
      </c>
      <c r="T432">
        <f t="shared" si="84"/>
        <v>0</v>
      </c>
      <c r="U432" s="5">
        <f>0</f>
        <v>0</v>
      </c>
      <c r="V432" s="45">
        <f t="shared" si="88"/>
        <v>0.13972793761850602</v>
      </c>
      <c r="W432" s="45">
        <f t="shared" si="89"/>
        <v>0</v>
      </c>
      <c r="X432" s="45">
        <f t="shared" si="90"/>
        <v>0</v>
      </c>
      <c r="Y432" s="46">
        <f>0</f>
        <v>0</v>
      </c>
      <c r="Z432" s="11"/>
    </row>
    <row r="433" spans="11:26" x14ac:dyDescent="0.45">
      <c r="K433" s="39">
        <f t="shared" si="85"/>
        <v>5.93</v>
      </c>
      <c r="L433" s="40">
        <f t="shared" si="78"/>
        <v>45.93</v>
      </c>
      <c r="M433" s="41">
        <f t="shared" si="79"/>
        <v>40.93</v>
      </c>
      <c r="N433" s="49">
        <f t="shared" si="80"/>
        <v>2.0943971669276407E-2</v>
      </c>
      <c r="O433" s="50">
        <f t="shared" si="81"/>
        <v>1.3612144541606089E-2</v>
      </c>
      <c r="P433" s="50">
        <f t="shared" si="86"/>
        <v>2.0943971669276407E-2</v>
      </c>
      <c r="Q433" s="51">
        <f t="shared" si="87"/>
        <v>1.3612144541606089E-2</v>
      </c>
      <c r="R433" s="4">
        <f t="shared" si="82"/>
        <v>-2.2722013678242468E-2</v>
      </c>
      <c r="S433">
        <f t="shared" si="83"/>
        <v>0</v>
      </c>
      <c r="T433">
        <f t="shared" si="84"/>
        <v>0</v>
      </c>
      <c r="U433" s="5">
        <f>0</f>
        <v>0</v>
      </c>
      <c r="V433" s="45">
        <f t="shared" si="88"/>
        <v>0.1399556065598595</v>
      </c>
      <c r="W433" s="45">
        <f t="shared" si="89"/>
        <v>0</v>
      </c>
      <c r="X433" s="45">
        <f t="shared" si="90"/>
        <v>0</v>
      </c>
      <c r="Y433" s="46">
        <f>0</f>
        <v>0</v>
      </c>
      <c r="Z433" s="11"/>
    </row>
    <row r="434" spans="11:26" x14ac:dyDescent="0.45">
      <c r="K434" s="39">
        <f t="shared" si="85"/>
        <v>5.92</v>
      </c>
      <c r="L434" s="40">
        <f t="shared" si="78"/>
        <v>45.92</v>
      </c>
      <c r="M434" s="41">
        <f t="shared" si="79"/>
        <v>40.92</v>
      </c>
      <c r="N434" s="49">
        <f t="shared" si="80"/>
        <v>2.0925930411876993E-2</v>
      </c>
      <c r="O434" s="50">
        <f t="shared" si="81"/>
        <v>1.360041896217392E-2</v>
      </c>
      <c r="P434" s="50">
        <f t="shared" si="86"/>
        <v>2.0925930411876993E-2</v>
      </c>
      <c r="Q434" s="51">
        <f t="shared" si="87"/>
        <v>1.360041896217392E-2</v>
      </c>
      <c r="R434" s="4">
        <f t="shared" si="82"/>
        <v>-2.2677206788448527E-2</v>
      </c>
      <c r="S434">
        <f t="shared" si="83"/>
        <v>0</v>
      </c>
      <c r="T434">
        <f t="shared" si="84"/>
        <v>0</v>
      </c>
      <c r="U434" s="5">
        <f>0</f>
        <v>0</v>
      </c>
      <c r="V434" s="45">
        <f t="shared" si="88"/>
        <v>0.14018282669664192</v>
      </c>
      <c r="W434" s="45">
        <f t="shared" si="89"/>
        <v>0</v>
      </c>
      <c r="X434" s="45">
        <f t="shared" si="90"/>
        <v>0</v>
      </c>
      <c r="Y434" s="46">
        <f>0</f>
        <v>0</v>
      </c>
      <c r="Z434" s="11"/>
    </row>
    <row r="435" spans="11:26" x14ac:dyDescent="0.45">
      <c r="K435" s="39">
        <f t="shared" si="85"/>
        <v>5.91</v>
      </c>
      <c r="L435" s="40">
        <f t="shared" si="78"/>
        <v>45.91</v>
      </c>
      <c r="M435" s="41">
        <f t="shared" si="79"/>
        <v>40.909999999999997</v>
      </c>
      <c r="N435" s="49">
        <f t="shared" si="80"/>
        <v>2.0907904695320237E-2</v>
      </c>
      <c r="O435" s="50">
        <f t="shared" si="81"/>
        <v>1.358870348322316E-2</v>
      </c>
      <c r="P435" s="50">
        <f t="shared" si="86"/>
        <v>2.0907904695320237E-2</v>
      </c>
      <c r="Q435" s="51">
        <f t="shared" si="87"/>
        <v>1.358870348322316E-2</v>
      </c>
      <c r="R435" s="4">
        <f t="shared" si="82"/>
        <v>-2.2632473327230722E-2</v>
      </c>
      <c r="S435">
        <f t="shared" si="83"/>
        <v>0</v>
      </c>
      <c r="T435">
        <f t="shared" si="84"/>
        <v>0</v>
      </c>
      <c r="U435" s="5">
        <f>0</f>
        <v>0</v>
      </c>
      <c r="V435" s="45">
        <f t="shared" si="88"/>
        <v>0.14040959876452641</v>
      </c>
      <c r="W435" s="45">
        <f t="shared" si="89"/>
        <v>0</v>
      </c>
      <c r="X435" s="45">
        <f t="shared" si="90"/>
        <v>0</v>
      </c>
      <c r="Y435" s="46">
        <f>0</f>
        <v>0</v>
      </c>
      <c r="Z435" s="11"/>
    </row>
    <row r="436" spans="11:26" x14ac:dyDescent="0.45">
      <c r="K436" s="39">
        <f t="shared" si="85"/>
        <v>5.9</v>
      </c>
      <c r="L436" s="40">
        <f t="shared" si="78"/>
        <v>45.9</v>
      </c>
      <c r="M436" s="41">
        <f t="shared" si="79"/>
        <v>40.9</v>
      </c>
      <c r="N436" s="49">
        <f t="shared" si="80"/>
        <v>2.0889894506219184E-2</v>
      </c>
      <c r="O436" s="50">
        <f t="shared" si="81"/>
        <v>1.3576998096053223E-2</v>
      </c>
      <c r="P436" s="50">
        <f t="shared" si="86"/>
        <v>2.0889894506219184E-2</v>
      </c>
      <c r="Q436" s="51">
        <f t="shared" si="87"/>
        <v>1.3576998096053223E-2</v>
      </c>
      <c r="R436" s="4">
        <f t="shared" si="82"/>
        <v>-2.2587813156162442E-2</v>
      </c>
      <c r="S436">
        <f t="shared" si="83"/>
        <v>0</v>
      </c>
      <c r="T436">
        <f t="shared" si="84"/>
        <v>0</v>
      </c>
      <c r="U436" s="5">
        <f>0</f>
        <v>0</v>
      </c>
      <c r="V436" s="45">
        <f t="shared" si="88"/>
        <v>0.14063592349779871</v>
      </c>
      <c r="W436" s="45">
        <f t="shared" si="89"/>
        <v>0</v>
      </c>
      <c r="X436" s="45">
        <f t="shared" si="90"/>
        <v>0</v>
      </c>
      <c r="Y436" s="46">
        <f>0</f>
        <v>0</v>
      </c>
      <c r="Z436" s="11"/>
    </row>
    <row r="437" spans="11:26" x14ac:dyDescent="0.45">
      <c r="K437" s="39">
        <f t="shared" si="85"/>
        <v>5.89</v>
      </c>
      <c r="L437" s="40">
        <f t="shared" si="78"/>
        <v>45.89</v>
      </c>
      <c r="M437" s="41">
        <f t="shared" si="79"/>
        <v>40.89</v>
      </c>
      <c r="N437" s="49">
        <f t="shared" si="80"/>
        <v>2.0871899831198391E-2</v>
      </c>
      <c r="O437" s="50">
        <f t="shared" si="81"/>
        <v>1.3565302791970971E-2</v>
      </c>
      <c r="P437" s="50">
        <f t="shared" si="86"/>
        <v>2.0871899831198391E-2</v>
      </c>
      <c r="Q437" s="51">
        <f t="shared" si="87"/>
        <v>1.3565302791970971E-2</v>
      </c>
      <c r="R437" s="4">
        <f t="shared" si="82"/>
        <v>-2.2543226137126376E-2</v>
      </c>
      <c r="S437">
        <f t="shared" si="83"/>
        <v>0</v>
      </c>
      <c r="T437">
        <f t="shared" si="84"/>
        <v>0</v>
      </c>
      <c r="U437" s="5">
        <f>0</f>
        <v>0</v>
      </c>
      <c r="V437" s="45">
        <f t="shared" si="88"/>
        <v>0.14086180162936035</v>
      </c>
      <c r="W437" s="45">
        <f t="shared" si="89"/>
        <v>0</v>
      </c>
      <c r="X437" s="45">
        <f t="shared" si="90"/>
        <v>0</v>
      </c>
      <c r="Y437" s="46">
        <f>0</f>
        <v>0</v>
      </c>
      <c r="Z437" s="11"/>
    </row>
    <row r="438" spans="11:26" x14ac:dyDescent="0.45">
      <c r="K438" s="39">
        <f t="shared" si="85"/>
        <v>5.88</v>
      </c>
      <c r="L438" s="40">
        <f t="shared" si="78"/>
        <v>45.88</v>
      </c>
      <c r="M438" s="41">
        <f t="shared" si="79"/>
        <v>40.880000000000003</v>
      </c>
      <c r="N438" s="49">
        <f t="shared" si="80"/>
        <v>2.0853920656893933E-2</v>
      </c>
      <c r="O438" s="50">
        <f t="shared" si="81"/>
        <v>1.3553617562290777E-2</v>
      </c>
      <c r="P438" s="50">
        <f t="shared" si="86"/>
        <v>2.0853920656893933E-2</v>
      </c>
      <c r="Q438" s="51">
        <f t="shared" si="87"/>
        <v>1.3553617562290777E-2</v>
      </c>
      <c r="R438" s="4">
        <f t="shared" si="82"/>
        <v>-2.249871213231373E-2</v>
      </c>
      <c r="S438">
        <f t="shared" si="83"/>
        <v>0</v>
      </c>
      <c r="T438">
        <f t="shared" si="84"/>
        <v>0</v>
      </c>
      <c r="U438" s="5">
        <f>0</f>
        <v>0</v>
      </c>
      <c r="V438" s="45">
        <f t="shared" si="88"/>
        <v>0.14108723389073161</v>
      </c>
      <c r="W438" s="45">
        <f t="shared" si="89"/>
        <v>0</v>
      </c>
      <c r="X438" s="45">
        <f t="shared" si="90"/>
        <v>0</v>
      </c>
      <c r="Y438" s="46">
        <f>0</f>
        <v>0</v>
      </c>
      <c r="Z438" s="11"/>
    </row>
    <row r="439" spans="11:26" x14ac:dyDescent="0.45">
      <c r="K439" s="39">
        <f t="shared" si="85"/>
        <v>5.87</v>
      </c>
      <c r="L439" s="40">
        <f t="shared" si="78"/>
        <v>45.87</v>
      </c>
      <c r="M439" s="41">
        <f t="shared" si="79"/>
        <v>40.869999999999997</v>
      </c>
      <c r="N439" s="49">
        <f t="shared" si="80"/>
        <v>2.0835956969953405E-2</v>
      </c>
      <c r="O439" s="50">
        <f t="shared" si="81"/>
        <v>1.3541942398334488E-2</v>
      </c>
      <c r="P439" s="50">
        <f t="shared" si="86"/>
        <v>2.0835956969953405E-2</v>
      </c>
      <c r="Q439" s="51">
        <f t="shared" si="87"/>
        <v>1.3541942398334488E-2</v>
      </c>
      <c r="R439" s="4">
        <f t="shared" si="82"/>
        <v>-2.2454271004223481E-2</v>
      </c>
      <c r="S439">
        <f t="shared" si="83"/>
        <v>0</v>
      </c>
      <c r="T439">
        <f t="shared" si="84"/>
        <v>0</v>
      </c>
      <c r="U439" s="5">
        <f>0</f>
        <v>0</v>
      </c>
      <c r="V439" s="45">
        <f t="shared" si="88"/>
        <v>0.14131222101205473</v>
      </c>
      <c r="W439" s="45">
        <f t="shared" si="89"/>
        <v>0</v>
      </c>
      <c r="X439" s="45">
        <f t="shared" si="90"/>
        <v>0</v>
      </c>
      <c r="Y439" s="46">
        <f>0</f>
        <v>0</v>
      </c>
      <c r="Z439" s="11"/>
    </row>
    <row r="440" spans="11:26" x14ac:dyDescent="0.45">
      <c r="K440" s="39">
        <f t="shared" si="85"/>
        <v>5.86</v>
      </c>
      <c r="L440" s="40">
        <f t="shared" si="78"/>
        <v>45.86</v>
      </c>
      <c r="M440" s="41">
        <f t="shared" si="79"/>
        <v>40.86</v>
      </c>
      <c r="N440" s="49">
        <f t="shared" si="80"/>
        <v>2.0818008757035912E-2</v>
      </c>
      <c r="O440" s="50">
        <f t="shared" si="81"/>
        <v>1.3530277291431443E-2</v>
      </c>
      <c r="P440" s="50">
        <f t="shared" si="86"/>
        <v>2.0818008757035912E-2</v>
      </c>
      <c r="Q440" s="51">
        <f t="shared" si="87"/>
        <v>1.3530277291431443E-2</v>
      </c>
      <c r="R440" s="4">
        <f t="shared" si="82"/>
        <v>-2.2409902615661583E-2</v>
      </c>
      <c r="S440">
        <f t="shared" si="83"/>
        <v>0</v>
      </c>
      <c r="T440">
        <f t="shared" si="84"/>
        <v>0</v>
      </c>
      <c r="U440" s="5">
        <f>0</f>
        <v>0</v>
      </c>
      <c r="V440" s="45">
        <f t="shared" si="88"/>
        <v>0.14153676372209698</v>
      </c>
      <c r="W440" s="45">
        <f t="shared" si="89"/>
        <v>0</v>
      </c>
      <c r="X440" s="45">
        <f t="shared" si="90"/>
        <v>0</v>
      </c>
      <c r="Y440" s="46">
        <f>0</f>
        <v>0</v>
      </c>
      <c r="Z440" s="11"/>
    </row>
    <row r="441" spans="11:26" x14ac:dyDescent="0.45">
      <c r="K441" s="39">
        <f t="shared" si="85"/>
        <v>5.85</v>
      </c>
      <c r="L441" s="40">
        <f t="shared" si="78"/>
        <v>45.85</v>
      </c>
      <c r="M441" s="41">
        <f t="shared" si="79"/>
        <v>40.85</v>
      </c>
      <c r="N441" s="49">
        <f t="shared" si="80"/>
        <v>2.080007600481204E-2</v>
      </c>
      <c r="O441" s="50">
        <f t="shared" si="81"/>
        <v>1.3518622232918439E-2</v>
      </c>
      <c r="P441" s="50">
        <f t="shared" si="86"/>
        <v>2.080007600481204E-2</v>
      </c>
      <c r="Q441" s="51">
        <f t="shared" si="87"/>
        <v>1.3518622232918439E-2</v>
      </c>
      <c r="R441" s="4">
        <f t="shared" si="82"/>
        <v>-2.2365606829740155E-2</v>
      </c>
      <c r="S441">
        <f t="shared" si="83"/>
        <v>0</v>
      </c>
      <c r="T441">
        <f t="shared" si="84"/>
        <v>0</v>
      </c>
      <c r="U441" s="5">
        <f>0</f>
        <v>0</v>
      </c>
      <c r="V441" s="45">
        <f t="shared" si="88"/>
        <v>0.14176086274825359</v>
      </c>
      <c r="W441" s="45">
        <f t="shared" si="89"/>
        <v>0</v>
      </c>
      <c r="X441" s="45">
        <f t="shared" si="90"/>
        <v>0</v>
      </c>
      <c r="Y441" s="46">
        <f>0</f>
        <v>0</v>
      </c>
      <c r="Z441" s="11"/>
    </row>
    <row r="442" spans="11:26" x14ac:dyDescent="0.45">
      <c r="K442" s="39">
        <f t="shared" si="85"/>
        <v>5.84</v>
      </c>
      <c r="L442" s="40">
        <f t="shared" si="78"/>
        <v>45.84</v>
      </c>
      <c r="M442" s="41">
        <f t="shared" si="79"/>
        <v>40.840000000000003</v>
      </c>
      <c r="N442" s="49">
        <f t="shared" si="80"/>
        <v>2.078215869996386E-2</v>
      </c>
      <c r="O442" s="50">
        <f t="shared" si="81"/>
        <v>1.3506977214139725E-2</v>
      </c>
      <c r="P442" s="50">
        <f t="shared" si="86"/>
        <v>2.078215869996386E-2</v>
      </c>
      <c r="Q442" s="51">
        <f t="shared" si="87"/>
        <v>1.3506977214139725E-2</v>
      </c>
      <c r="R442" s="4">
        <f t="shared" si="82"/>
        <v>-2.2321383509876724E-2</v>
      </c>
      <c r="S442">
        <f t="shared" si="83"/>
        <v>0</v>
      </c>
      <c r="T442">
        <f t="shared" si="84"/>
        <v>0</v>
      </c>
      <c r="U442" s="5">
        <f>0</f>
        <v>0</v>
      </c>
      <c r="V442" s="45">
        <f t="shared" si="88"/>
        <v>0.141984518816551</v>
      </c>
      <c r="W442" s="45">
        <f t="shared" si="89"/>
        <v>0</v>
      </c>
      <c r="X442" s="45">
        <f t="shared" si="90"/>
        <v>0</v>
      </c>
      <c r="Y442" s="46">
        <f>0</f>
        <v>0</v>
      </c>
      <c r="Z442" s="11"/>
    </row>
    <row r="443" spans="11:26" x14ac:dyDescent="0.45">
      <c r="K443" s="39">
        <f t="shared" si="85"/>
        <v>5.83</v>
      </c>
      <c r="L443" s="40">
        <f t="shared" si="78"/>
        <v>45.83</v>
      </c>
      <c r="M443" s="41">
        <f t="shared" si="79"/>
        <v>40.83</v>
      </c>
      <c r="N443" s="49">
        <f t="shared" si="80"/>
        <v>2.0764256829184882E-2</v>
      </c>
      <c r="O443" s="50">
        <f t="shared" si="81"/>
        <v>1.3495342226447016E-2</v>
      </c>
      <c r="P443" s="50">
        <f t="shared" si="86"/>
        <v>2.0764256829184882E-2</v>
      </c>
      <c r="Q443" s="51">
        <f t="shared" si="87"/>
        <v>1.3495342226447016E-2</v>
      </c>
      <c r="R443" s="4">
        <f t="shared" si="82"/>
        <v>-2.2277232519793393E-2</v>
      </c>
      <c r="S443">
        <f t="shared" si="83"/>
        <v>0</v>
      </c>
      <c r="T443">
        <f t="shared" si="84"/>
        <v>0</v>
      </c>
      <c r="U443" s="5">
        <f>0</f>
        <v>0</v>
      </c>
      <c r="V443" s="45">
        <f t="shared" si="88"/>
        <v>0.14220773265164977</v>
      </c>
      <c r="W443" s="45">
        <f t="shared" si="89"/>
        <v>0</v>
      </c>
      <c r="X443" s="45">
        <f t="shared" si="90"/>
        <v>0</v>
      </c>
      <c r="Y443" s="46">
        <f>0</f>
        <v>0</v>
      </c>
      <c r="Z443" s="11"/>
    </row>
    <row r="444" spans="11:26" x14ac:dyDescent="0.45">
      <c r="K444" s="39">
        <f t="shared" si="85"/>
        <v>5.82</v>
      </c>
      <c r="L444" s="40">
        <f t="shared" si="78"/>
        <v>45.82</v>
      </c>
      <c r="M444" s="41">
        <f t="shared" si="79"/>
        <v>40.82</v>
      </c>
      <c r="N444" s="49">
        <f t="shared" si="80"/>
        <v>2.0746370379180156E-2</v>
      </c>
      <c r="O444" s="50">
        <f t="shared" si="81"/>
        <v>1.3483717261199488E-2</v>
      </c>
      <c r="P444" s="50">
        <f t="shared" si="86"/>
        <v>2.0746370379180156E-2</v>
      </c>
      <c r="Q444" s="51">
        <f t="shared" si="87"/>
        <v>1.3483717261199488E-2</v>
      </c>
      <c r="R444" s="4">
        <f t="shared" si="82"/>
        <v>-2.2233153723516232E-2</v>
      </c>
      <c r="S444">
        <f t="shared" si="83"/>
        <v>0</v>
      </c>
      <c r="T444">
        <f t="shared" si="84"/>
        <v>0</v>
      </c>
      <c r="U444" s="5">
        <f>0</f>
        <v>0</v>
      </c>
      <c r="V444" s="45">
        <f t="shared" si="88"/>
        <v>0.1424305049768477</v>
      </c>
      <c r="W444" s="45">
        <f t="shared" si="89"/>
        <v>0</v>
      </c>
      <c r="X444" s="45">
        <f t="shared" si="90"/>
        <v>0</v>
      </c>
      <c r="Y444" s="46">
        <f>0</f>
        <v>0</v>
      </c>
      <c r="Z444" s="11"/>
    </row>
    <row r="445" spans="11:26" x14ac:dyDescent="0.45">
      <c r="K445" s="39">
        <f t="shared" si="85"/>
        <v>5.81</v>
      </c>
      <c r="L445" s="40">
        <f t="shared" si="78"/>
        <v>45.81</v>
      </c>
      <c r="M445" s="41">
        <f t="shared" si="79"/>
        <v>40.81</v>
      </c>
      <c r="N445" s="49">
        <f t="shared" si="80"/>
        <v>2.0728499336666126E-2</v>
      </c>
      <c r="O445" s="50">
        <f t="shared" si="81"/>
        <v>1.3472102309763746E-2</v>
      </c>
      <c r="P445" s="50">
        <f t="shared" si="86"/>
        <v>2.0728499336666126E-2</v>
      </c>
      <c r="Q445" s="51">
        <f t="shared" si="87"/>
        <v>1.3472102309763746E-2</v>
      </c>
      <c r="R445" s="4">
        <f t="shared" si="82"/>
        <v>-2.2189146985374292E-2</v>
      </c>
      <c r="S445">
        <f t="shared" si="83"/>
        <v>0</v>
      </c>
      <c r="T445">
        <f t="shared" si="84"/>
        <v>0</v>
      </c>
      <c r="U445" s="5">
        <f>0</f>
        <v>0</v>
      </c>
      <c r="V445" s="45">
        <f t="shared" si="88"/>
        <v>0.14265283651408286</v>
      </c>
      <c r="W445" s="45">
        <f t="shared" si="89"/>
        <v>0</v>
      </c>
      <c r="X445" s="45">
        <f t="shared" si="90"/>
        <v>0</v>
      </c>
      <c r="Y445" s="46">
        <f>0</f>
        <v>0</v>
      </c>
      <c r="Z445" s="11"/>
    </row>
    <row r="446" spans="11:26" x14ac:dyDescent="0.45">
      <c r="K446" s="39">
        <f t="shared" si="85"/>
        <v>5.8</v>
      </c>
      <c r="L446" s="40">
        <f t="shared" si="78"/>
        <v>45.8</v>
      </c>
      <c r="M446" s="41">
        <f t="shared" si="79"/>
        <v>40.799999999999997</v>
      </c>
      <c r="N446" s="49">
        <f t="shared" si="80"/>
        <v>2.0710643688370663E-2</v>
      </c>
      <c r="O446" s="50">
        <f t="shared" si="81"/>
        <v>1.3460497363513822E-2</v>
      </c>
      <c r="P446" s="50">
        <f t="shared" si="86"/>
        <v>2.0710643688370663E-2</v>
      </c>
      <c r="Q446" s="51">
        <f t="shared" si="87"/>
        <v>1.3460497363513822E-2</v>
      </c>
      <c r="R446" s="4">
        <f t="shared" si="82"/>
        <v>-2.2145212169998929E-2</v>
      </c>
      <c r="S446">
        <f t="shared" si="83"/>
        <v>0</v>
      </c>
      <c r="T446">
        <f t="shared" si="84"/>
        <v>0</v>
      </c>
      <c r="U446" s="5">
        <f>0</f>
        <v>0</v>
      </c>
      <c r="V446" s="45">
        <f t="shared" si="88"/>
        <v>0.14287472798393661</v>
      </c>
      <c r="W446" s="45">
        <f t="shared" si="89"/>
        <v>0</v>
      </c>
      <c r="X446" s="45">
        <f t="shared" si="90"/>
        <v>0</v>
      </c>
      <c r="Y446" s="46">
        <f>0</f>
        <v>0</v>
      </c>
      <c r="Z446" s="11"/>
    </row>
    <row r="447" spans="11:26" x14ac:dyDescent="0.45">
      <c r="K447" s="39">
        <f t="shared" si="85"/>
        <v>5.79</v>
      </c>
      <c r="L447" s="40">
        <f t="shared" si="78"/>
        <v>45.79</v>
      </c>
      <c r="M447" s="41">
        <f t="shared" si="79"/>
        <v>40.79</v>
      </c>
      <c r="N447" s="49">
        <f t="shared" si="80"/>
        <v>2.0692803421033135E-2</v>
      </c>
      <c r="O447" s="50">
        <f t="shared" si="81"/>
        <v>1.3448902413831209E-2</v>
      </c>
      <c r="P447" s="50">
        <f t="shared" si="86"/>
        <v>2.0692803421033135E-2</v>
      </c>
      <c r="Q447" s="51">
        <f t="shared" si="87"/>
        <v>1.3448902413831209E-2</v>
      </c>
      <c r="R447" s="4">
        <f t="shared" si="82"/>
        <v>-2.2101349142323104E-2</v>
      </c>
      <c r="S447">
        <f t="shared" si="83"/>
        <v>0</v>
      </c>
      <c r="T447">
        <f t="shared" si="84"/>
        <v>0</v>
      </c>
      <c r="U447" s="5">
        <f>0</f>
        <v>0</v>
      </c>
      <c r="V447" s="45">
        <f t="shared" si="88"/>
        <v>0.1430961801056366</v>
      </c>
      <c r="W447" s="45">
        <f t="shared" si="89"/>
        <v>0</v>
      </c>
      <c r="X447" s="45">
        <f t="shared" si="90"/>
        <v>0</v>
      </c>
      <c r="Y447" s="46">
        <f>0</f>
        <v>0</v>
      </c>
      <c r="Z447" s="11"/>
    </row>
    <row r="448" spans="11:26" x14ac:dyDescent="0.45">
      <c r="K448" s="39">
        <f t="shared" si="85"/>
        <v>5.78</v>
      </c>
      <c r="L448" s="40">
        <f t="shared" si="78"/>
        <v>45.78</v>
      </c>
      <c r="M448" s="41">
        <f t="shared" si="79"/>
        <v>40.78</v>
      </c>
      <c r="N448" s="49">
        <f t="shared" si="80"/>
        <v>2.0674978521404291E-2</v>
      </c>
      <c r="O448" s="50">
        <f t="shared" si="81"/>
        <v>1.3437317452104802E-2</v>
      </c>
      <c r="P448" s="50">
        <f t="shared" si="86"/>
        <v>2.0674978521404291E-2</v>
      </c>
      <c r="Q448" s="51">
        <f t="shared" si="87"/>
        <v>1.3437317452104802E-2</v>
      </c>
      <c r="R448" s="4">
        <f t="shared" si="82"/>
        <v>-2.2057557767580491E-2</v>
      </c>
      <c r="S448">
        <f t="shared" si="83"/>
        <v>0</v>
      </c>
      <c r="T448">
        <f t="shared" si="84"/>
        <v>0</v>
      </c>
      <c r="U448" s="5">
        <f>0</f>
        <v>0</v>
      </c>
      <c r="V448" s="45">
        <f t="shared" si="88"/>
        <v>0.14331719359705983</v>
      </c>
      <c r="W448" s="45">
        <f t="shared" si="89"/>
        <v>0</v>
      </c>
      <c r="X448" s="45">
        <f t="shared" si="90"/>
        <v>0</v>
      </c>
      <c r="Y448" s="46">
        <f>0</f>
        <v>0</v>
      </c>
      <c r="Z448" s="11"/>
    </row>
    <row r="449" spans="11:26" x14ac:dyDescent="0.45">
      <c r="K449" s="39">
        <f t="shared" si="85"/>
        <v>5.77</v>
      </c>
      <c r="L449" s="40">
        <f t="shared" si="78"/>
        <v>45.769999999999996</v>
      </c>
      <c r="M449" s="41">
        <f t="shared" si="79"/>
        <v>40.769999999999996</v>
      </c>
      <c r="N449" s="49">
        <f t="shared" si="80"/>
        <v>2.0657168976246264E-2</v>
      </c>
      <c r="O449" s="50">
        <f t="shared" si="81"/>
        <v>1.3425742469730906E-2</v>
      </c>
      <c r="P449" s="50">
        <f t="shared" si="86"/>
        <v>2.0657168976246264E-2</v>
      </c>
      <c r="Q449" s="51">
        <f t="shared" si="87"/>
        <v>1.3425742469730906E-2</v>
      </c>
      <c r="R449" s="4">
        <f t="shared" si="82"/>
        <v>-2.2013837911304766E-2</v>
      </c>
      <c r="S449">
        <f t="shared" si="83"/>
        <v>0</v>
      </c>
      <c r="T449">
        <f t="shared" si="84"/>
        <v>0</v>
      </c>
      <c r="U449" s="5">
        <f>0</f>
        <v>0</v>
      </c>
      <c r="V449" s="45">
        <f t="shared" si="88"/>
        <v>0.14353776917473562</v>
      </c>
      <c r="W449" s="45">
        <f t="shared" si="89"/>
        <v>0</v>
      </c>
      <c r="X449" s="45">
        <f t="shared" si="90"/>
        <v>0</v>
      </c>
      <c r="Y449" s="46">
        <f>0</f>
        <v>0</v>
      </c>
      <c r="Z449" s="11"/>
    </row>
    <row r="450" spans="11:26" x14ac:dyDescent="0.45">
      <c r="K450" s="39">
        <f t="shared" si="85"/>
        <v>5.76</v>
      </c>
      <c r="L450" s="40">
        <f t="shared" si="78"/>
        <v>45.76</v>
      </c>
      <c r="M450" s="41">
        <f t="shared" si="79"/>
        <v>40.76</v>
      </c>
      <c r="N450" s="49">
        <f t="shared" si="80"/>
        <v>2.0639374772332676E-2</v>
      </c>
      <c r="O450" s="50">
        <f t="shared" si="81"/>
        <v>1.3414177458113267E-2</v>
      </c>
      <c r="P450" s="50">
        <f t="shared" si="86"/>
        <v>2.0639374772332676E-2</v>
      </c>
      <c r="Q450" s="51">
        <f t="shared" si="87"/>
        <v>1.3414177458113267E-2</v>
      </c>
      <c r="R450" s="4">
        <f t="shared" si="82"/>
        <v>-2.1970189439328908E-2</v>
      </c>
      <c r="S450">
        <f t="shared" si="83"/>
        <v>0</v>
      </c>
      <c r="T450">
        <f t="shared" si="84"/>
        <v>0</v>
      </c>
      <c r="U450" s="5">
        <f>0</f>
        <v>0</v>
      </c>
      <c r="V450" s="45">
        <f t="shared" si="88"/>
        <v>0.14375790755384868</v>
      </c>
      <c r="W450" s="45">
        <f t="shared" si="89"/>
        <v>0</v>
      </c>
      <c r="X450" s="45">
        <f t="shared" si="90"/>
        <v>0</v>
      </c>
      <c r="Y450" s="46">
        <f>0</f>
        <v>0</v>
      </c>
      <c r="Z450" s="11"/>
    </row>
    <row r="451" spans="11:26" x14ac:dyDescent="0.45">
      <c r="K451" s="39">
        <f t="shared" si="85"/>
        <v>5.75</v>
      </c>
      <c r="L451" s="40">
        <f t="shared" si="78"/>
        <v>45.75</v>
      </c>
      <c r="M451" s="41">
        <f t="shared" si="79"/>
        <v>40.75</v>
      </c>
      <c r="N451" s="49">
        <f t="shared" si="80"/>
        <v>2.0621595896448457E-2</v>
      </c>
      <c r="O451" s="50">
        <f t="shared" si="81"/>
        <v>1.3402622408663011E-2</v>
      </c>
      <c r="P451" s="50">
        <f t="shared" si="86"/>
        <v>2.0621595896448457E-2</v>
      </c>
      <c r="Q451" s="51">
        <f t="shared" si="87"/>
        <v>1.3402622408663011E-2</v>
      </c>
      <c r="R451" s="4">
        <f t="shared" si="82"/>
        <v>-2.1926612217784303E-2</v>
      </c>
      <c r="S451">
        <f t="shared" si="83"/>
        <v>0</v>
      </c>
      <c r="T451">
        <f t="shared" si="84"/>
        <v>0</v>
      </c>
      <c r="U451" s="5">
        <f>0</f>
        <v>0</v>
      </c>
      <c r="V451" s="45">
        <f t="shared" si="88"/>
        <v>0.14397760944824198</v>
      </c>
      <c r="W451" s="45">
        <f t="shared" si="89"/>
        <v>0</v>
      </c>
      <c r="X451" s="45">
        <f t="shared" si="90"/>
        <v>0</v>
      </c>
      <c r="Y451" s="46">
        <f>0</f>
        <v>0</v>
      </c>
      <c r="Z451" s="11"/>
    </row>
    <row r="452" spans="11:26" x14ac:dyDescent="0.45">
      <c r="K452" s="39">
        <f t="shared" si="85"/>
        <v>5.74</v>
      </c>
      <c r="L452" s="40">
        <f t="shared" si="78"/>
        <v>45.74</v>
      </c>
      <c r="M452" s="41">
        <f t="shared" si="79"/>
        <v>40.74</v>
      </c>
      <c r="N452" s="49">
        <f t="shared" si="80"/>
        <v>2.0603832335389961E-2</v>
      </c>
      <c r="O452" s="50">
        <f t="shared" si="81"/>
        <v>1.3391077312798667E-2</v>
      </c>
      <c r="P452" s="50">
        <f t="shared" si="86"/>
        <v>2.0603832335389961E-2</v>
      </c>
      <c r="Q452" s="51">
        <f t="shared" si="87"/>
        <v>1.3391077312798667E-2</v>
      </c>
      <c r="R452" s="4">
        <f t="shared" si="82"/>
        <v>-2.1883106113100115E-2</v>
      </c>
      <c r="S452">
        <f t="shared" si="83"/>
        <v>0</v>
      </c>
      <c r="T452">
        <f t="shared" si="84"/>
        <v>0</v>
      </c>
      <c r="U452" s="5">
        <f>0</f>
        <v>0</v>
      </c>
      <c r="V452" s="45">
        <f t="shared" si="88"/>
        <v>0.14419687557041982</v>
      </c>
      <c r="W452" s="45">
        <f t="shared" si="89"/>
        <v>0</v>
      </c>
      <c r="X452" s="45">
        <f t="shared" si="90"/>
        <v>0</v>
      </c>
      <c r="Y452" s="46">
        <f>0</f>
        <v>0</v>
      </c>
      <c r="Z452" s="11"/>
    </row>
    <row r="453" spans="11:26" x14ac:dyDescent="0.45">
      <c r="K453" s="39">
        <f t="shared" si="85"/>
        <v>5.73</v>
      </c>
      <c r="L453" s="40">
        <f t="shared" si="78"/>
        <v>45.730000000000004</v>
      </c>
      <c r="M453" s="41">
        <f t="shared" si="79"/>
        <v>40.730000000000004</v>
      </c>
      <c r="N453" s="49">
        <f t="shared" si="80"/>
        <v>2.0586084075964916E-2</v>
      </c>
      <c r="O453" s="50">
        <f t="shared" si="81"/>
        <v>1.3379542161946163E-2</v>
      </c>
      <c r="P453" s="50">
        <f t="shared" si="86"/>
        <v>2.0586084075964916E-2</v>
      </c>
      <c r="Q453" s="51">
        <f t="shared" si="87"/>
        <v>1.3379542161946163E-2</v>
      </c>
      <c r="R453" s="4">
        <f t="shared" si="82"/>
        <v>-2.1839670992002468E-2</v>
      </c>
      <c r="S453">
        <f t="shared" si="83"/>
        <v>0</v>
      </c>
      <c r="T453">
        <f t="shared" si="84"/>
        <v>0</v>
      </c>
      <c r="U453" s="5">
        <f>0</f>
        <v>0</v>
      </c>
      <c r="V453" s="45">
        <f t="shared" si="88"/>
        <v>0.14441570663155082</v>
      </c>
      <c r="W453" s="45">
        <f t="shared" si="89"/>
        <v>0</v>
      </c>
      <c r="X453" s="45">
        <f t="shared" si="90"/>
        <v>0</v>
      </c>
      <c r="Y453" s="46">
        <f>0</f>
        <v>0</v>
      </c>
      <c r="Z453" s="11"/>
    </row>
    <row r="454" spans="11:26" x14ac:dyDescent="0.45">
      <c r="K454" s="39">
        <f t="shared" si="85"/>
        <v>5.72</v>
      </c>
      <c r="L454" s="40">
        <f t="shared" si="78"/>
        <v>45.72</v>
      </c>
      <c r="M454" s="41">
        <f t="shared" si="79"/>
        <v>40.72</v>
      </c>
      <c r="N454" s="49">
        <f t="shared" si="80"/>
        <v>2.0568351104992388E-2</v>
      </c>
      <c r="O454" s="50">
        <f t="shared" si="81"/>
        <v>1.3368016947538801E-2</v>
      </c>
      <c r="P454" s="50">
        <f t="shared" si="86"/>
        <v>2.0568351104992388E-2</v>
      </c>
      <c r="Q454" s="51">
        <f t="shared" si="87"/>
        <v>1.3368016947538801E-2</v>
      </c>
      <c r="R454" s="4">
        <f t="shared" si="82"/>
        <v>-2.1796306721513663E-2</v>
      </c>
      <c r="S454">
        <f t="shared" si="83"/>
        <v>0</v>
      </c>
      <c r="T454">
        <f t="shared" si="84"/>
        <v>0</v>
      </c>
      <c r="U454" s="5">
        <f>0</f>
        <v>0</v>
      </c>
      <c r="V454" s="45">
        <f t="shared" si="88"/>
        <v>0.14463410334147084</v>
      </c>
      <c r="W454" s="45">
        <f t="shared" si="89"/>
        <v>0</v>
      </c>
      <c r="X454" s="45">
        <f t="shared" si="90"/>
        <v>0</v>
      </c>
      <c r="Y454" s="46">
        <f>0</f>
        <v>0</v>
      </c>
      <c r="Z454" s="11"/>
    </row>
    <row r="455" spans="11:26" x14ac:dyDescent="0.45">
      <c r="K455" s="39">
        <f t="shared" si="85"/>
        <v>5.71</v>
      </c>
      <c r="L455" s="40">
        <f t="shared" si="78"/>
        <v>45.71</v>
      </c>
      <c r="M455" s="41">
        <f t="shared" si="79"/>
        <v>40.71</v>
      </c>
      <c r="N455" s="49">
        <f t="shared" si="80"/>
        <v>2.055063340930284E-2</v>
      </c>
      <c r="O455" s="50">
        <f t="shared" si="81"/>
        <v>1.3356501661017282E-2</v>
      </c>
      <c r="P455" s="50">
        <f t="shared" si="86"/>
        <v>2.055063340930284E-2</v>
      </c>
      <c r="Q455" s="51">
        <f t="shared" si="87"/>
        <v>1.3356501661017282E-2</v>
      </c>
      <c r="R455" s="4">
        <f t="shared" si="82"/>
        <v>-2.1753013168951528E-2</v>
      </c>
      <c r="S455">
        <f t="shared" si="83"/>
        <v>0</v>
      </c>
      <c r="T455">
        <f t="shared" si="84"/>
        <v>0</v>
      </c>
      <c r="U455" s="5">
        <f>0</f>
        <v>0</v>
      </c>
      <c r="V455" s="45">
        <f t="shared" si="88"/>
        <v>0.14485206640868598</v>
      </c>
      <c r="W455" s="45">
        <f t="shared" si="89"/>
        <v>0</v>
      </c>
      <c r="X455" s="45">
        <f t="shared" si="90"/>
        <v>0</v>
      </c>
      <c r="Y455" s="46">
        <f>0</f>
        <v>0</v>
      </c>
      <c r="Z455" s="11"/>
    </row>
    <row r="456" spans="11:26" x14ac:dyDescent="0.45">
      <c r="K456" s="39">
        <f t="shared" si="85"/>
        <v>5.7</v>
      </c>
      <c r="L456" s="40">
        <f t="shared" si="78"/>
        <v>45.7</v>
      </c>
      <c r="M456" s="41">
        <f t="shared" si="79"/>
        <v>40.700000000000003</v>
      </c>
      <c r="N456" s="49">
        <f t="shared" si="80"/>
        <v>2.0532930975738047E-2</v>
      </c>
      <c r="O456" s="50">
        <f t="shared" si="81"/>
        <v>1.3344996293829662E-2</v>
      </c>
      <c r="P456" s="50">
        <f t="shared" si="86"/>
        <v>2.0532930975738047E-2</v>
      </c>
      <c r="Q456" s="51">
        <f t="shared" si="87"/>
        <v>1.3344996293829662E-2</v>
      </c>
      <c r="R456" s="4">
        <f t="shared" si="82"/>
        <v>-2.1709790201928564E-2</v>
      </c>
      <c r="S456">
        <f t="shared" si="83"/>
        <v>0</v>
      </c>
      <c r="T456">
        <f t="shared" si="84"/>
        <v>0</v>
      </c>
      <c r="U456" s="5">
        <f>0</f>
        <v>0</v>
      </c>
      <c r="V456" s="45">
        <f t="shared" si="88"/>
        <v>0.14506959654037549</v>
      </c>
      <c r="W456" s="45">
        <f t="shared" si="89"/>
        <v>0</v>
      </c>
      <c r="X456" s="45">
        <f t="shared" si="90"/>
        <v>0</v>
      </c>
      <c r="Y456" s="46">
        <f>0</f>
        <v>0</v>
      </c>
      <c r="Z456" s="11"/>
    </row>
    <row r="457" spans="11:26" x14ac:dyDescent="0.45">
      <c r="K457" s="39">
        <f t="shared" si="85"/>
        <v>5.69</v>
      </c>
      <c r="L457" s="40">
        <f t="shared" si="78"/>
        <v>45.69</v>
      </c>
      <c r="M457" s="41">
        <f t="shared" si="79"/>
        <v>40.69</v>
      </c>
      <c r="N457" s="49">
        <f t="shared" si="80"/>
        <v>2.0515243791151116E-2</v>
      </c>
      <c r="O457" s="50">
        <f t="shared" si="81"/>
        <v>1.3333500837431362E-2</v>
      </c>
      <c r="P457" s="50">
        <f t="shared" si="86"/>
        <v>2.0515243791151116E-2</v>
      </c>
      <c r="Q457" s="51">
        <f t="shared" si="87"/>
        <v>1.3333500837431362E-2</v>
      </c>
      <c r="R457" s="4">
        <f t="shared" si="82"/>
        <v>-2.1666637688351229E-2</v>
      </c>
      <c r="S457">
        <f t="shared" si="83"/>
        <v>0</v>
      </c>
      <c r="T457">
        <f t="shared" si="84"/>
        <v>0</v>
      </c>
      <c r="U457" s="5">
        <f>0</f>
        <v>0</v>
      </c>
      <c r="V457" s="45">
        <f t="shared" si="88"/>
        <v>0.14528669444239478</v>
      </c>
      <c r="W457" s="45">
        <f t="shared" si="89"/>
        <v>0</v>
      </c>
      <c r="X457" s="45">
        <f t="shared" si="90"/>
        <v>0</v>
      </c>
      <c r="Y457" s="46">
        <f>0</f>
        <v>0</v>
      </c>
      <c r="Z457" s="11"/>
    </row>
    <row r="458" spans="11:26" x14ac:dyDescent="0.45">
      <c r="K458" s="39">
        <f t="shared" si="85"/>
        <v>5.68</v>
      </c>
      <c r="L458" s="40">
        <f t="shared" si="78"/>
        <v>45.68</v>
      </c>
      <c r="M458" s="41">
        <f t="shared" si="79"/>
        <v>40.68</v>
      </c>
      <c r="N458" s="49">
        <f t="shared" si="80"/>
        <v>2.0497571842406512E-2</v>
      </c>
      <c r="O458" s="50">
        <f t="shared" si="81"/>
        <v>1.3322015283285188E-2</v>
      </c>
      <c r="P458" s="50">
        <f t="shared" si="86"/>
        <v>2.0497571842406512E-2</v>
      </c>
      <c r="Q458" s="51">
        <f t="shared" si="87"/>
        <v>1.3322015283285188E-2</v>
      </c>
      <c r="R458" s="4">
        <f t="shared" si="82"/>
        <v>-2.1623555496419245E-2</v>
      </c>
      <c r="S458">
        <f t="shared" si="83"/>
        <v>0</v>
      </c>
      <c r="T458">
        <f t="shared" si="84"/>
        <v>0</v>
      </c>
      <c r="U458" s="5">
        <f>0</f>
        <v>0</v>
      </c>
      <c r="V458" s="45">
        <f t="shared" si="88"/>
        <v>0.14550336081927828</v>
      </c>
      <c r="W458" s="45">
        <f t="shared" si="89"/>
        <v>0</v>
      </c>
      <c r="X458" s="45">
        <f t="shared" si="90"/>
        <v>0</v>
      </c>
      <c r="Y458" s="46">
        <f>0</f>
        <v>0</v>
      </c>
      <c r="Z458" s="11"/>
    </row>
    <row r="459" spans="11:26" x14ac:dyDescent="0.45">
      <c r="K459" s="39">
        <f t="shared" si="85"/>
        <v>5.67</v>
      </c>
      <c r="L459" s="40">
        <f t="shared" si="78"/>
        <v>45.67</v>
      </c>
      <c r="M459" s="41">
        <f t="shared" si="79"/>
        <v>40.67</v>
      </c>
      <c r="N459" s="49">
        <f t="shared" si="80"/>
        <v>2.0479915116379976E-2</v>
      </c>
      <c r="O459" s="50">
        <f t="shared" si="81"/>
        <v>1.3310539622861274E-2</v>
      </c>
      <c r="P459" s="50">
        <f t="shared" si="86"/>
        <v>2.0479915116379976E-2</v>
      </c>
      <c r="Q459" s="51">
        <f t="shared" si="87"/>
        <v>1.3310539622861274E-2</v>
      </c>
      <c r="R459" s="4">
        <f t="shared" si="82"/>
        <v>-2.1580543494624783E-2</v>
      </c>
      <c r="S459">
        <f t="shared" si="83"/>
        <v>0</v>
      </c>
      <c r="T459">
        <f t="shared" si="84"/>
        <v>0</v>
      </c>
      <c r="U459" s="5">
        <f>0</f>
        <v>0</v>
      </c>
      <c r="V459" s="45">
        <f t="shared" si="88"/>
        <v>0.14571959637424248</v>
      </c>
      <c r="W459" s="45">
        <f t="shared" si="89"/>
        <v>0</v>
      </c>
      <c r="X459" s="45">
        <f t="shared" si="90"/>
        <v>0</v>
      </c>
      <c r="Y459" s="46">
        <f>0</f>
        <v>0</v>
      </c>
      <c r="Z459" s="11"/>
    </row>
    <row r="460" spans="11:26" x14ac:dyDescent="0.45">
      <c r="K460" s="39">
        <f t="shared" si="85"/>
        <v>5.66</v>
      </c>
      <c r="L460" s="40">
        <f t="shared" si="78"/>
        <v>45.66</v>
      </c>
      <c r="M460" s="41">
        <f t="shared" si="79"/>
        <v>40.659999999999997</v>
      </c>
      <c r="N460" s="49">
        <f t="shared" si="80"/>
        <v>2.0462273599958575E-2</v>
      </c>
      <c r="O460" s="50">
        <f t="shared" si="81"/>
        <v>1.3299073847637104E-2</v>
      </c>
      <c r="P460" s="50">
        <f t="shared" si="86"/>
        <v>2.0462273599958575E-2</v>
      </c>
      <c r="Q460" s="51">
        <f t="shared" si="87"/>
        <v>1.3299073847637104E-2</v>
      </c>
      <c r="R460" s="4">
        <f t="shared" si="82"/>
        <v>-2.1537601551751741E-2</v>
      </c>
      <c r="S460">
        <f t="shared" si="83"/>
        <v>0</v>
      </c>
      <c r="T460">
        <f t="shared" si="84"/>
        <v>0</v>
      </c>
      <c r="U460" s="5">
        <f>0</f>
        <v>0</v>
      </c>
      <c r="V460" s="45">
        <f t="shared" si="88"/>
        <v>0.14593540180918874</v>
      </c>
      <c r="W460" s="45">
        <f t="shared" si="89"/>
        <v>0</v>
      </c>
      <c r="X460" s="45">
        <f t="shared" si="90"/>
        <v>0</v>
      </c>
      <c r="Y460" s="46">
        <f>0</f>
        <v>0</v>
      </c>
      <c r="Z460" s="11"/>
    </row>
    <row r="461" spans="11:26" x14ac:dyDescent="0.45">
      <c r="K461" s="39">
        <f t="shared" si="85"/>
        <v>5.65</v>
      </c>
      <c r="L461" s="40">
        <f t="shared" si="78"/>
        <v>45.65</v>
      </c>
      <c r="M461" s="41">
        <f t="shared" si="79"/>
        <v>40.65</v>
      </c>
      <c r="N461" s="49">
        <f t="shared" si="80"/>
        <v>2.0444647280040671E-2</v>
      </c>
      <c r="O461" s="50">
        <f t="shared" si="81"/>
        <v>1.3287617949097524E-2</v>
      </c>
      <c r="P461" s="50">
        <f t="shared" si="86"/>
        <v>2.0444647280040671E-2</v>
      </c>
      <c r="Q461" s="51">
        <f t="shared" si="87"/>
        <v>1.3287617949097524E-2</v>
      </c>
      <c r="R461" s="4">
        <f t="shared" si="82"/>
        <v>-2.1494729536875045E-2</v>
      </c>
      <c r="S461">
        <f t="shared" si="83"/>
        <v>0</v>
      </c>
      <c r="T461">
        <f t="shared" si="84"/>
        <v>0</v>
      </c>
      <c r="U461" s="5">
        <f>0</f>
        <v>0</v>
      </c>
      <c r="V461" s="45">
        <f t="shared" si="88"/>
        <v>0.14615077782470626</v>
      </c>
      <c r="W461" s="45">
        <f t="shared" si="89"/>
        <v>0</v>
      </c>
      <c r="X461" s="45">
        <f t="shared" si="90"/>
        <v>0</v>
      </c>
      <c r="Y461" s="46">
        <f>0</f>
        <v>0</v>
      </c>
      <c r="Z461" s="11"/>
    </row>
    <row r="462" spans="11:26" x14ac:dyDescent="0.45">
      <c r="K462" s="39">
        <f t="shared" si="85"/>
        <v>5.64</v>
      </c>
      <c r="L462" s="40">
        <f t="shared" si="78"/>
        <v>45.64</v>
      </c>
      <c r="M462" s="41">
        <f t="shared" si="79"/>
        <v>40.64</v>
      </c>
      <c r="N462" s="49">
        <f t="shared" si="80"/>
        <v>2.0427036143535911E-2</v>
      </c>
      <c r="O462" s="50">
        <f t="shared" si="81"/>
        <v>1.3276171918734696E-2</v>
      </c>
      <c r="P462" s="50">
        <f t="shared" si="86"/>
        <v>2.0427036143535911E-2</v>
      </c>
      <c r="Q462" s="51">
        <f t="shared" si="87"/>
        <v>1.3276171918734696E-2</v>
      </c>
      <c r="R462" s="4">
        <f t="shared" si="82"/>
        <v>-2.1451927319359864E-2</v>
      </c>
      <c r="S462">
        <f t="shared" si="83"/>
        <v>0</v>
      </c>
      <c r="T462">
        <f t="shared" si="84"/>
        <v>0</v>
      </c>
      <c r="U462" s="5">
        <f>0</f>
        <v>0</v>
      </c>
      <c r="V462" s="45">
        <f t="shared" si="88"/>
        <v>0.14636572512007501</v>
      </c>
      <c r="W462" s="45">
        <f t="shared" si="89"/>
        <v>0</v>
      </c>
      <c r="X462" s="45">
        <f t="shared" si="90"/>
        <v>0</v>
      </c>
      <c r="Y462" s="46">
        <f>0</f>
        <v>0</v>
      </c>
      <c r="Z462" s="11"/>
    </row>
    <row r="463" spans="11:26" x14ac:dyDescent="0.45">
      <c r="K463" s="39">
        <f t="shared" si="85"/>
        <v>5.63</v>
      </c>
      <c r="L463" s="40">
        <f t="shared" si="78"/>
        <v>45.63</v>
      </c>
      <c r="M463" s="41">
        <f t="shared" si="79"/>
        <v>40.630000000000003</v>
      </c>
      <c r="N463" s="49">
        <f t="shared" si="80"/>
        <v>2.0409440177365207E-2</v>
      </c>
      <c r="O463" s="50">
        <f t="shared" si="81"/>
        <v>1.3264735748048111E-2</v>
      </c>
      <c r="P463" s="50">
        <f t="shared" si="86"/>
        <v>2.0409440177365207E-2</v>
      </c>
      <c r="Q463" s="51">
        <f t="shared" si="87"/>
        <v>1.3264735748048111E-2</v>
      </c>
      <c r="R463" s="4">
        <f t="shared" si="82"/>
        <v>-2.1409194768860884E-2</v>
      </c>
      <c r="S463">
        <f t="shared" si="83"/>
        <v>0</v>
      </c>
      <c r="T463">
        <f t="shared" si="84"/>
        <v>0</v>
      </c>
      <c r="U463" s="5">
        <f>0</f>
        <v>0</v>
      </c>
      <c r="V463" s="45">
        <f t="shared" si="88"/>
        <v>0.14658024439326861</v>
      </c>
      <c r="W463" s="45">
        <f t="shared" si="89"/>
        <v>0</v>
      </c>
      <c r="X463" s="45">
        <f t="shared" si="90"/>
        <v>0</v>
      </c>
      <c r="Y463" s="46">
        <f>0</f>
        <v>0</v>
      </c>
      <c r="Z463" s="11"/>
    </row>
    <row r="464" spans="11:26" x14ac:dyDescent="0.45">
      <c r="K464" s="39">
        <f t="shared" si="85"/>
        <v>5.62</v>
      </c>
      <c r="L464" s="40">
        <f t="shared" si="78"/>
        <v>45.62</v>
      </c>
      <c r="M464" s="41">
        <f t="shared" si="79"/>
        <v>40.619999999999997</v>
      </c>
      <c r="N464" s="49">
        <f t="shared" si="80"/>
        <v>2.0391859368460746E-2</v>
      </c>
      <c r="O464" s="50">
        <f t="shared" si="81"/>
        <v>1.3253309428544588E-2</v>
      </c>
      <c r="P464" s="50">
        <f t="shared" si="86"/>
        <v>2.0391859368460746E-2</v>
      </c>
      <c r="Q464" s="51">
        <f t="shared" si="87"/>
        <v>1.3253309428544588E-2</v>
      </c>
      <c r="R464" s="4">
        <f t="shared" si="82"/>
        <v>-2.1366531755321591E-2</v>
      </c>
      <c r="S464">
        <f t="shared" si="83"/>
        <v>0</v>
      </c>
      <c r="T464">
        <f t="shared" si="84"/>
        <v>0</v>
      </c>
      <c r="U464" s="5">
        <f>0</f>
        <v>0</v>
      </c>
      <c r="V464" s="45">
        <f t="shared" si="88"/>
        <v>0.14679433634095723</v>
      </c>
      <c r="W464" s="45">
        <f t="shared" si="89"/>
        <v>0</v>
      </c>
      <c r="X464" s="45">
        <f t="shared" si="90"/>
        <v>0</v>
      </c>
      <c r="Y464" s="46">
        <f>0</f>
        <v>0</v>
      </c>
      <c r="Z464" s="11"/>
    </row>
    <row r="465" spans="11:26" x14ac:dyDescent="0.45">
      <c r="K465" s="39">
        <f t="shared" si="85"/>
        <v>5.61</v>
      </c>
      <c r="L465" s="40">
        <f t="shared" si="78"/>
        <v>45.61</v>
      </c>
      <c r="M465" s="41">
        <f t="shared" si="79"/>
        <v>40.61</v>
      </c>
      <c r="N465" s="49">
        <f t="shared" si="80"/>
        <v>2.0374293703765985E-2</v>
      </c>
      <c r="O465" s="50">
        <f t="shared" si="81"/>
        <v>1.3241892951738271E-2</v>
      </c>
      <c r="P465" s="50">
        <f t="shared" si="86"/>
        <v>2.0374293703765985E-2</v>
      </c>
      <c r="Q465" s="51">
        <f t="shared" si="87"/>
        <v>1.3241892951738271E-2</v>
      </c>
      <c r="R465" s="4">
        <f t="shared" si="82"/>
        <v>-2.1323938148973563E-2</v>
      </c>
      <c r="S465">
        <f t="shared" si="83"/>
        <v>0</v>
      </c>
      <c r="T465">
        <f t="shared" si="84"/>
        <v>0</v>
      </c>
      <c r="U465" s="5">
        <f>0</f>
        <v>0</v>
      </c>
      <c r="V465" s="45">
        <f t="shared" si="88"/>
        <v>0.14700800165851044</v>
      </c>
      <c r="W465" s="45">
        <f t="shared" si="89"/>
        <v>0</v>
      </c>
      <c r="X465" s="45">
        <f t="shared" si="90"/>
        <v>0</v>
      </c>
      <c r="Y465" s="46">
        <f>0</f>
        <v>0</v>
      </c>
      <c r="Z465" s="11"/>
    </row>
    <row r="466" spans="11:26" x14ac:dyDescent="0.45">
      <c r="K466" s="39">
        <f t="shared" si="85"/>
        <v>5.6</v>
      </c>
      <c r="L466" s="40">
        <f t="shared" si="78"/>
        <v>45.6</v>
      </c>
      <c r="M466" s="41">
        <f t="shared" si="79"/>
        <v>40.6</v>
      </c>
      <c r="N466" s="49">
        <f t="shared" si="80"/>
        <v>2.0356743170235603E-2</v>
      </c>
      <c r="O466" s="50">
        <f t="shared" si="81"/>
        <v>1.3230486309150595E-2</v>
      </c>
      <c r="P466" s="50">
        <f t="shared" si="86"/>
        <v>2.0356743170235603E-2</v>
      </c>
      <c r="Q466" s="51">
        <f t="shared" si="87"/>
        <v>1.3230486309150595E-2</v>
      </c>
      <c r="R466" s="4">
        <f t="shared" si="82"/>
        <v>-2.1281413820335673E-2</v>
      </c>
      <c r="S466">
        <f t="shared" si="83"/>
        <v>0</v>
      </c>
      <c r="T466">
        <f t="shared" si="84"/>
        <v>0</v>
      </c>
      <c r="U466" s="5">
        <f>0</f>
        <v>0</v>
      </c>
      <c r="V466" s="45">
        <f t="shared" si="88"/>
        <v>0.14722124104000017</v>
      </c>
      <c r="W466" s="45">
        <f t="shared" si="89"/>
        <v>0</v>
      </c>
      <c r="X466" s="45">
        <f t="shared" si="90"/>
        <v>0</v>
      </c>
      <c r="Y466" s="46">
        <f>0</f>
        <v>0</v>
      </c>
      <c r="Z466" s="11"/>
    </row>
    <row r="467" spans="11:26" x14ac:dyDescent="0.45">
      <c r="K467" s="39">
        <f t="shared" si="85"/>
        <v>5.59</v>
      </c>
      <c r="L467" s="40">
        <f t="shared" si="78"/>
        <v>45.59</v>
      </c>
      <c r="M467" s="41">
        <f t="shared" si="79"/>
        <v>40.590000000000003</v>
      </c>
      <c r="N467" s="49">
        <f t="shared" si="80"/>
        <v>2.0339207754835536E-2</v>
      </c>
      <c r="O467" s="50">
        <f t="shared" si="81"/>
        <v>1.3219089492310317E-2</v>
      </c>
      <c r="P467" s="50">
        <f t="shared" si="86"/>
        <v>2.0339207754835536E-2</v>
      </c>
      <c r="Q467" s="51">
        <f t="shared" si="87"/>
        <v>1.3219089492310317E-2</v>
      </c>
      <c r="R467" s="4">
        <f t="shared" si="82"/>
        <v>-2.1238958640213419E-2</v>
      </c>
      <c r="S467">
        <f t="shared" si="83"/>
        <v>0</v>
      </c>
      <c r="T467">
        <f t="shared" si="84"/>
        <v>0</v>
      </c>
      <c r="U467" s="5">
        <f>0</f>
        <v>0</v>
      </c>
      <c r="V467" s="45">
        <f t="shared" si="88"/>
        <v>0.14743405517820352</v>
      </c>
      <c r="W467" s="45">
        <f t="shared" si="89"/>
        <v>0</v>
      </c>
      <c r="X467" s="45">
        <f t="shared" si="90"/>
        <v>0</v>
      </c>
      <c r="Y467" s="46">
        <f>0</f>
        <v>0</v>
      </c>
      <c r="Z467" s="11"/>
    </row>
    <row r="468" spans="11:26" x14ac:dyDescent="0.45">
      <c r="K468" s="39">
        <f t="shared" si="85"/>
        <v>5.58</v>
      </c>
      <c r="L468" s="40">
        <f t="shared" si="78"/>
        <v>45.58</v>
      </c>
      <c r="M468" s="41">
        <f t="shared" si="79"/>
        <v>40.58</v>
      </c>
      <c r="N468" s="49">
        <f t="shared" si="80"/>
        <v>2.0321687444542925E-2</v>
      </c>
      <c r="O468" s="50">
        <f t="shared" si="81"/>
        <v>1.3207702492753458E-2</v>
      </c>
      <c r="P468" s="50">
        <f t="shared" si="86"/>
        <v>2.0321687444542925E-2</v>
      </c>
      <c r="Q468" s="51">
        <f t="shared" si="87"/>
        <v>1.3207702492753458E-2</v>
      </c>
      <c r="R468" s="4">
        <f t="shared" si="82"/>
        <v>-2.1196572479698143E-2</v>
      </c>
      <c r="S468">
        <f t="shared" si="83"/>
        <v>0</v>
      </c>
      <c r="T468">
        <f t="shared" si="84"/>
        <v>0</v>
      </c>
      <c r="U468" s="5">
        <f>0</f>
        <v>0</v>
      </c>
      <c r="V468" s="45">
        <f t="shared" si="88"/>
        <v>0.14764644476460564</v>
      </c>
      <c r="W468" s="45">
        <f t="shared" si="89"/>
        <v>0</v>
      </c>
      <c r="X468" s="45">
        <f t="shared" si="90"/>
        <v>0</v>
      </c>
      <c r="Y468" s="46">
        <f>0</f>
        <v>0</v>
      </c>
      <c r="Z468" s="11"/>
    </row>
    <row r="469" spans="11:26" x14ac:dyDescent="0.45">
      <c r="K469" s="39">
        <f t="shared" si="85"/>
        <v>5.57</v>
      </c>
      <c r="L469" s="40">
        <f t="shared" si="78"/>
        <v>45.57</v>
      </c>
      <c r="M469" s="41">
        <f t="shared" si="79"/>
        <v>40.57</v>
      </c>
      <c r="N469" s="49">
        <f t="shared" si="80"/>
        <v>2.0304182226346165E-2</v>
      </c>
      <c r="O469" s="50">
        <f t="shared" si="81"/>
        <v>1.319632530202338E-2</v>
      </c>
      <c r="P469" s="50">
        <f t="shared" si="86"/>
        <v>2.0304182226346165E-2</v>
      </c>
      <c r="Q469" s="51">
        <f t="shared" si="87"/>
        <v>1.319632530202338E-2</v>
      </c>
      <c r="R469" s="4">
        <f t="shared" si="82"/>
        <v>-2.1154255210166426E-2</v>
      </c>
      <c r="S469">
        <f t="shared" si="83"/>
        <v>0</v>
      </c>
      <c r="T469">
        <f t="shared" si="84"/>
        <v>0</v>
      </c>
      <c r="U469" s="5">
        <f>0</f>
        <v>0</v>
      </c>
      <c r="V469" s="45">
        <f t="shared" si="88"/>
        <v>0.14785841048940263</v>
      </c>
      <c r="W469" s="45">
        <f t="shared" si="89"/>
        <v>0</v>
      </c>
      <c r="X469" s="45">
        <f t="shared" si="90"/>
        <v>0</v>
      </c>
      <c r="Y469" s="46">
        <f>0</f>
        <v>0</v>
      </c>
      <c r="Z469" s="11"/>
    </row>
    <row r="470" spans="11:26" x14ac:dyDescent="0.45">
      <c r="K470" s="39">
        <f t="shared" si="85"/>
        <v>5.56</v>
      </c>
      <c r="L470" s="40">
        <f t="shared" si="78"/>
        <v>45.56</v>
      </c>
      <c r="M470" s="41">
        <f t="shared" si="79"/>
        <v>40.56</v>
      </c>
      <c r="N470" s="49">
        <f t="shared" si="80"/>
        <v>2.0286692087244824E-2</v>
      </c>
      <c r="O470" s="50">
        <f t="shared" si="81"/>
        <v>1.3184957911670703E-2</v>
      </c>
      <c r="P470" s="50">
        <f t="shared" si="86"/>
        <v>2.0286692087244824E-2</v>
      </c>
      <c r="Q470" s="51">
        <f t="shared" si="87"/>
        <v>1.3184957911670703E-2</v>
      </c>
      <c r="R470" s="4">
        <f t="shared" si="82"/>
        <v>-2.1112006703279222E-2</v>
      </c>
      <c r="S470">
        <f t="shared" si="83"/>
        <v>0</v>
      </c>
      <c r="T470">
        <f t="shared" si="84"/>
        <v>0</v>
      </c>
      <c r="U470" s="5">
        <f>0</f>
        <v>0</v>
      </c>
      <c r="V470" s="45">
        <f t="shared" si="88"/>
        <v>0.14806995304150428</v>
      </c>
      <c r="W470" s="45">
        <f t="shared" si="89"/>
        <v>0</v>
      </c>
      <c r="X470" s="45">
        <f t="shared" si="90"/>
        <v>0</v>
      </c>
      <c r="Y470" s="46">
        <f>0</f>
        <v>0</v>
      </c>
      <c r="Z470" s="11"/>
    </row>
    <row r="471" spans="11:26" x14ac:dyDescent="0.45">
      <c r="K471" s="39">
        <f t="shared" si="85"/>
        <v>5.55</v>
      </c>
      <c r="L471" s="40">
        <f t="shared" si="78"/>
        <v>45.55</v>
      </c>
      <c r="M471" s="41">
        <f t="shared" si="79"/>
        <v>40.549999999999997</v>
      </c>
      <c r="N471" s="49">
        <f t="shared" si="80"/>
        <v>2.0269217014249677E-2</v>
      </c>
      <c r="O471" s="50">
        <f t="shared" si="81"/>
        <v>1.3173600313253297E-2</v>
      </c>
      <c r="P471" s="50">
        <f t="shared" si="86"/>
        <v>2.0269217014249677E-2</v>
      </c>
      <c r="Q471" s="51">
        <f t="shared" si="87"/>
        <v>1.3173600313253297E-2</v>
      </c>
      <c r="R471" s="4">
        <f t="shared" si="82"/>
        <v>-2.1069826830981197E-2</v>
      </c>
      <c r="S471">
        <f t="shared" si="83"/>
        <v>0</v>
      </c>
      <c r="T471">
        <f t="shared" si="84"/>
        <v>0</v>
      </c>
      <c r="U471" s="5">
        <f>0</f>
        <v>0</v>
      </c>
      <c r="V471" s="45">
        <f t="shared" si="88"/>
        <v>0.14828107310853708</v>
      </c>
      <c r="W471" s="45">
        <f t="shared" si="89"/>
        <v>0</v>
      </c>
      <c r="X471" s="45">
        <f t="shared" si="90"/>
        <v>0</v>
      </c>
      <c r="Y471" s="46">
        <f>0</f>
        <v>0</v>
      </c>
      <c r="Z471" s="11"/>
    </row>
    <row r="472" spans="11:26" x14ac:dyDescent="0.45">
      <c r="K472" s="39">
        <f t="shared" si="85"/>
        <v>5.54</v>
      </c>
      <c r="L472" s="40">
        <f t="shared" si="78"/>
        <v>45.54</v>
      </c>
      <c r="M472" s="41">
        <f t="shared" si="79"/>
        <v>40.54</v>
      </c>
      <c r="N472" s="49">
        <f t="shared" si="80"/>
        <v>2.0251756994382711E-2</v>
      </c>
      <c r="O472" s="50">
        <f t="shared" si="81"/>
        <v>1.3162252498336365E-2</v>
      </c>
      <c r="P472" s="50">
        <f t="shared" si="86"/>
        <v>2.0251756994382711E-2</v>
      </c>
      <c r="Q472" s="51">
        <f t="shared" si="87"/>
        <v>1.3162252498336365E-2</v>
      </c>
      <c r="R472" s="4">
        <f t="shared" si="82"/>
        <v>-2.1027715465500099E-2</v>
      </c>
      <c r="S472">
        <f t="shared" si="83"/>
        <v>0</v>
      </c>
      <c r="T472">
        <f t="shared" si="84"/>
        <v>0</v>
      </c>
      <c r="U472" s="5">
        <f>0</f>
        <v>0</v>
      </c>
      <c r="V472" s="45">
        <f t="shared" si="88"/>
        <v>0.14849177137684688</v>
      </c>
      <c r="W472" s="45">
        <f t="shared" si="89"/>
        <v>0</v>
      </c>
      <c r="X472" s="45">
        <f t="shared" si="90"/>
        <v>0</v>
      </c>
      <c r="Y472" s="46">
        <f>0</f>
        <v>0</v>
      </c>
      <c r="Z472" s="11"/>
    </row>
    <row r="473" spans="11:26" x14ac:dyDescent="0.45">
      <c r="K473" s="39">
        <f t="shared" si="85"/>
        <v>5.53</v>
      </c>
      <c r="L473" s="40">
        <f t="shared" si="78"/>
        <v>45.53</v>
      </c>
      <c r="M473" s="41">
        <f t="shared" si="79"/>
        <v>40.53</v>
      </c>
      <c r="N473" s="49">
        <f t="shared" si="80"/>
        <v>2.0234312014677069E-2</v>
      </c>
      <c r="O473" s="50">
        <f t="shared" si="81"/>
        <v>1.3150914458492336E-2</v>
      </c>
      <c r="P473" s="50">
        <f t="shared" si="86"/>
        <v>2.0234312014677069E-2</v>
      </c>
      <c r="Q473" s="51">
        <f t="shared" si="87"/>
        <v>1.3150914458492336E-2</v>
      </c>
      <c r="R473" s="4">
        <f t="shared" si="82"/>
        <v>-2.0985672479345897E-2</v>
      </c>
      <c r="S473">
        <f t="shared" si="83"/>
        <v>0</v>
      </c>
      <c r="T473">
        <f t="shared" si="84"/>
        <v>0</v>
      </c>
      <c r="U473" s="5">
        <f>0</f>
        <v>0</v>
      </c>
      <c r="V473" s="45">
        <f t="shared" si="88"/>
        <v>0.14870204853150187</v>
      </c>
      <c r="W473" s="45">
        <f t="shared" si="89"/>
        <v>0</v>
      </c>
      <c r="X473" s="45">
        <f t="shared" si="90"/>
        <v>0</v>
      </c>
      <c r="Y473" s="46">
        <f>0</f>
        <v>0</v>
      </c>
      <c r="Z473" s="11"/>
    </row>
    <row r="474" spans="11:26" x14ac:dyDescent="0.45">
      <c r="K474" s="39">
        <f t="shared" si="85"/>
        <v>5.52</v>
      </c>
      <c r="L474" s="40">
        <f t="shared" ref="L474:L537" si="91">InitialAge_x+K474</f>
        <v>45.519999999999996</v>
      </c>
      <c r="M474" s="41">
        <f t="shared" ref="M474:M537" si="92">InitialAge_y+K474</f>
        <v>40.519999999999996</v>
      </c>
      <c r="N474" s="49">
        <f t="shared" ref="N474:N537" si="93">muParameter_B*muParameter_c^L474</f>
        <v>2.0216882062177057E-2</v>
      </c>
      <c r="O474" s="50">
        <f t="shared" ref="O474:O537" si="94">muParameter_B*muParameter_c^M474</f>
        <v>1.3139586185300882E-2</v>
      </c>
      <c r="P474" s="50">
        <f t="shared" si="86"/>
        <v>2.0216882062177057E-2</v>
      </c>
      <c r="Q474" s="51">
        <f t="shared" si="87"/>
        <v>1.3139586185300882E-2</v>
      </c>
      <c r="R474" s="4">
        <f t="shared" ref="R474:R537" si="95">V474*Delta-Constant_b1-(O474*(Constant_b12+W474-V474)+N474*(Constant_b13+X474-V474))</f>
        <v>-2.0943697745310116E-2</v>
      </c>
      <c r="S474">
        <f t="shared" ref="S474:S537" si="96">W474*Delta-Constant_b2-(P474*(Constant_b24+Y474-W474)+Q474*(Constant_b34+Y474-X474))</f>
        <v>0</v>
      </c>
      <c r="T474">
        <f t="shared" ref="T474:T537" si="97">X474*Delta-Constant_b3-(Q474*(Constant_b34+Y474-X474))</f>
        <v>0</v>
      </c>
      <c r="U474" s="5">
        <f>0</f>
        <v>0</v>
      </c>
      <c r="V474" s="45">
        <f t="shared" si="88"/>
        <v>0.14891190525629533</v>
      </c>
      <c r="W474" s="45">
        <f t="shared" si="89"/>
        <v>0</v>
      </c>
      <c r="X474" s="45">
        <f t="shared" si="90"/>
        <v>0</v>
      </c>
      <c r="Y474" s="46">
        <f>0</f>
        <v>0</v>
      </c>
      <c r="Z474" s="11"/>
    </row>
    <row r="475" spans="11:26" x14ac:dyDescent="0.45">
      <c r="K475" s="39">
        <f t="shared" ref="K475:K538" si="98">ROUND(K474-StepSize,2)</f>
        <v>5.51</v>
      </c>
      <c r="L475" s="40">
        <f t="shared" si="91"/>
        <v>45.51</v>
      </c>
      <c r="M475" s="41">
        <f t="shared" si="92"/>
        <v>40.51</v>
      </c>
      <c r="N475" s="49">
        <f t="shared" si="93"/>
        <v>2.0199467123938174E-2</v>
      </c>
      <c r="O475" s="50">
        <f t="shared" si="94"/>
        <v>1.3128267670348985E-2</v>
      </c>
      <c r="P475" s="50">
        <f t="shared" ref="P475:P538" si="99">N475</f>
        <v>2.0199467123938174E-2</v>
      </c>
      <c r="Q475" s="51">
        <f t="shared" ref="Q475:Q538" si="100">O475</f>
        <v>1.3128267670348985E-2</v>
      </c>
      <c r="R475" s="4">
        <f t="shared" si="95"/>
        <v>-2.0901791136465238E-2</v>
      </c>
      <c r="S475">
        <f t="shared" si="96"/>
        <v>0</v>
      </c>
      <c r="T475">
        <f t="shared" si="97"/>
        <v>0</v>
      </c>
      <c r="U475" s="5">
        <f>0</f>
        <v>0</v>
      </c>
      <c r="V475" s="45">
        <f t="shared" ref="V475:V538" si="101">V474-StepSize*(R474)</f>
        <v>0.14912134223374843</v>
      </c>
      <c r="W475" s="45">
        <f t="shared" ref="W475:W538" si="102">W474-StepSize*(S474)</f>
        <v>0</v>
      </c>
      <c r="X475" s="45">
        <f t="shared" ref="X475:X538" si="103">X474-StepSize*(T474)</f>
        <v>0</v>
      </c>
      <c r="Y475" s="46">
        <f>0</f>
        <v>0</v>
      </c>
      <c r="Z475" s="11"/>
    </row>
    <row r="476" spans="11:26" x14ac:dyDescent="0.45">
      <c r="K476" s="39">
        <f t="shared" si="98"/>
        <v>5.5</v>
      </c>
      <c r="L476" s="40">
        <f t="shared" si="91"/>
        <v>45.5</v>
      </c>
      <c r="M476" s="41">
        <f t="shared" si="92"/>
        <v>40.5</v>
      </c>
      <c r="N476" s="49">
        <f t="shared" si="93"/>
        <v>2.0182067187027041E-2</v>
      </c>
      <c r="O476" s="50">
        <f t="shared" si="94"/>
        <v>1.3116958905230831E-2</v>
      </c>
      <c r="P476" s="50">
        <f t="shared" si="99"/>
        <v>2.0182067187027041E-2</v>
      </c>
      <c r="Q476" s="51">
        <f t="shared" si="100"/>
        <v>1.3116958905230831E-2</v>
      </c>
      <c r="R476" s="4">
        <f t="shared" si="95"/>
        <v>-2.0859952526163836E-2</v>
      </c>
      <c r="S476">
        <f t="shared" si="96"/>
        <v>0</v>
      </c>
      <c r="T476">
        <f t="shared" si="97"/>
        <v>0</v>
      </c>
      <c r="U476" s="5">
        <f>0</f>
        <v>0</v>
      </c>
      <c r="V476" s="45">
        <f t="shared" si="101"/>
        <v>0.14933036014511308</v>
      </c>
      <c r="W476" s="45">
        <f t="shared" si="102"/>
        <v>0</v>
      </c>
      <c r="X476" s="45">
        <f t="shared" si="103"/>
        <v>0</v>
      </c>
      <c r="Y476" s="46">
        <f>0</f>
        <v>0</v>
      </c>
      <c r="Z476" s="11"/>
    </row>
    <row r="477" spans="11:26" x14ac:dyDescent="0.45">
      <c r="K477" s="39">
        <f t="shared" si="98"/>
        <v>5.49</v>
      </c>
      <c r="L477" s="40">
        <f t="shared" si="91"/>
        <v>45.49</v>
      </c>
      <c r="M477" s="41">
        <f t="shared" si="92"/>
        <v>40.49</v>
      </c>
      <c r="N477" s="49">
        <f t="shared" si="93"/>
        <v>2.0164682238521425E-2</v>
      </c>
      <c r="O477" s="50">
        <f t="shared" si="94"/>
        <v>1.3105659881547851E-2</v>
      </c>
      <c r="P477" s="50">
        <f t="shared" si="99"/>
        <v>2.0164682238521425E-2</v>
      </c>
      <c r="Q477" s="51">
        <f t="shared" si="100"/>
        <v>1.3105659881547851E-2</v>
      </c>
      <c r="R477" s="4">
        <f t="shared" si="95"/>
        <v>-2.0818181788037932E-2</v>
      </c>
      <c r="S477">
        <f t="shared" si="96"/>
        <v>0</v>
      </c>
      <c r="T477">
        <f t="shared" si="97"/>
        <v>0</v>
      </c>
      <c r="U477" s="5">
        <f>0</f>
        <v>0</v>
      </c>
      <c r="V477" s="45">
        <f t="shared" si="101"/>
        <v>0.14953895967037473</v>
      </c>
      <c r="W477" s="45">
        <f t="shared" si="102"/>
        <v>0</v>
      </c>
      <c r="X477" s="45">
        <f t="shared" si="103"/>
        <v>0</v>
      </c>
      <c r="Y477" s="46">
        <f>0</f>
        <v>0</v>
      </c>
      <c r="Z477" s="11"/>
    </row>
    <row r="478" spans="11:26" x14ac:dyDescent="0.45">
      <c r="K478" s="39">
        <f t="shared" si="98"/>
        <v>5.48</v>
      </c>
      <c r="L478" s="40">
        <f t="shared" si="91"/>
        <v>45.480000000000004</v>
      </c>
      <c r="M478" s="41">
        <f t="shared" si="92"/>
        <v>40.480000000000004</v>
      </c>
      <c r="N478" s="49">
        <f t="shared" si="93"/>
        <v>2.0147312265510225E-2</v>
      </c>
      <c r="O478" s="50">
        <f t="shared" si="94"/>
        <v>1.3094370590908719E-2</v>
      </c>
      <c r="P478" s="50">
        <f t="shared" si="99"/>
        <v>2.0147312265510225E-2</v>
      </c>
      <c r="Q478" s="51">
        <f t="shared" si="100"/>
        <v>1.3094370590908719E-2</v>
      </c>
      <c r="R478" s="4">
        <f t="shared" si="95"/>
        <v>-2.0776478795998317E-2</v>
      </c>
      <c r="S478">
        <f t="shared" si="96"/>
        <v>0</v>
      </c>
      <c r="T478">
        <f t="shared" si="97"/>
        <v>0</v>
      </c>
      <c r="U478" s="5">
        <f>0</f>
        <v>0</v>
      </c>
      <c r="V478" s="45">
        <f t="shared" si="101"/>
        <v>0.1497471414882551</v>
      </c>
      <c r="W478" s="45">
        <f t="shared" si="102"/>
        <v>0</v>
      </c>
      <c r="X478" s="45">
        <f t="shared" si="103"/>
        <v>0</v>
      </c>
      <c r="Y478" s="46">
        <f>0</f>
        <v>0</v>
      </c>
      <c r="Z478" s="11"/>
    </row>
    <row r="479" spans="11:26" x14ac:dyDescent="0.45">
      <c r="K479" s="39">
        <f t="shared" si="98"/>
        <v>5.47</v>
      </c>
      <c r="L479" s="40">
        <f t="shared" si="91"/>
        <v>45.47</v>
      </c>
      <c r="M479" s="41">
        <f t="shared" si="92"/>
        <v>40.47</v>
      </c>
      <c r="N479" s="49">
        <f t="shared" si="93"/>
        <v>2.0129957255093464E-2</v>
      </c>
      <c r="O479" s="50">
        <f t="shared" si="94"/>
        <v>1.3083091024929331E-2</v>
      </c>
      <c r="P479" s="50">
        <f t="shared" si="99"/>
        <v>2.0129957255093464E-2</v>
      </c>
      <c r="Q479" s="51">
        <f t="shared" si="100"/>
        <v>1.3083091024929331E-2</v>
      </c>
      <c r="R479" s="4">
        <f t="shared" si="95"/>
        <v>-2.0734843424233814E-2</v>
      </c>
      <c r="S479">
        <f t="shared" si="96"/>
        <v>0</v>
      </c>
      <c r="T479">
        <f t="shared" si="97"/>
        <v>0</v>
      </c>
      <c r="U479" s="5">
        <f>0</f>
        <v>0</v>
      </c>
      <c r="V479" s="45">
        <f t="shared" si="101"/>
        <v>0.14995490627621508</v>
      </c>
      <c r="W479" s="45">
        <f t="shared" si="102"/>
        <v>0</v>
      </c>
      <c r="X479" s="45">
        <f t="shared" si="103"/>
        <v>0</v>
      </c>
      <c r="Y479" s="46">
        <f>0</f>
        <v>0</v>
      </c>
      <c r="Z479" s="11"/>
    </row>
    <row r="480" spans="11:26" x14ac:dyDescent="0.45">
      <c r="K480" s="39">
        <f t="shared" si="98"/>
        <v>5.46</v>
      </c>
      <c r="L480" s="40">
        <f t="shared" si="91"/>
        <v>45.46</v>
      </c>
      <c r="M480" s="41">
        <f t="shared" si="92"/>
        <v>40.46</v>
      </c>
      <c r="N480" s="49">
        <f t="shared" si="93"/>
        <v>2.0112617194382287E-2</v>
      </c>
      <c r="O480" s="50">
        <f t="shared" si="94"/>
        <v>1.3071821175232819E-2</v>
      </c>
      <c r="P480" s="50">
        <f t="shared" si="99"/>
        <v>2.0112617194382287E-2</v>
      </c>
      <c r="Q480" s="51">
        <f t="shared" si="100"/>
        <v>1.3071821175232819E-2</v>
      </c>
      <c r="R480" s="4">
        <f t="shared" si="95"/>
        <v>-2.0693275547210614E-2</v>
      </c>
      <c r="S480">
        <f t="shared" si="96"/>
        <v>0</v>
      </c>
      <c r="T480">
        <f t="shared" si="97"/>
        <v>0</v>
      </c>
      <c r="U480" s="5">
        <f>0</f>
        <v>0</v>
      </c>
      <c r="V480" s="45">
        <f t="shared" si="101"/>
        <v>0.15016225471045741</v>
      </c>
      <c r="W480" s="45">
        <f t="shared" si="102"/>
        <v>0</v>
      </c>
      <c r="X480" s="45">
        <f t="shared" si="103"/>
        <v>0</v>
      </c>
      <c r="Y480" s="46">
        <f>0</f>
        <v>0</v>
      </c>
      <c r="Z480" s="11"/>
    </row>
    <row r="481" spans="11:26" x14ac:dyDescent="0.45">
      <c r="K481" s="39">
        <f t="shared" si="98"/>
        <v>5.45</v>
      </c>
      <c r="L481" s="40">
        <f t="shared" si="91"/>
        <v>45.45</v>
      </c>
      <c r="M481" s="41">
        <f t="shared" si="92"/>
        <v>40.450000000000003</v>
      </c>
      <c r="N481" s="49">
        <f t="shared" si="93"/>
        <v>2.009529207049893E-2</v>
      </c>
      <c r="O481" s="50">
        <f t="shared" si="94"/>
        <v>1.3060561033449518E-2</v>
      </c>
      <c r="P481" s="50">
        <f t="shared" si="99"/>
        <v>2.009529207049893E-2</v>
      </c>
      <c r="Q481" s="51">
        <f t="shared" si="100"/>
        <v>1.3060561033449518E-2</v>
      </c>
      <c r="R481" s="4">
        <f t="shared" si="95"/>
        <v>-2.0651775039671527E-2</v>
      </c>
      <c r="S481">
        <f t="shared" si="96"/>
        <v>0</v>
      </c>
      <c r="T481">
        <f t="shared" si="97"/>
        <v>0</v>
      </c>
      <c r="U481" s="5">
        <f>0</f>
        <v>0</v>
      </c>
      <c r="V481" s="45">
        <f t="shared" si="101"/>
        <v>0.1503691874659295</v>
      </c>
      <c r="W481" s="45">
        <f t="shared" si="102"/>
        <v>0</v>
      </c>
      <c r="X481" s="45">
        <f t="shared" si="103"/>
        <v>0</v>
      </c>
      <c r="Y481" s="46">
        <f>0</f>
        <v>0</v>
      </c>
      <c r="Z481" s="11"/>
    </row>
    <row r="482" spans="11:26" x14ac:dyDescent="0.45">
      <c r="K482" s="39">
        <f t="shared" si="98"/>
        <v>5.44</v>
      </c>
      <c r="L482" s="40">
        <f t="shared" si="91"/>
        <v>45.44</v>
      </c>
      <c r="M482" s="41">
        <f t="shared" si="92"/>
        <v>40.44</v>
      </c>
      <c r="N482" s="49">
        <f t="shared" si="93"/>
        <v>2.007798187057671E-2</v>
      </c>
      <c r="O482" s="50">
        <f t="shared" si="94"/>
        <v>1.3049310591216966E-2</v>
      </c>
      <c r="P482" s="50">
        <f t="shared" si="99"/>
        <v>2.007798187057671E-2</v>
      </c>
      <c r="Q482" s="51">
        <f t="shared" si="100"/>
        <v>1.3049310591216966E-2</v>
      </c>
      <c r="R482" s="4">
        <f t="shared" si="95"/>
        <v>-2.0610341776635295E-2</v>
      </c>
      <c r="S482">
        <f t="shared" si="96"/>
        <v>0</v>
      </c>
      <c r="T482">
        <f t="shared" si="97"/>
        <v>0</v>
      </c>
      <c r="U482" s="5">
        <f>0</f>
        <v>0</v>
      </c>
      <c r="V482" s="45">
        <f t="shared" si="101"/>
        <v>0.15057570521632621</v>
      </c>
      <c r="W482" s="45">
        <f t="shared" si="102"/>
        <v>0</v>
      </c>
      <c r="X482" s="45">
        <f t="shared" si="103"/>
        <v>0</v>
      </c>
      <c r="Y482" s="46">
        <f>0</f>
        <v>0</v>
      </c>
      <c r="Z482" s="11"/>
    </row>
    <row r="483" spans="11:26" x14ac:dyDescent="0.45">
      <c r="K483" s="39">
        <f t="shared" si="98"/>
        <v>5.43</v>
      </c>
      <c r="L483" s="40">
        <f t="shared" si="91"/>
        <v>45.43</v>
      </c>
      <c r="M483" s="41">
        <f t="shared" si="92"/>
        <v>40.43</v>
      </c>
      <c r="N483" s="49">
        <f t="shared" si="93"/>
        <v>2.0060686581760058E-2</v>
      </c>
      <c r="O483" s="50">
        <f t="shared" si="94"/>
        <v>1.303806984017993E-2</v>
      </c>
      <c r="P483" s="50">
        <f t="shared" si="99"/>
        <v>2.0060686581760058E-2</v>
      </c>
      <c r="Q483" s="51">
        <f t="shared" si="100"/>
        <v>1.303806984017993E-2</v>
      </c>
      <c r="R483" s="4">
        <f t="shared" si="95"/>
        <v>-2.056897563339596E-2</v>
      </c>
      <c r="S483">
        <f t="shared" si="96"/>
        <v>0</v>
      </c>
      <c r="T483">
        <f t="shared" si="97"/>
        <v>0</v>
      </c>
      <c r="U483" s="5">
        <f>0</f>
        <v>0</v>
      </c>
      <c r="V483" s="45">
        <f t="shared" si="101"/>
        <v>0.15078180863409257</v>
      </c>
      <c r="W483" s="45">
        <f t="shared" si="102"/>
        <v>0</v>
      </c>
      <c r="X483" s="45">
        <f t="shared" si="103"/>
        <v>0</v>
      </c>
      <c r="Y483" s="46">
        <f>0</f>
        <v>0</v>
      </c>
      <c r="Z483" s="11"/>
    </row>
    <row r="484" spans="11:26" x14ac:dyDescent="0.45">
      <c r="K484" s="39">
        <f t="shared" si="98"/>
        <v>5.42</v>
      </c>
      <c r="L484" s="40">
        <f t="shared" si="91"/>
        <v>45.42</v>
      </c>
      <c r="M484" s="41">
        <f t="shared" si="92"/>
        <v>40.42</v>
      </c>
      <c r="N484" s="49">
        <f t="shared" si="93"/>
        <v>2.0043406191204458E-2</v>
      </c>
      <c r="O484" s="50">
        <f t="shared" si="94"/>
        <v>1.3026838771990351E-2</v>
      </c>
      <c r="P484" s="50">
        <f t="shared" si="99"/>
        <v>2.0043406191204458E-2</v>
      </c>
      <c r="Q484" s="51">
        <f t="shared" si="100"/>
        <v>1.3026838771990351E-2</v>
      </c>
      <c r="R484" s="4">
        <f t="shared" si="95"/>
        <v>-2.0527676485522096E-2</v>
      </c>
      <c r="S484">
        <f t="shared" si="96"/>
        <v>0</v>
      </c>
      <c r="T484">
        <f t="shared" si="97"/>
        <v>0</v>
      </c>
      <c r="U484" s="5">
        <f>0</f>
        <v>0</v>
      </c>
      <c r="V484" s="45">
        <f t="shared" si="101"/>
        <v>0.15098749839042652</v>
      </c>
      <c r="W484" s="45">
        <f t="shared" si="102"/>
        <v>0</v>
      </c>
      <c r="X484" s="45">
        <f t="shared" si="103"/>
        <v>0</v>
      </c>
      <c r="Y484" s="46">
        <f>0</f>
        <v>0</v>
      </c>
      <c r="Z484" s="11"/>
    </row>
    <row r="485" spans="11:26" x14ac:dyDescent="0.45">
      <c r="K485" s="39">
        <f t="shared" si="98"/>
        <v>5.41</v>
      </c>
      <c r="L485" s="40">
        <f t="shared" si="91"/>
        <v>45.41</v>
      </c>
      <c r="M485" s="41">
        <f t="shared" si="92"/>
        <v>40.409999999999997</v>
      </c>
      <c r="N485" s="49">
        <f t="shared" si="93"/>
        <v>2.002614068607645E-2</v>
      </c>
      <c r="O485" s="50">
        <f t="shared" si="94"/>
        <v>1.3015617378307363E-2</v>
      </c>
      <c r="P485" s="50">
        <f t="shared" si="99"/>
        <v>2.002614068607645E-2</v>
      </c>
      <c r="Q485" s="51">
        <f t="shared" si="100"/>
        <v>1.3015617378307363E-2</v>
      </c>
      <c r="R485" s="4">
        <f t="shared" si="95"/>
        <v>-2.0486444208856126E-2</v>
      </c>
      <c r="S485">
        <f t="shared" si="96"/>
        <v>0</v>
      </c>
      <c r="T485">
        <f t="shared" si="97"/>
        <v>0</v>
      </c>
      <c r="U485" s="5">
        <f>0</f>
        <v>0</v>
      </c>
      <c r="V485" s="45">
        <f t="shared" si="101"/>
        <v>0.15119277515528173</v>
      </c>
      <c r="W485" s="45">
        <f t="shared" si="102"/>
        <v>0</v>
      </c>
      <c r="X485" s="45">
        <f t="shared" si="103"/>
        <v>0</v>
      </c>
      <c r="Y485" s="46">
        <f>0</f>
        <v>0</v>
      </c>
      <c r="Z485" s="11"/>
    </row>
    <row r="486" spans="11:26" x14ac:dyDescent="0.45">
      <c r="K486" s="39">
        <f t="shared" si="98"/>
        <v>5.4</v>
      </c>
      <c r="L486" s="40">
        <f t="shared" si="91"/>
        <v>45.4</v>
      </c>
      <c r="M486" s="41">
        <f t="shared" si="92"/>
        <v>40.4</v>
      </c>
      <c r="N486" s="49">
        <f t="shared" si="93"/>
        <v>2.0008890053553656E-2</v>
      </c>
      <c r="O486" s="50">
        <f t="shared" si="94"/>
        <v>1.3004405650797302E-2</v>
      </c>
      <c r="P486" s="50">
        <f t="shared" si="99"/>
        <v>2.0008890053553656E-2</v>
      </c>
      <c r="Q486" s="51">
        <f t="shared" si="100"/>
        <v>1.3004405650797302E-2</v>
      </c>
      <c r="R486" s="4">
        <f t="shared" si="95"/>
        <v>-2.0445278679513706E-2</v>
      </c>
      <c r="S486">
        <f t="shared" si="96"/>
        <v>0</v>
      </c>
      <c r="T486">
        <f t="shared" si="97"/>
        <v>0</v>
      </c>
      <c r="U486" s="5">
        <f>0</f>
        <v>0</v>
      </c>
      <c r="V486" s="45">
        <f t="shared" si="101"/>
        <v>0.15139763959737029</v>
      </c>
      <c r="W486" s="45">
        <f t="shared" si="102"/>
        <v>0</v>
      </c>
      <c r="X486" s="45">
        <f t="shared" si="103"/>
        <v>0</v>
      </c>
      <c r="Y486" s="46">
        <f>0</f>
        <v>0</v>
      </c>
      <c r="Z486" s="11"/>
    </row>
    <row r="487" spans="11:26" x14ac:dyDescent="0.45">
      <c r="K487" s="39">
        <f t="shared" si="98"/>
        <v>5.39</v>
      </c>
      <c r="L487" s="40">
        <f t="shared" si="91"/>
        <v>45.39</v>
      </c>
      <c r="M487" s="41">
        <f t="shared" si="92"/>
        <v>40.39</v>
      </c>
      <c r="N487" s="49">
        <f t="shared" si="93"/>
        <v>1.9991654280824729E-2</v>
      </c>
      <c r="O487" s="50">
        <f t="shared" si="94"/>
        <v>1.2993203581133667E-2</v>
      </c>
      <c r="P487" s="50">
        <f t="shared" si="99"/>
        <v>1.9991654280824729E-2</v>
      </c>
      <c r="Q487" s="51">
        <f t="shared" si="100"/>
        <v>1.2993203581133667E-2</v>
      </c>
      <c r="R487" s="4">
        <f t="shared" si="95"/>
        <v>-2.0404179773882942E-2</v>
      </c>
      <c r="S487">
        <f t="shared" si="96"/>
        <v>0</v>
      </c>
      <c r="T487">
        <f t="shared" si="97"/>
        <v>0</v>
      </c>
      <c r="U487" s="5">
        <f>0</f>
        <v>0</v>
      </c>
      <c r="V487" s="45">
        <f t="shared" si="101"/>
        <v>0.15160209238416544</v>
      </c>
      <c r="W487" s="45">
        <f t="shared" si="102"/>
        <v>0</v>
      </c>
      <c r="X487" s="45">
        <f t="shared" si="103"/>
        <v>0</v>
      </c>
      <c r="Y487" s="46">
        <f>0</f>
        <v>0</v>
      </c>
      <c r="Z487" s="11"/>
    </row>
    <row r="488" spans="11:26" x14ac:dyDescent="0.45">
      <c r="K488" s="39">
        <f t="shared" si="98"/>
        <v>5.38</v>
      </c>
      <c r="L488" s="40">
        <f t="shared" si="91"/>
        <v>45.38</v>
      </c>
      <c r="M488" s="41">
        <f t="shared" si="92"/>
        <v>40.380000000000003</v>
      </c>
      <c r="N488" s="49">
        <f t="shared" si="93"/>
        <v>1.9974433355089357E-2</v>
      </c>
      <c r="O488" s="50">
        <f t="shared" si="94"/>
        <v>1.298201116099713E-2</v>
      </c>
      <c r="P488" s="50">
        <f t="shared" si="99"/>
        <v>1.9974433355089357E-2</v>
      </c>
      <c r="Q488" s="51">
        <f t="shared" si="100"/>
        <v>1.298201116099713E-2</v>
      </c>
      <c r="R488" s="4">
        <f t="shared" si="95"/>
        <v>-2.0363147368623765E-2</v>
      </c>
      <c r="S488">
        <f t="shared" si="96"/>
        <v>0</v>
      </c>
      <c r="T488">
        <f t="shared" si="97"/>
        <v>0</v>
      </c>
      <c r="U488" s="5">
        <f>0</f>
        <v>0</v>
      </c>
      <c r="V488" s="45">
        <f t="shared" si="101"/>
        <v>0.15180613418190428</v>
      </c>
      <c r="W488" s="45">
        <f t="shared" si="102"/>
        <v>0</v>
      </c>
      <c r="X488" s="45">
        <f t="shared" si="103"/>
        <v>0</v>
      </c>
      <c r="Y488" s="46">
        <f>0</f>
        <v>0</v>
      </c>
      <c r="Z488" s="11"/>
    </row>
    <row r="489" spans="11:26" x14ac:dyDescent="0.45">
      <c r="K489" s="39">
        <f t="shared" si="98"/>
        <v>5.37</v>
      </c>
      <c r="L489" s="40">
        <f t="shared" si="91"/>
        <v>45.37</v>
      </c>
      <c r="M489" s="41">
        <f t="shared" si="92"/>
        <v>40.369999999999997</v>
      </c>
      <c r="N489" s="49">
        <f t="shared" si="93"/>
        <v>1.9957227263558225E-2</v>
      </c>
      <c r="O489" s="50">
        <f t="shared" si="94"/>
        <v>1.2970828382075531E-2</v>
      </c>
      <c r="P489" s="50">
        <f t="shared" si="99"/>
        <v>1.9957227263558225E-2</v>
      </c>
      <c r="Q489" s="51">
        <f t="shared" si="100"/>
        <v>1.2970828382075531E-2</v>
      </c>
      <c r="R489" s="4">
        <f t="shared" si="95"/>
        <v>-2.0322181340667198E-2</v>
      </c>
      <c r="S489">
        <f t="shared" si="96"/>
        <v>0</v>
      </c>
      <c r="T489">
        <f t="shared" si="97"/>
        <v>0</v>
      </c>
      <c r="U489" s="5">
        <f>0</f>
        <v>0</v>
      </c>
      <c r="V489" s="45">
        <f t="shared" si="101"/>
        <v>0.15200976565559052</v>
      </c>
      <c r="W489" s="45">
        <f t="shared" si="102"/>
        <v>0</v>
      </c>
      <c r="X489" s="45">
        <f t="shared" si="103"/>
        <v>0</v>
      </c>
      <c r="Y489" s="46">
        <f>0</f>
        <v>0</v>
      </c>
      <c r="Z489" s="11"/>
    </row>
    <row r="490" spans="11:26" x14ac:dyDescent="0.45">
      <c r="K490" s="39">
        <f t="shared" si="98"/>
        <v>5.36</v>
      </c>
      <c r="L490" s="40">
        <f t="shared" si="91"/>
        <v>45.36</v>
      </c>
      <c r="M490" s="41">
        <f t="shared" si="92"/>
        <v>40.36</v>
      </c>
      <c r="N490" s="49">
        <f t="shared" si="93"/>
        <v>1.9940035993453106E-2</v>
      </c>
      <c r="O490" s="50">
        <f t="shared" si="94"/>
        <v>1.2959655236063882E-2</v>
      </c>
      <c r="P490" s="50">
        <f t="shared" si="99"/>
        <v>1.9940035993453106E-2</v>
      </c>
      <c r="Q490" s="51">
        <f t="shared" si="100"/>
        <v>1.2959655236063882E-2</v>
      </c>
      <c r="R490" s="4">
        <f t="shared" si="95"/>
        <v>-2.028128156721478E-2</v>
      </c>
      <c r="S490">
        <f t="shared" si="96"/>
        <v>0</v>
      </c>
      <c r="T490">
        <f t="shared" si="97"/>
        <v>0</v>
      </c>
      <c r="U490" s="5">
        <f>0</f>
        <v>0</v>
      </c>
      <c r="V490" s="45">
        <f t="shared" si="101"/>
        <v>0.1522129874689972</v>
      </c>
      <c r="W490" s="45">
        <f t="shared" si="102"/>
        <v>0</v>
      </c>
      <c r="X490" s="45">
        <f t="shared" si="103"/>
        <v>0</v>
      </c>
      <c r="Y490" s="46">
        <f>0</f>
        <v>0</v>
      </c>
      <c r="Z490" s="11"/>
    </row>
    <row r="491" spans="11:26" x14ac:dyDescent="0.45">
      <c r="K491" s="39">
        <f t="shared" si="98"/>
        <v>5.35</v>
      </c>
      <c r="L491" s="40">
        <f t="shared" si="91"/>
        <v>45.35</v>
      </c>
      <c r="M491" s="41">
        <f t="shared" si="92"/>
        <v>40.35</v>
      </c>
      <c r="N491" s="49">
        <f t="shared" si="93"/>
        <v>1.9922859532006728E-2</v>
      </c>
      <c r="O491" s="50">
        <f t="shared" si="94"/>
        <v>1.2948491714664332E-2</v>
      </c>
      <c r="P491" s="50">
        <f t="shared" si="99"/>
        <v>1.9922859532006728E-2</v>
      </c>
      <c r="Q491" s="51">
        <f t="shared" si="100"/>
        <v>1.2948491714664332E-2</v>
      </c>
      <c r="R491" s="4">
        <f t="shared" si="95"/>
        <v>-2.0240447925737756E-2</v>
      </c>
      <c r="S491">
        <f t="shared" si="96"/>
        <v>0</v>
      </c>
      <c r="T491">
        <f t="shared" si="97"/>
        <v>0</v>
      </c>
      <c r="U491" s="5">
        <f>0</f>
        <v>0</v>
      </c>
      <c r="V491" s="45">
        <f t="shared" si="101"/>
        <v>0.15241580028466933</v>
      </c>
      <c r="W491" s="45">
        <f t="shared" si="102"/>
        <v>0</v>
      </c>
      <c r="X491" s="45">
        <f t="shared" si="103"/>
        <v>0</v>
      </c>
      <c r="Y491" s="46">
        <f>0</f>
        <v>0</v>
      </c>
      <c r="Z491" s="11"/>
    </row>
    <row r="492" spans="11:26" x14ac:dyDescent="0.45">
      <c r="K492" s="39">
        <f t="shared" si="98"/>
        <v>5.34</v>
      </c>
      <c r="L492" s="40">
        <f t="shared" si="91"/>
        <v>45.34</v>
      </c>
      <c r="M492" s="41">
        <f t="shared" si="92"/>
        <v>40.340000000000003</v>
      </c>
      <c r="N492" s="49">
        <f t="shared" si="93"/>
        <v>1.9905697866462815E-2</v>
      </c>
      <c r="O492" s="50">
        <f t="shared" si="94"/>
        <v>1.2937337809586188E-2</v>
      </c>
      <c r="P492" s="50">
        <f t="shared" si="99"/>
        <v>1.9905697866462815E-2</v>
      </c>
      <c r="Q492" s="51">
        <f t="shared" si="100"/>
        <v>1.2937337809586188E-2</v>
      </c>
      <c r="R492" s="4">
        <f t="shared" si="95"/>
        <v>-2.0199680293976469E-2</v>
      </c>
      <c r="S492">
        <f t="shared" si="96"/>
        <v>0</v>
      </c>
      <c r="T492">
        <f t="shared" si="97"/>
        <v>0</v>
      </c>
      <c r="U492" s="5">
        <f>0</f>
        <v>0</v>
      </c>
      <c r="V492" s="45">
        <f t="shared" si="101"/>
        <v>0.15261820476392671</v>
      </c>
      <c r="W492" s="45">
        <f t="shared" si="102"/>
        <v>0</v>
      </c>
      <c r="X492" s="45">
        <f t="shared" si="103"/>
        <v>0</v>
      </c>
      <c r="Y492" s="46">
        <f>0</f>
        <v>0</v>
      </c>
      <c r="Z492" s="11"/>
    </row>
    <row r="493" spans="11:26" x14ac:dyDescent="0.45">
      <c r="K493" s="39">
        <f t="shared" si="98"/>
        <v>5.33</v>
      </c>
      <c r="L493" s="40">
        <f t="shared" si="91"/>
        <v>45.33</v>
      </c>
      <c r="M493" s="41">
        <f t="shared" si="92"/>
        <v>40.33</v>
      </c>
      <c r="N493" s="49">
        <f t="shared" si="93"/>
        <v>1.9888550984076086E-2</v>
      </c>
      <c r="O493" s="50">
        <f t="shared" si="94"/>
        <v>1.2926193512545885E-2</v>
      </c>
      <c r="P493" s="50">
        <f t="shared" si="99"/>
        <v>1.9888550984076086E-2</v>
      </c>
      <c r="Q493" s="51">
        <f t="shared" si="100"/>
        <v>1.2926193512545885E-2</v>
      </c>
      <c r="R493" s="4">
        <f t="shared" si="95"/>
        <v>-2.0158978549939657E-2</v>
      </c>
      <c r="S493">
        <f t="shared" si="96"/>
        <v>0</v>
      </c>
      <c r="T493">
        <f t="shared" si="97"/>
        <v>0</v>
      </c>
      <c r="U493" s="5">
        <f>0</f>
        <v>0</v>
      </c>
      <c r="V493" s="45">
        <f t="shared" si="101"/>
        <v>0.15282020156686646</v>
      </c>
      <c r="W493" s="45">
        <f t="shared" si="102"/>
        <v>0</v>
      </c>
      <c r="X493" s="45">
        <f t="shared" si="103"/>
        <v>0</v>
      </c>
      <c r="Y493" s="46">
        <f>0</f>
        <v>0</v>
      </c>
      <c r="Z493" s="11"/>
    </row>
    <row r="494" spans="11:26" x14ac:dyDescent="0.45">
      <c r="K494" s="39">
        <f t="shared" si="98"/>
        <v>5.32</v>
      </c>
      <c r="L494" s="40">
        <f t="shared" si="91"/>
        <v>45.32</v>
      </c>
      <c r="M494" s="41">
        <f t="shared" si="92"/>
        <v>40.32</v>
      </c>
      <c r="N494" s="49">
        <f t="shared" si="93"/>
        <v>1.9871418872112266E-2</v>
      </c>
      <c r="O494" s="50">
        <f t="shared" si="94"/>
        <v>1.2915058815267022E-2</v>
      </c>
      <c r="P494" s="50">
        <f t="shared" si="99"/>
        <v>1.9871418872112266E-2</v>
      </c>
      <c r="Q494" s="51">
        <f t="shared" si="100"/>
        <v>1.2915058815267022E-2</v>
      </c>
      <c r="R494" s="4">
        <f t="shared" si="95"/>
        <v>-2.0118342571903848E-2</v>
      </c>
      <c r="S494">
        <f t="shared" si="96"/>
        <v>0</v>
      </c>
      <c r="T494">
        <f t="shared" si="97"/>
        <v>0</v>
      </c>
      <c r="U494" s="5">
        <f>0</f>
        <v>0</v>
      </c>
      <c r="V494" s="45">
        <f t="shared" si="101"/>
        <v>0.15302179135236585</v>
      </c>
      <c r="W494" s="45">
        <f t="shared" si="102"/>
        <v>0</v>
      </c>
      <c r="X494" s="45">
        <f t="shared" si="103"/>
        <v>0</v>
      </c>
      <c r="Y494" s="46">
        <f>0</f>
        <v>0</v>
      </c>
      <c r="Z494" s="11"/>
    </row>
    <row r="495" spans="11:26" x14ac:dyDescent="0.45">
      <c r="K495" s="39">
        <f t="shared" si="98"/>
        <v>5.31</v>
      </c>
      <c r="L495" s="40">
        <f t="shared" si="91"/>
        <v>45.31</v>
      </c>
      <c r="M495" s="41">
        <f t="shared" si="92"/>
        <v>40.31</v>
      </c>
      <c r="N495" s="49">
        <f t="shared" si="93"/>
        <v>1.9854301517848016E-2</v>
      </c>
      <c r="O495" s="50">
        <f t="shared" si="94"/>
        <v>1.29039337094803E-2</v>
      </c>
      <c r="P495" s="50">
        <f t="shared" si="99"/>
        <v>1.9854301517848016E-2</v>
      </c>
      <c r="Q495" s="51">
        <f t="shared" si="100"/>
        <v>1.29039337094803E-2</v>
      </c>
      <c r="R495" s="4">
        <f t="shared" si="95"/>
        <v>-2.0077772238412575E-2</v>
      </c>
      <c r="S495">
        <f t="shared" si="96"/>
        <v>0</v>
      </c>
      <c r="T495">
        <f t="shared" si="97"/>
        <v>0</v>
      </c>
      <c r="U495" s="5">
        <f>0</f>
        <v>0</v>
      </c>
      <c r="V495" s="45">
        <f t="shared" si="101"/>
        <v>0.15322297477808489</v>
      </c>
      <c r="W495" s="45">
        <f t="shared" si="102"/>
        <v>0</v>
      </c>
      <c r="X495" s="45">
        <f t="shared" si="103"/>
        <v>0</v>
      </c>
      <c r="Y495" s="46">
        <f>0</f>
        <v>0</v>
      </c>
      <c r="Z495" s="11"/>
    </row>
    <row r="496" spans="11:26" x14ac:dyDescent="0.45">
      <c r="K496" s="39">
        <f t="shared" si="98"/>
        <v>5.3</v>
      </c>
      <c r="L496" s="40">
        <f t="shared" si="91"/>
        <v>45.3</v>
      </c>
      <c r="M496" s="41">
        <f t="shared" si="92"/>
        <v>40.299999999999997</v>
      </c>
      <c r="N496" s="49">
        <f t="shared" si="93"/>
        <v>1.9837198908570965E-2</v>
      </c>
      <c r="O496" s="50">
        <f t="shared" si="94"/>
        <v>1.2892818186923543E-2</v>
      </c>
      <c r="P496" s="50">
        <f t="shared" si="99"/>
        <v>1.9837198908570965E-2</v>
      </c>
      <c r="Q496" s="51">
        <f t="shared" si="100"/>
        <v>1.2892818186923543E-2</v>
      </c>
      <c r="R496" s="4">
        <f t="shared" si="95"/>
        <v>-2.0037267428275787E-2</v>
      </c>
      <c r="S496">
        <f t="shared" si="96"/>
        <v>0</v>
      </c>
      <c r="T496">
        <f t="shared" si="97"/>
        <v>0</v>
      </c>
      <c r="U496" s="5">
        <f>0</f>
        <v>0</v>
      </c>
      <c r="V496" s="45">
        <f t="shared" si="101"/>
        <v>0.15342375250046902</v>
      </c>
      <c r="W496" s="45">
        <f t="shared" si="102"/>
        <v>0</v>
      </c>
      <c r="X496" s="45">
        <f t="shared" si="103"/>
        <v>0</v>
      </c>
      <c r="Y496" s="46">
        <f>0</f>
        <v>0</v>
      </c>
      <c r="Z496" s="11"/>
    </row>
    <row r="497" spans="11:26" x14ac:dyDescent="0.45">
      <c r="K497" s="39">
        <f t="shared" si="98"/>
        <v>5.29</v>
      </c>
      <c r="L497" s="40">
        <f t="shared" si="91"/>
        <v>45.29</v>
      </c>
      <c r="M497" s="41">
        <f t="shared" si="92"/>
        <v>40.29</v>
      </c>
      <c r="N497" s="49">
        <f t="shared" si="93"/>
        <v>1.9820111031579709E-2</v>
      </c>
      <c r="O497" s="50">
        <f t="shared" si="94"/>
        <v>1.2881712239341722E-2</v>
      </c>
      <c r="P497" s="50">
        <f t="shared" si="99"/>
        <v>1.9820111031579709E-2</v>
      </c>
      <c r="Q497" s="51">
        <f t="shared" si="100"/>
        <v>1.2881712239341722E-2</v>
      </c>
      <c r="R497" s="4">
        <f t="shared" si="95"/>
        <v>-1.9996828020569193E-2</v>
      </c>
      <c r="S497">
        <f t="shared" si="96"/>
        <v>0</v>
      </c>
      <c r="T497">
        <f t="shared" si="97"/>
        <v>0</v>
      </c>
      <c r="U497" s="5">
        <f>0</f>
        <v>0</v>
      </c>
      <c r="V497" s="45">
        <f t="shared" si="101"/>
        <v>0.15362412517475177</v>
      </c>
      <c r="W497" s="45">
        <f t="shared" si="102"/>
        <v>0</v>
      </c>
      <c r="X497" s="45">
        <f t="shared" si="103"/>
        <v>0</v>
      </c>
      <c r="Y497" s="46">
        <f>0</f>
        <v>0</v>
      </c>
      <c r="Z497" s="11"/>
    </row>
    <row r="498" spans="11:26" x14ac:dyDescent="0.45">
      <c r="K498" s="39">
        <f t="shared" si="98"/>
        <v>5.28</v>
      </c>
      <c r="L498" s="40">
        <f t="shared" si="91"/>
        <v>45.28</v>
      </c>
      <c r="M498" s="41">
        <f t="shared" si="92"/>
        <v>40.28</v>
      </c>
      <c r="N498" s="49">
        <f t="shared" si="93"/>
        <v>1.9803037874183766E-2</v>
      </c>
      <c r="O498" s="50">
        <f t="shared" si="94"/>
        <v>1.2870615858486886E-2</v>
      </c>
      <c r="P498" s="50">
        <f t="shared" si="99"/>
        <v>1.9803037874183766E-2</v>
      </c>
      <c r="Q498" s="51">
        <f t="shared" si="100"/>
        <v>1.2870615858486886E-2</v>
      </c>
      <c r="R498" s="4">
        <f t="shared" si="95"/>
        <v>-1.9956453894633526E-2</v>
      </c>
      <c r="S498">
        <f t="shared" si="96"/>
        <v>0</v>
      </c>
      <c r="T498">
        <f t="shared" si="97"/>
        <v>0</v>
      </c>
      <c r="U498" s="5">
        <f>0</f>
        <v>0</v>
      </c>
      <c r="V498" s="45">
        <f t="shared" si="101"/>
        <v>0.15382409345495746</v>
      </c>
      <c r="W498" s="45">
        <f t="shared" si="102"/>
        <v>0</v>
      </c>
      <c r="X498" s="45">
        <f t="shared" si="103"/>
        <v>0</v>
      </c>
      <c r="Y498" s="46">
        <f>0</f>
        <v>0</v>
      </c>
      <c r="Z498" s="11"/>
    </row>
    <row r="499" spans="11:26" x14ac:dyDescent="0.45">
      <c r="K499" s="39">
        <f t="shared" si="98"/>
        <v>5.27</v>
      </c>
      <c r="L499" s="40">
        <f t="shared" si="91"/>
        <v>45.269999999999996</v>
      </c>
      <c r="M499" s="41">
        <f t="shared" si="92"/>
        <v>40.269999999999996</v>
      </c>
      <c r="N499" s="49">
        <f t="shared" si="93"/>
        <v>1.9785979423703581E-2</v>
      </c>
      <c r="O499" s="50">
        <f t="shared" si="94"/>
        <v>1.2859529036118198E-2</v>
      </c>
      <c r="P499" s="50">
        <f t="shared" si="99"/>
        <v>1.9785979423703581E-2</v>
      </c>
      <c r="Q499" s="51">
        <f t="shared" si="100"/>
        <v>1.2859529036118198E-2</v>
      </c>
      <c r="R499" s="4">
        <f t="shared" si="95"/>
        <v>-1.9916144930073907E-2</v>
      </c>
      <c r="S499">
        <f t="shared" si="96"/>
        <v>0</v>
      </c>
      <c r="T499">
        <f t="shared" si="97"/>
        <v>0</v>
      </c>
      <c r="U499" s="5">
        <f>0</f>
        <v>0</v>
      </c>
      <c r="V499" s="45">
        <f t="shared" si="101"/>
        <v>0.1540236579939038</v>
      </c>
      <c r="W499" s="45">
        <f t="shared" si="102"/>
        <v>0</v>
      </c>
      <c r="X499" s="45">
        <f t="shared" si="103"/>
        <v>0</v>
      </c>
      <c r="Y499" s="46">
        <f>0</f>
        <v>0</v>
      </c>
      <c r="Z499" s="11"/>
    </row>
    <row r="500" spans="11:26" x14ac:dyDescent="0.45">
      <c r="K500" s="39">
        <f t="shared" si="98"/>
        <v>5.26</v>
      </c>
      <c r="L500" s="40">
        <f t="shared" si="91"/>
        <v>45.26</v>
      </c>
      <c r="M500" s="41">
        <f t="shared" si="92"/>
        <v>40.26</v>
      </c>
      <c r="N500" s="49">
        <f t="shared" si="93"/>
        <v>1.9768935667470552E-2</v>
      </c>
      <c r="O500" s="50">
        <f t="shared" si="94"/>
        <v>1.2848451764001937E-2</v>
      </c>
      <c r="P500" s="50">
        <f t="shared" si="99"/>
        <v>1.9768935667470552E-2</v>
      </c>
      <c r="Q500" s="51">
        <f t="shared" si="100"/>
        <v>1.2848451764001937E-2</v>
      </c>
      <c r="R500" s="4">
        <f t="shared" si="95"/>
        <v>-1.9875901006759233E-2</v>
      </c>
      <c r="S500">
        <f t="shared" si="96"/>
        <v>0</v>
      </c>
      <c r="T500">
        <f t="shared" si="97"/>
        <v>0</v>
      </c>
      <c r="U500" s="5">
        <f>0</f>
        <v>0</v>
      </c>
      <c r="V500" s="45">
        <f t="shared" si="101"/>
        <v>0.15422281944320454</v>
      </c>
      <c r="W500" s="45">
        <f t="shared" si="102"/>
        <v>0</v>
      </c>
      <c r="X500" s="45">
        <f t="shared" si="103"/>
        <v>0</v>
      </c>
      <c r="Y500" s="46">
        <f>0</f>
        <v>0</v>
      </c>
      <c r="Z500" s="11"/>
    </row>
    <row r="501" spans="11:26" x14ac:dyDescent="0.45">
      <c r="K501" s="39">
        <f t="shared" si="98"/>
        <v>5.25</v>
      </c>
      <c r="L501" s="40">
        <f t="shared" si="91"/>
        <v>45.25</v>
      </c>
      <c r="M501" s="41">
        <f t="shared" si="92"/>
        <v>40.25</v>
      </c>
      <c r="N501" s="49">
        <f t="shared" si="93"/>
        <v>1.9751906592826961E-2</v>
      </c>
      <c r="O501" s="50">
        <f t="shared" si="94"/>
        <v>1.2837384033911452E-2</v>
      </c>
      <c r="P501" s="50">
        <f t="shared" si="99"/>
        <v>1.9751906592826961E-2</v>
      </c>
      <c r="Q501" s="51">
        <f t="shared" si="100"/>
        <v>1.2837384033911452E-2</v>
      </c>
      <c r="R501" s="4">
        <f t="shared" si="95"/>
        <v>-1.9835722004821435E-2</v>
      </c>
      <c r="S501">
        <f t="shared" si="96"/>
        <v>0</v>
      </c>
      <c r="T501">
        <f t="shared" si="97"/>
        <v>0</v>
      </c>
      <c r="U501" s="5">
        <f>0</f>
        <v>0</v>
      </c>
      <c r="V501" s="45">
        <f t="shared" si="101"/>
        <v>0.15442157845327215</v>
      </c>
      <c r="W501" s="45">
        <f t="shared" si="102"/>
        <v>0</v>
      </c>
      <c r="X501" s="45">
        <f t="shared" si="103"/>
        <v>0</v>
      </c>
      <c r="Y501" s="46">
        <f>0</f>
        <v>0</v>
      </c>
      <c r="Z501" s="11"/>
    </row>
    <row r="502" spans="11:26" x14ac:dyDescent="0.45">
      <c r="K502" s="39">
        <f t="shared" si="98"/>
        <v>5.24</v>
      </c>
      <c r="L502" s="40">
        <f t="shared" si="91"/>
        <v>45.24</v>
      </c>
      <c r="M502" s="41">
        <f t="shared" si="92"/>
        <v>40.24</v>
      </c>
      <c r="N502" s="49">
        <f t="shared" si="93"/>
        <v>1.9734892187126006E-2</v>
      </c>
      <c r="O502" s="50">
        <f t="shared" si="94"/>
        <v>1.2826325837627184E-2</v>
      </c>
      <c r="P502" s="50">
        <f t="shared" si="99"/>
        <v>1.9734892187126006E-2</v>
      </c>
      <c r="Q502" s="51">
        <f t="shared" si="100"/>
        <v>1.2826325837627184E-2</v>
      </c>
      <c r="R502" s="4">
        <f t="shared" si="95"/>
        <v>-1.9795607804654877E-2</v>
      </c>
      <c r="S502">
        <f t="shared" si="96"/>
        <v>0</v>
      </c>
      <c r="T502">
        <f t="shared" si="97"/>
        <v>0</v>
      </c>
      <c r="U502" s="5">
        <f>0</f>
        <v>0</v>
      </c>
      <c r="V502" s="45">
        <f t="shared" si="101"/>
        <v>0.15461993567332036</v>
      </c>
      <c r="W502" s="45">
        <f t="shared" si="102"/>
        <v>0</v>
      </c>
      <c r="X502" s="45">
        <f t="shared" si="103"/>
        <v>0</v>
      </c>
      <c r="Y502" s="46">
        <f>0</f>
        <v>0</v>
      </c>
      <c r="Z502" s="11"/>
    </row>
    <row r="503" spans="11:26" x14ac:dyDescent="0.45">
      <c r="K503" s="39">
        <f t="shared" si="98"/>
        <v>5.23</v>
      </c>
      <c r="L503" s="40">
        <f t="shared" si="91"/>
        <v>45.230000000000004</v>
      </c>
      <c r="M503" s="41">
        <f t="shared" si="92"/>
        <v>40.230000000000004</v>
      </c>
      <c r="N503" s="49">
        <f t="shared" si="93"/>
        <v>1.9717892437731768E-2</v>
      </c>
      <c r="O503" s="50">
        <f t="shared" si="94"/>
        <v>1.2815277166936666E-2</v>
      </c>
      <c r="P503" s="50">
        <f t="shared" si="99"/>
        <v>1.9717892437731768E-2</v>
      </c>
      <c r="Q503" s="51">
        <f t="shared" si="100"/>
        <v>1.2815277166936666E-2</v>
      </c>
      <c r="R503" s="4">
        <f t="shared" si="95"/>
        <v>-1.9755558286915671E-2</v>
      </c>
      <c r="S503">
        <f t="shared" si="96"/>
        <v>0</v>
      </c>
      <c r="T503">
        <f t="shared" si="97"/>
        <v>0</v>
      </c>
      <c r="U503" s="5">
        <f>0</f>
        <v>0</v>
      </c>
      <c r="V503" s="45">
        <f t="shared" si="101"/>
        <v>0.1548178917513669</v>
      </c>
      <c r="W503" s="45">
        <f t="shared" si="102"/>
        <v>0</v>
      </c>
      <c r="X503" s="45">
        <f t="shared" si="103"/>
        <v>0</v>
      </c>
      <c r="Y503" s="46">
        <f>0</f>
        <v>0</v>
      </c>
      <c r="Z503" s="11"/>
    </row>
    <row r="504" spans="11:26" x14ac:dyDescent="0.45">
      <c r="K504" s="39">
        <f t="shared" si="98"/>
        <v>5.22</v>
      </c>
      <c r="L504" s="40">
        <f t="shared" si="91"/>
        <v>45.22</v>
      </c>
      <c r="M504" s="41">
        <f t="shared" si="92"/>
        <v>40.22</v>
      </c>
      <c r="N504" s="49">
        <f t="shared" si="93"/>
        <v>1.9700907332019221E-2</v>
      </c>
      <c r="O504" s="50">
        <f t="shared" si="94"/>
        <v>1.2804238013634483E-2</v>
      </c>
      <c r="P504" s="50">
        <f t="shared" si="99"/>
        <v>1.9700907332019221E-2</v>
      </c>
      <c r="Q504" s="51">
        <f t="shared" si="100"/>
        <v>1.2804238013634483E-2</v>
      </c>
      <c r="R504" s="4">
        <f t="shared" si="95"/>
        <v>-1.9715573332521035E-2</v>
      </c>
      <c r="S504">
        <f t="shared" si="96"/>
        <v>0</v>
      </c>
      <c r="T504">
        <f t="shared" si="97"/>
        <v>0</v>
      </c>
      <c r="U504" s="5">
        <f>0</f>
        <v>0</v>
      </c>
      <c r="V504" s="45">
        <f t="shared" si="101"/>
        <v>0.15501544733423606</v>
      </c>
      <c r="W504" s="45">
        <f t="shared" si="102"/>
        <v>0</v>
      </c>
      <c r="X504" s="45">
        <f t="shared" si="103"/>
        <v>0</v>
      </c>
      <c r="Y504" s="46">
        <f>0</f>
        <v>0</v>
      </c>
      <c r="Z504" s="11"/>
    </row>
    <row r="505" spans="11:26" x14ac:dyDescent="0.45">
      <c r="K505" s="39">
        <f t="shared" si="98"/>
        <v>5.21</v>
      </c>
      <c r="L505" s="40">
        <f t="shared" si="91"/>
        <v>45.21</v>
      </c>
      <c r="M505" s="41">
        <f t="shared" si="92"/>
        <v>40.21</v>
      </c>
      <c r="N505" s="49">
        <f t="shared" si="93"/>
        <v>1.9683936857374223E-2</v>
      </c>
      <c r="O505" s="50">
        <f t="shared" si="94"/>
        <v>1.2793208369522319E-2</v>
      </c>
      <c r="P505" s="50">
        <f t="shared" si="99"/>
        <v>1.9683936857374223E-2</v>
      </c>
      <c r="Q505" s="51">
        <f t="shared" si="100"/>
        <v>1.2793208369522319E-2</v>
      </c>
      <c r="R505" s="4">
        <f t="shared" si="95"/>
        <v>-1.9675652822648645E-2</v>
      </c>
      <c r="S505">
        <f t="shared" si="96"/>
        <v>0</v>
      </c>
      <c r="T505">
        <f t="shared" si="97"/>
        <v>0</v>
      </c>
      <c r="U505" s="5">
        <f>0</f>
        <v>0</v>
      </c>
      <c r="V505" s="45">
        <f t="shared" si="101"/>
        <v>0.15521260306756127</v>
      </c>
      <c r="W505" s="45">
        <f t="shared" si="102"/>
        <v>0</v>
      </c>
      <c r="X505" s="45">
        <f t="shared" si="103"/>
        <v>0</v>
      </c>
      <c r="Y505" s="46">
        <f>0</f>
        <v>0</v>
      </c>
      <c r="Z505" s="11"/>
    </row>
    <row r="506" spans="11:26" x14ac:dyDescent="0.45">
      <c r="K506" s="39">
        <f t="shared" si="98"/>
        <v>5.2</v>
      </c>
      <c r="L506" s="40">
        <f t="shared" si="91"/>
        <v>45.2</v>
      </c>
      <c r="M506" s="41">
        <f t="shared" si="92"/>
        <v>40.200000000000003</v>
      </c>
      <c r="N506" s="49">
        <f t="shared" si="93"/>
        <v>1.9666981001193483E-2</v>
      </c>
      <c r="O506" s="50">
        <f t="shared" si="94"/>
        <v>1.2782188226408897E-2</v>
      </c>
      <c r="P506" s="50">
        <f t="shared" si="99"/>
        <v>1.9666981001193483E-2</v>
      </c>
      <c r="Q506" s="51">
        <f t="shared" si="100"/>
        <v>1.2782188226408897E-2</v>
      </c>
      <c r="R506" s="4">
        <f t="shared" si="95"/>
        <v>-1.963579663873596E-2</v>
      </c>
      <c r="S506">
        <f t="shared" si="96"/>
        <v>0</v>
      </c>
      <c r="T506">
        <f t="shared" si="97"/>
        <v>0</v>
      </c>
      <c r="U506" s="5">
        <f>0</f>
        <v>0</v>
      </c>
      <c r="V506" s="45">
        <f t="shared" si="101"/>
        <v>0.15540935959578775</v>
      </c>
      <c r="W506" s="45">
        <f t="shared" si="102"/>
        <v>0</v>
      </c>
      <c r="X506" s="45">
        <f t="shared" si="103"/>
        <v>0</v>
      </c>
      <c r="Y506" s="46">
        <f>0</f>
        <v>0</v>
      </c>
      <c r="Z506" s="11"/>
    </row>
    <row r="507" spans="11:26" x14ac:dyDescent="0.45">
      <c r="K507" s="39">
        <f t="shared" si="98"/>
        <v>5.19</v>
      </c>
      <c r="L507" s="40">
        <f t="shared" si="91"/>
        <v>45.19</v>
      </c>
      <c r="M507" s="41">
        <f t="shared" si="92"/>
        <v>40.19</v>
      </c>
      <c r="N507" s="49">
        <f t="shared" si="93"/>
        <v>1.9650039750884564E-2</v>
      </c>
      <c r="O507" s="50">
        <f t="shared" si="94"/>
        <v>1.2771177576109993E-2</v>
      </c>
      <c r="P507" s="50">
        <f t="shared" si="99"/>
        <v>1.9650039750884564E-2</v>
      </c>
      <c r="Q507" s="51">
        <f t="shared" si="100"/>
        <v>1.2771177576109993E-2</v>
      </c>
      <c r="R507" s="4">
        <f t="shared" si="95"/>
        <v>-1.9596004662479585E-2</v>
      </c>
      <c r="S507">
        <f t="shared" si="96"/>
        <v>0</v>
      </c>
      <c r="T507">
        <f t="shared" si="97"/>
        <v>0</v>
      </c>
      <c r="U507" s="5">
        <f>0</f>
        <v>0</v>
      </c>
      <c r="V507" s="45">
        <f t="shared" si="101"/>
        <v>0.15560571756217512</v>
      </c>
      <c r="W507" s="45">
        <f t="shared" si="102"/>
        <v>0</v>
      </c>
      <c r="X507" s="45">
        <f t="shared" si="103"/>
        <v>0</v>
      </c>
      <c r="Y507" s="46">
        <f>0</f>
        <v>0</v>
      </c>
      <c r="Z507" s="11"/>
    </row>
    <row r="508" spans="11:26" x14ac:dyDescent="0.45">
      <c r="K508" s="39">
        <f t="shared" si="98"/>
        <v>5.18</v>
      </c>
      <c r="L508" s="40">
        <f t="shared" si="91"/>
        <v>45.18</v>
      </c>
      <c r="M508" s="41">
        <f t="shared" si="92"/>
        <v>40.18</v>
      </c>
      <c r="N508" s="49">
        <f t="shared" si="93"/>
        <v>1.9633113093865898E-2</v>
      </c>
      <c r="O508" s="50">
        <f t="shared" si="94"/>
        <v>1.2760176410448455E-2</v>
      </c>
      <c r="P508" s="50">
        <f t="shared" si="99"/>
        <v>1.9633113093865898E-2</v>
      </c>
      <c r="Q508" s="51">
        <f t="shared" si="100"/>
        <v>1.2760176410448455E-2</v>
      </c>
      <c r="R508" s="4">
        <f t="shared" si="95"/>
        <v>-1.9556276775834651E-2</v>
      </c>
      <c r="S508">
        <f t="shared" si="96"/>
        <v>0</v>
      </c>
      <c r="T508">
        <f t="shared" si="97"/>
        <v>0</v>
      </c>
      <c r="U508" s="5">
        <f>0</f>
        <v>0</v>
      </c>
      <c r="V508" s="45">
        <f t="shared" si="101"/>
        <v>0.1558016776087999</v>
      </c>
      <c r="W508" s="45">
        <f t="shared" si="102"/>
        <v>0</v>
      </c>
      <c r="X508" s="45">
        <f t="shared" si="103"/>
        <v>0</v>
      </c>
      <c r="Y508" s="46">
        <f>0</f>
        <v>0</v>
      </c>
      <c r="Z508" s="11"/>
    </row>
    <row r="509" spans="11:26" x14ac:dyDescent="0.45">
      <c r="K509" s="39">
        <f t="shared" si="98"/>
        <v>5.17</v>
      </c>
      <c r="L509" s="40">
        <f t="shared" si="91"/>
        <v>45.17</v>
      </c>
      <c r="M509" s="41">
        <f t="shared" si="92"/>
        <v>40.17</v>
      </c>
      <c r="N509" s="49">
        <f t="shared" si="93"/>
        <v>1.9616201017566736E-2</v>
      </c>
      <c r="O509" s="50">
        <f t="shared" si="94"/>
        <v>1.2749184721254157E-2</v>
      </c>
      <c r="P509" s="50">
        <f t="shared" si="99"/>
        <v>1.9616201017566736E-2</v>
      </c>
      <c r="Q509" s="51">
        <f t="shared" si="100"/>
        <v>1.2749184721254157E-2</v>
      </c>
      <c r="R509" s="4">
        <f t="shared" si="95"/>
        <v>-1.9516612861014106E-2</v>
      </c>
      <c r="S509">
        <f t="shared" si="96"/>
        <v>0</v>
      </c>
      <c r="T509">
        <f t="shared" si="97"/>
        <v>0</v>
      </c>
      <c r="U509" s="5">
        <f>0</f>
        <v>0</v>
      </c>
      <c r="V509" s="45">
        <f t="shared" si="101"/>
        <v>0.15599724037655824</v>
      </c>
      <c r="W509" s="45">
        <f t="shared" si="102"/>
        <v>0</v>
      </c>
      <c r="X509" s="45">
        <f t="shared" si="103"/>
        <v>0</v>
      </c>
      <c r="Y509" s="46">
        <f>0</f>
        <v>0</v>
      </c>
      <c r="Z509" s="11"/>
    </row>
    <row r="510" spans="11:26" x14ac:dyDescent="0.45">
      <c r="K510" s="39">
        <f t="shared" si="98"/>
        <v>5.16</v>
      </c>
      <c r="L510" s="40">
        <f t="shared" si="91"/>
        <v>45.16</v>
      </c>
      <c r="M510" s="41">
        <f t="shared" si="92"/>
        <v>40.159999999999997</v>
      </c>
      <c r="N510" s="49">
        <f t="shared" si="93"/>
        <v>1.9599303509427155E-2</v>
      </c>
      <c r="O510" s="50">
        <f t="shared" si="94"/>
        <v>1.2738202500364009E-2</v>
      </c>
      <c r="P510" s="50">
        <f t="shared" si="99"/>
        <v>1.9599303509427155E-2</v>
      </c>
      <c r="Q510" s="51">
        <f t="shared" si="100"/>
        <v>1.2738202500364009E-2</v>
      </c>
      <c r="R510" s="4">
        <f t="shared" si="95"/>
        <v>-1.9477012800488115E-2</v>
      </c>
      <c r="S510">
        <f t="shared" si="96"/>
        <v>0</v>
      </c>
      <c r="T510">
        <f t="shared" si="97"/>
        <v>0</v>
      </c>
      <c r="U510" s="5">
        <f>0</f>
        <v>0</v>
      </c>
      <c r="V510" s="45">
        <f t="shared" si="101"/>
        <v>0.15619240650516839</v>
      </c>
      <c r="W510" s="45">
        <f t="shared" si="102"/>
        <v>0</v>
      </c>
      <c r="X510" s="45">
        <f t="shared" si="103"/>
        <v>0</v>
      </c>
      <c r="Y510" s="46">
        <f>0</f>
        <v>0</v>
      </c>
      <c r="Z510" s="11"/>
    </row>
    <row r="511" spans="11:26" x14ac:dyDescent="0.45">
      <c r="K511" s="39">
        <f t="shared" si="98"/>
        <v>5.15</v>
      </c>
      <c r="L511" s="40">
        <f t="shared" si="91"/>
        <v>45.15</v>
      </c>
      <c r="M511" s="41">
        <f t="shared" si="92"/>
        <v>40.15</v>
      </c>
      <c r="N511" s="49">
        <f t="shared" si="93"/>
        <v>1.9582420556898069E-2</v>
      </c>
      <c r="O511" s="50">
        <f t="shared" si="94"/>
        <v>1.2727229739621974E-2</v>
      </c>
      <c r="P511" s="50">
        <f t="shared" si="99"/>
        <v>1.9582420556898069E-2</v>
      </c>
      <c r="Q511" s="51">
        <f t="shared" si="100"/>
        <v>1.2727229739621974E-2</v>
      </c>
      <c r="R511" s="4">
        <f t="shared" si="95"/>
        <v>-1.9437476476983441E-2</v>
      </c>
      <c r="S511">
        <f t="shared" si="96"/>
        <v>0</v>
      </c>
      <c r="T511">
        <f t="shared" si="97"/>
        <v>0</v>
      </c>
      <c r="U511" s="5">
        <f>0</f>
        <v>0</v>
      </c>
      <c r="V511" s="45">
        <f t="shared" si="101"/>
        <v>0.15638717663317325</v>
      </c>
      <c r="W511" s="45">
        <f t="shared" si="102"/>
        <v>0</v>
      </c>
      <c r="X511" s="45">
        <f t="shared" si="103"/>
        <v>0</v>
      </c>
      <c r="Y511" s="46">
        <f>0</f>
        <v>0</v>
      </c>
      <c r="Z511" s="11"/>
    </row>
    <row r="512" spans="11:26" x14ac:dyDescent="0.45">
      <c r="K512" s="39">
        <f t="shared" si="98"/>
        <v>5.14</v>
      </c>
      <c r="L512" s="40">
        <f t="shared" si="91"/>
        <v>45.14</v>
      </c>
      <c r="M512" s="41">
        <f t="shared" si="92"/>
        <v>40.14</v>
      </c>
      <c r="N512" s="49">
        <f t="shared" si="93"/>
        <v>1.9565552147441195E-2</v>
      </c>
      <c r="O512" s="50">
        <f t="shared" si="94"/>
        <v>1.2716266430879017E-2</v>
      </c>
      <c r="P512" s="50">
        <f t="shared" si="99"/>
        <v>1.9565552147441195E-2</v>
      </c>
      <c r="Q512" s="51">
        <f t="shared" si="100"/>
        <v>1.2716266430879017E-2</v>
      </c>
      <c r="R512" s="4">
        <f t="shared" si="95"/>
        <v>-1.939800377348274E-2</v>
      </c>
      <c r="S512">
        <f t="shared" si="96"/>
        <v>0</v>
      </c>
      <c r="T512">
        <f t="shared" si="97"/>
        <v>0</v>
      </c>
      <c r="U512" s="5">
        <f>0</f>
        <v>0</v>
      </c>
      <c r="V512" s="45">
        <f t="shared" si="101"/>
        <v>0.15658155139794308</v>
      </c>
      <c r="W512" s="45">
        <f t="shared" si="102"/>
        <v>0</v>
      </c>
      <c r="X512" s="45">
        <f t="shared" si="103"/>
        <v>0</v>
      </c>
      <c r="Y512" s="46">
        <f>0</f>
        <v>0</v>
      </c>
      <c r="Z512" s="11"/>
    </row>
    <row r="513" spans="11:26" x14ac:dyDescent="0.45">
      <c r="K513" s="39">
        <f t="shared" si="98"/>
        <v>5.13</v>
      </c>
      <c r="L513" s="40">
        <f t="shared" si="91"/>
        <v>45.13</v>
      </c>
      <c r="M513" s="41">
        <f t="shared" si="92"/>
        <v>40.130000000000003</v>
      </c>
      <c r="N513" s="49">
        <f t="shared" si="93"/>
        <v>1.9548698268529032E-2</v>
      </c>
      <c r="O513" s="50">
        <f t="shared" si="94"/>
        <v>1.2705312565993139E-2</v>
      </c>
      <c r="P513" s="50">
        <f t="shared" si="99"/>
        <v>1.9548698268529032E-2</v>
      </c>
      <c r="Q513" s="51">
        <f t="shared" si="100"/>
        <v>1.2705312565993139E-2</v>
      </c>
      <c r="R513" s="4">
        <f t="shared" si="95"/>
        <v>-1.9358594573223947E-2</v>
      </c>
      <c r="S513">
        <f t="shared" si="96"/>
        <v>0</v>
      </c>
      <c r="T513">
        <f t="shared" si="97"/>
        <v>0</v>
      </c>
      <c r="U513" s="5">
        <f>0</f>
        <v>0</v>
      </c>
      <c r="V513" s="45">
        <f t="shared" si="101"/>
        <v>0.15677553143567791</v>
      </c>
      <c r="W513" s="45">
        <f t="shared" si="102"/>
        <v>0</v>
      </c>
      <c r="X513" s="45">
        <f t="shared" si="103"/>
        <v>0</v>
      </c>
      <c r="Y513" s="46">
        <f>0</f>
        <v>0</v>
      </c>
      <c r="Z513" s="11"/>
    </row>
    <row r="514" spans="11:26" x14ac:dyDescent="0.45">
      <c r="K514" s="39">
        <f t="shared" si="98"/>
        <v>5.12</v>
      </c>
      <c r="L514" s="40">
        <f t="shared" si="91"/>
        <v>45.12</v>
      </c>
      <c r="M514" s="41">
        <f t="shared" si="92"/>
        <v>40.119999999999997</v>
      </c>
      <c r="N514" s="49">
        <f t="shared" si="93"/>
        <v>1.9531858907644889E-2</v>
      </c>
      <c r="O514" s="50">
        <f t="shared" si="94"/>
        <v>1.2694368136829323E-2</v>
      </c>
      <c r="P514" s="50">
        <f t="shared" si="99"/>
        <v>1.9531858907644889E-2</v>
      </c>
      <c r="Q514" s="51">
        <f t="shared" si="100"/>
        <v>1.2694368136829323E-2</v>
      </c>
      <c r="R514" s="4">
        <f t="shared" si="95"/>
        <v>-1.9319248759699658E-2</v>
      </c>
      <c r="S514">
        <f t="shared" si="96"/>
        <v>0</v>
      </c>
      <c r="T514">
        <f t="shared" si="97"/>
        <v>0</v>
      </c>
      <c r="U514" s="5">
        <f>0</f>
        <v>0</v>
      </c>
      <c r="V514" s="45">
        <f t="shared" si="101"/>
        <v>0.15696911738141014</v>
      </c>
      <c r="W514" s="45">
        <f t="shared" si="102"/>
        <v>0</v>
      </c>
      <c r="X514" s="45">
        <f t="shared" si="103"/>
        <v>0</v>
      </c>
      <c r="Y514" s="46">
        <f>0</f>
        <v>0</v>
      </c>
      <c r="Z514" s="11"/>
    </row>
    <row r="515" spans="11:26" x14ac:dyDescent="0.45">
      <c r="K515" s="39">
        <f t="shared" si="98"/>
        <v>5.1100000000000003</v>
      </c>
      <c r="L515" s="40">
        <f t="shared" si="91"/>
        <v>45.11</v>
      </c>
      <c r="M515" s="41">
        <f t="shared" si="92"/>
        <v>40.11</v>
      </c>
      <c r="N515" s="49">
        <f t="shared" si="93"/>
        <v>1.9515034052282863E-2</v>
      </c>
      <c r="O515" s="50">
        <f t="shared" si="94"/>
        <v>1.2683433135259613E-2</v>
      </c>
      <c r="P515" s="50">
        <f t="shared" si="99"/>
        <v>1.9515034052282863E-2</v>
      </c>
      <c r="Q515" s="51">
        <f t="shared" si="100"/>
        <v>1.2683433135259613E-2</v>
      </c>
      <c r="R515" s="4">
        <f t="shared" si="95"/>
        <v>-1.9279966216656508E-2</v>
      </c>
      <c r="S515">
        <f t="shared" si="96"/>
        <v>0</v>
      </c>
      <c r="T515">
        <f t="shared" si="97"/>
        <v>0</v>
      </c>
      <c r="U515" s="5">
        <f>0</f>
        <v>0</v>
      </c>
      <c r="V515" s="45">
        <f t="shared" si="101"/>
        <v>0.15716230986900714</v>
      </c>
      <c r="W515" s="45">
        <f t="shared" si="102"/>
        <v>0</v>
      </c>
      <c r="X515" s="45">
        <f t="shared" si="103"/>
        <v>0</v>
      </c>
      <c r="Y515" s="46">
        <f>0</f>
        <v>0</v>
      </c>
      <c r="Z515" s="11"/>
    </row>
    <row r="516" spans="11:26" x14ac:dyDescent="0.45">
      <c r="K516" s="39">
        <f t="shared" si="98"/>
        <v>5.0999999999999996</v>
      </c>
      <c r="L516" s="40">
        <f t="shared" si="91"/>
        <v>45.1</v>
      </c>
      <c r="M516" s="41">
        <f t="shared" si="92"/>
        <v>40.1</v>
      </c>
      <c r="N516" s="49">
        <f t="shared" si="93"/>
        <v>1.9498223689947813E-2</v>
      </c>
      <c r="O516" s="50">
        <f t="shared" si="94"/>
        <v>1.2672507553163022E-2</v>
      </c>
      <c r="P516" s="50">
        <f t="shared" si="99"/>
        <v>1.9498223689947813E-2</v>
      </c>
      <c r="Q516" s="51">
        <f t="shared" si="100"/>
        <v>1.2672507553163022E-2</v>
      </c>
      <c r="R516" s="4">
        <f t="shared" si="95"/>
        <v>-1.9240746828094492E-2</v>
      </c>
      <c r="S516">
        <f t="shared" si="96"/>
        <v>0</v>
      </c>
      <c r="T516">
        <f t="shared" si="97"/>
        <v>0</v>
      </c>
      <c r="U516" s="5">
        <f>0</f>
        <v>0</v>
      </c>
      <c r="V516" s="45">
        <f t="shared" si="101"/>
        <v>0.15735510953117371</v>
      </c>
      <c r="W516" s="45">
        <f t="shared" si="102"/>
        <v>0</v>
      </c>
      <c r="X516" s="45">
        <f t="shared" si="103"/>
        <v>0</v>
      </c>
      <c r="Y516" s="46">
        <f>0</f>
        <v>0</v>
      </c>
      <c r="Z516" s="11"/>
    </row>
    <row r="517" spans="11:26" x14ac:dyDescent="0.45">
      <c r="K517" s="39">
        <f t="shared" si="98"/>
        <v>5.09</v>
      </c>
      <c r="L517" s="40">
        <f t="shared" si="91"/>
        <v>45.09</v>
      </c>
      <c r="M517" s="41">
        <f t="shared" si="92"/>
        <v>40.090000000000003</v>
      </c>
      <c r="N517" s="49">
        <f t="shared" si="93"/>
        <v>1.9481427808155354E-2</v>
      </c>
      <c r="O517" s="50">
        <f t="shared" si="94"/>
        <v>1.2661591382425546E-2</v>
      </c>
      <c r="P517" s="50">
        <f t="shared" si="99"/>
        <v>1.9481427808155354E-2</v>
      </c>
      <c r="Q517" s="51">
        <f t="shared" si="100"/>
        <v>1.2661591382425546E-2</v>
      </c>
      <c r="R517" s="4">
        <f t="shared" si="95"/>
        <v>-1.9201590478266323E-2</v>
      </c>
      <c r="S517">
        <f t="shared" si="96"/>
        <v>0</v>
      </c>
      <c r="T517">
        <f t="shared" si="97"/>
        <v>0</v>
      </c>
      <c r="U517" s="5">
        <f>0</f>
        <v>0</v>
      </c>
      <c r="V517" s="45">
        <f t="shared" si="101"/>
        <v>0.15754751699945466</v>
      </c>
      <c r="W517" s="45">
        <f t="shared" si="102"/>
        <v>0</v>
      </c>
      <c r="X517" s="45">
        <f t="shared" si="103"/>
        <v>0</v>
      </c>
      <c r="Y517" s="46">
        <f>0</f>
        <v>0</v>
      </c>
      <c r="Z517" s="11"/>
    </row>
    <row r="518" spans="11:26" x14ac:dyDescent="0.45">
      <c r="K518" s="39">
        <f t="shared" si="98"/>
        <v>5.08</v>
      </c>
      <c r="L518" s="40">
        <f t="shared" si="91"/>
        <v>45.08</v>
      </c>
      <c r="M518" s="41">
        <f t="shared" si="92"/>
        <v>40.08</v>
      </c>
      <c r="N518" s="49">
        <f t="shared" si="93"/>
        <v>1.9464646394431861E-2</v>
      </c>
      <c r="O518" s="50">
        <f t="shared" si="94"/>
        <v>1.2650684614940184E-2</v>
      </c>
      <c r="P518" s="50">
        <f t="shared" si="99"/>
        <v>1.9464646394431861E-2</v>
      </c>
      <c r="Q518" s="51">
        <f t="shared" si="100"/>
        <v>1.2650684614940184E-2</v>
      </c>
      <c r="R518" s="4">
        <f t="shared" si="95"/>
        <v>-1.9162497051676865E-2</v>
      </c>
      <c r="S518">
        <f t="shared" si="96"/>
        <v>0</v>
      </c>
      <c r="T518">
        <f t="shared" si="97"/>
        <v>0</v>
      </c>
      <c r="U518" s="5">
        <f>0</f>
        <v>0</v>
      </c>
      <c r="V518" s="45">
        <f t="shared" si="101"/>
        <v>0.15773953290423731</v>
      </c>
      <c r="W518" s="45">
        <f t="shared" si="102"/>
        <v>0</v>
      </c>
      <c r="X518" s="45">
        <f t="shared" si="103"/>
        <v>0</v>
      </c>
      <c r="Y518" s="46">
        <f>0</f>
        <v>0</v>
      </c>
      <c r="Z518" s="11"/>
    </row>
    <row r="519" spans="11:26" x14ac:dyDescent="0.45">
      <c r="K519" s="39">
        <f t="shared" si="98"/>
        <v>5.07</v>
      </c>
      <c r="L519" s="40">
        <f t="shared" si="91"/>
        <v>45.07</v>
      </c>
      <c r="M519" s="41">
        <f t="shared" si="92"/>
        <v>40.07</v>
      </c>
      <c r="N519" s="49">
        <f t="shared" si="93"/>
        <v>1.9447879436314472E-2</v>
      </c>
      <c r="O519" s="50">
        <f t="shared" si="94"/>
        <v>1.263978724260695E-2</v>
      </c>
      <c r="P519" s="50">
        <f t="shared" si="99"/>
        <v>1.9447879436314472E-2</v>
      </c>
      <c r="Q519" s="51">
        <f t="shared" si="100"/>
        <v>1.263978724260695E-2</v>
      </c>
      <c r="R519" s="4">
        <f t="shared" si="95"/>
        <v>-1.9123466433082485E-2</v>
      </c>
      <c r="S519">
        <f t="shared" si="96"/>
        <v>0</v>
      </c>
      <c r="T519">
        <f t="shared" si="97"/>
        <v>0</v>
      </c>
      <c r="U519" s="5">
        <f>0</f>
        <v>0</v>
      </c>
      <c r="V519" s="45">
        <f t="shared" si="101"/>
        <v>0.15793115787475409</v>
      </c>
      <c r="W519" s="45">
        <f t="shared" si="102"/>
        <v>0</v>
      </c>
      <c r="X519" s="45">
        <f t="shared" si="103"/>
        <v>0</v>
      </c>
      <c r="Y519" s="46">
        <f>0</f>
        <v>0</v>
      </c>
      <c r="Z519" s="11"/>
    </row>
    <row r="520" spans="11:26" x14ac:dyDescent="0.45">
      <c r="K520" s="39">
        <f t="shared" si="98"/>
        <v>5.0599999999999996</v>
      </c>
      <c r="L520" s="40">
        <f t="shared" si="91"/>
        <v>45.06</v>
      </c>
      <c r="M520" s="41">
        <f t="shared" si="92"/>
        <v>40.06</v>
      </c>
      <c r="N520" s="49">
        <f t="shared" si="93"/>
        <v>1.9431126921351034E-2</v>
      </c>
      <c r="O520" s="50">
        <f t="shared" si="94"/>
        <v>1.2628899257332777E-2</v>
      </c>
      <c r="P520" s="50">
        <f t="shared" si="99"/>
        <v>1.9431126921351034E-2</v>
      </c>
      <c r="Q520" s="51">
        <f t="shared" si="100"/>
        <v>1.2628899257332777E-2</v>
      </c>
      <c r="R520" s="4">
        <f t="shared" si="95"/>
        <v>-1.9084498507490381E-2</v>
      </c>
      <c r="S520">
        <f t="shared" si="96"/>
        <v>0</v>
      </c>
      <c r="T520">
        <f t="shared" si="97"/>
        <v>0</v>
      </c>
      <c r="U520" s="5">
        <f>0</f>
        <v>0</v>
      </c>
      <c r="V520" s="45">
        <f t="shared" si="101"/>
        <v>0.15812239253908492</v>
      </c>
      <c r="W520" s="45">
        <f t="shared" si="102"/>
        <v>0</v>
      </c>
      <c r="X520" s="45">
        <f t="shared" si="103"/>
        <v>0</v>
      </c>
      <c r="Y520" s="46">
        <f>0</f>
        <v>0</v>
      </c>
      <c r="Z520" s="11"/>
    </row>
    <row r="521" spans="11:26" x14ac:dyDescent="0.45">
      <c r="K521" s="39">
        <f t="shared" si="98"/>
        <v>5.05</v>
      </c>
      <c r="L521" s="40">
        <f t="shared" si="91"/>
        <v>45.05</v>
      </c>
      <c r="M521" s="41">
        <f t="shared" si="92"/>
        <v>40.049999999999997</v>
      </c>
      <c r="N521" s="49">
        <f t="shared" si="93"/>
        <v>1.9414388837100123E-2</v>
      </c>
      <c r="O521" s="50">
        <f t="shared" si="94"/>
        <v>1.2618020651031601E-2</v>
      </c>
      <c r="P521" s="50">
        <f t="shared" si="99"/>
        <v>1.9414388837100123E-2</v>
      </c>
      <c r="Q521" s="51">
        <f t="shared" si="100"/>
        <v>1.2618020651031601E-2</v>
      </c>
      <c r="R521" s="4">
        <f t="shared" si="95"/>
        <v>-1.9045593160157984E-2</v>
      </c>
      <c r="S521">
        <f t="shared" si="96"/>
        <v>0</v>
      </c>
      <c r="T521">
        <f t="shared" si="97"/>
        <v>0</v>
      </c>
      <c r="U521" s="5">
        <f>0</f>
        <v>0</v>
      </c>
      <c r="V521" s="45">
        <f t="shared" si="101"/>
        <v>0.15831323752415982</v>
      </c>
      <c r="W521" s="45">
        <f t="shared" si="102"/>
        <v>0</v>
      </c>
      <c r="X521" s="45">
        <f t="shared" si="103"/>
        <v>0</v>
      </c>
      <c r="Y521" s="46">
        <f>0</f>
        <v>0</v>
      </c>
      <c r="Z521" s="11"/>
    </row>
    <row r="522" spans="11:26" x14ac:dyDescent="0.45">
      <c r="K522" s="39">
        <f t="shared" si="98"/>
        <v>5.04</v>
      </c>
      <c r="L522" s="40">
        <f t="shared" si="91"/>
        <v>45.04</v>
      </c>
      <c r="M522" s="41">
        <f t="shared" si="92"/>
        <v>40.04</v>
      </c>
      <c r="N522" s="49">
        <f t="shared" si="93"/>
        <v>1.9397665171131062E-2</v>
      </c>
      <c r="O522" s="50">
        <f t="shared" si="94"/>
        <v>1.2607151415624343E-2</v>
      </c>
      <c r="P522" s="50">
        <f t="shared" si="99"/>
        <v>1.9397665171131062E-2</v>
      </c>
      <c r="Q522" s="51">
        <f t="shared" si="100"/>
        <v>1.2607151415624343E-2</v>
      </c>
      <c r="R522" s="4">
        <f t="shared" si="95"/>
        <v>-1.9006750276592384E-2</v>
      </c>
      <c r="S522">
        <f t="shared" si="96"/>
        <v>0</v>
      </c>
      <c r="T522">
        <f t="shared" si="97"/>
        <v>0</v>
      </c>
      <c r="U522" s="5">
        <f>0</f>
        <v>0</v>
      </c>
      <c r="V522" s="45">
        <f t="shared" si="101"/>
        <v>0.1585036934557614</v>
      </c>
      <c r="W522" s="45">
        <f t="shared" si="102"/>
        <v>0</v>
      </c>
      <c r="X522" s="45">
        <f t="shared" si="103"/>
        <v>0</v>
      </c>
      <c r="Y522" s="46">
        <f>0</f>
        <v>0</v>
      </c>
      <c r="Z522" s="11"/>
    </row>
    <row r="523" spans="11:26" x14ac:dyDescent="0.45">
      <c r="K523" s="39">
        <f t="shared" si="98"/>
        <v>5.03</v>
      </c>
      <c r="L523" s="40">
        <f t="shared" si="91"/>
        <v>45.03</v>
      </c>
      <c r="M523" s="41">
        <f t="shared" si="92"/>
        <v>40.03</v>
      </c>
      <c r="N523" s="49">
        <f t="shared" si="93"/>
        <v>1.9380955911023848E-2</v>
      </c>
      <c r="O523" s="50">
        <f t="shared" si="94"/>
        <v>1.2596291543038842E-2</v>
      </c>
      <c r="P523" s="50">
        <f t="shared" si="99"/>
        <v>1.9380955911023848E-2</v>
      </c>
      <c r="Q523" s="51">
        <f t="shared" si="100"/>
        <v>1.2596291543038842E-2</v>
      </c>
      <c r="R523" s="4">
        <f t="shared" si="95"/>
        <v>-1.8967969742549627E-2</v>
      </c>
      <c r="S523">
        <f t="shared" si="96"/>
        <v>0</v>
      </c>
      <c r="T523">
        <f t="shared" si="97"/>
        <v>0</v>
      </c>
      <c r="U523" s="5">
        <f>0</f>
        <v>0</v>
      </c>
      <c r="V523" s="45">
        <f t="shared" si="101"/>
        <v>0.15869376095852733</v>
      </c>
      <c r="W523" s="45">
        <f t="shared" si="102"/>
        <v>0</v>
      </c>
      <c r="X523" s="45">
        <f t="shared" si="103"/>
        <v>0</v>
      </c>
      <c r="Y523" s="46">
        <f>0</f>
        <v>0</v>
      </c>
      <c r="Z523" s="11"/>
    </row>
    <row r="524" spans="11:26" x14ac:dyDescent="0.45">
      <c r="K524" s="39">
        <f t="shared" si="98"/>
        <v>5.0199999999999996</v>
      </c>
      <c r="L524" s="40">
        <f t="shared" si="91"/>
        <v>45.019999999999996</v>
      </c>
      <c r="M524" s="41">
        <f t="shared" si="92"/>
        <v>40.019999999999996</v>
      </c>
      <c r="N524" s="49">
        <f t="shared" si="93"/>
        <v>1.9364261044369183E-2</v>
      </c>
      <c r="O524" s="50">
        <f t="shared" si="94"/>
        <v>1.2585441025209903E-2</v>
      </c>
      <c r="P524" s="50">
        <f t="shared" si="99"/>
        <v>1.9364261044369183E-2</v>
      </c>
      <c r="Q524" s="51">
        <f t="shared" si="100"/>
        <v>1.2585441025209903E-2</v>
      </c>
      <c r="R524" s="4">
        <f t="shared" si="95"/>
        <v>-1.8929251444034102E-2</v>
      </c>
      <c r="S524">
        <f t="shared" si="96"/>
        <v>0</v>
      </c>
      <c r="T524">
        <f t="shared" si="97"/>
        <v>0</v>
      </c>
      <c r="U524" s="5">
        <f>0</f>
        <v>0</v>
      </c>
      <c r="V524" s="45">
        <f t="shared" si="101"/>
        <v>0.15888344065595283</v>
      </c>
      <c r="W524" s="45">
        <f t="shared" si="102"/>
        <v>0</v>
      </c>
      <c r="X524" s="45">
        <f t="shared" si="103"/>
        <v>0</v>
      </c>
      <c r="Y524" s="46">
        <f>0</f>
        <v>0</v>
      </c>
      <c r="Z524" s="11"/>
    </row>
    <row r="525" spans="11:26" x14ac:dyDescent="0.45">
      <c r="K525" s="39">
        <f t="shared" si="98"/>
        <v>5.01</v>
      </c>
      <c r="L525" s="40">
        <f t="shared" si="91"/>
        <v>45.01</v>
      </c>
      <c r="M525" s="41">
        <f t="shared" si="92"/>
        <v>40.01</v>
      </c>
      <c r="N525" s="49">
        <f t="shared" si="93"/>
        <v>1.9347580558768476E-2</v>
      </c>
      <c r="O525" s="50">
        <f t="shared" si="94"/>
        <v>1.2574599854079311E-2</v>
      </c>
      <c r="P525" s="50">
        <f t="shared" si="99"/>
        <v>1.9347580558768476E-2</v>
      </c>
      <c r="Q525" s="51">
        <f t="shared" si="100"/>
        <v>1.2574599854079311E-2</v>
      </c>
      <c r="R525" s="4">
        <f t="shared" si="95"/>
        <v>-1.8890595267298037E-2</v>
      </c>
      <c r="S525">
        <f t="shared" si="96"/>
        <v>0</v>
      </c>
      <c r="T525">
        <f t="shared" si="97"/>
        <v>0</v>
      </c>
      <c r="U525" s="5">
        <f>0</f>
        <v>0</v>
      </c>
      <c r="V525" s="45">
        <f t="shared" si="101"/>
        <v>0.15907273317039317</v>
      </c>
      <c r="W525" s="45">
        <f t="shared" si="102"/>
        <v>0</v>
      </c>
      <c r="X525" s="45">
        <f t="shared" si="103"/>
        <v>0</v>
      </c>
      <c r="Y525" s="46">
        <f>0</f>
        <v>0</v>
      </c>
      <c r="Z525" s="11"/>
    </row>
    <row r="526" spans="11:26" x14ac:dyDescent="0.45">
      <c r="K526" s="39">
        <f t="shared" si="98"/>
        <v>5</v>
      </c>
      <c r="L526" s="40">
        <f t="shared" si="91"/>
        <v>45</v>
      </c>
      <c r="M526" s="41">
        <f t="shared" si="92"/>
        <v>40</v>
      </c>
      <c r="N526" s="49">
        <f t="shared" si="93"/>
        <v>1.9330914441833782E-2</v>
      </c>
      <c r="O526" s="50">
        <f t="shared" si="94"/>
        <v>1.2563768021595732E-2</v>
      </c>
      <c r="P526" s="50">
        <f t="shared" si="99"/>
        <v>1.9330914441833782E-2</v>
      </c>
      <c r="Q526" s="51">
        <f t="shared" si="100"/>
        <v>1.2563768021595732E-2</v>
      </c>
      <c r="R526" s="4">
        <f t="shared" si="95"/>
        <v>-1.8852001098840707E-2</v>
      </c>
      <c r="S526">
        <f t="shared" si="96"/>
        <v>0</v>
      </c>
      <c r="T526">
        <f t="shared" si="97"/>
        <v>0</v>
      </c>
      <c r="U526" s="5">
        <f>0</f>
        <v>0</v>
      </c>
      <c r="V526" s="45">
        <f t="shared" si="101"/>
        <v>0.15926163912306615</v>
      </c>
      <c r="W526" s="45">
        <f t="shared" si="102"/>
        <v>0</v>
      </c>
      <c r="X526" s="45">
        <f t="shared" si="103"/>
        <v>0</v>
      </c>
      <c r="Y526" s="46">
        <f>0</f>
        <v>0</v>
      </c>
      <c r="Z526" s="11"/>
    </row>
    <row r="527" spans="11:26" x14ac:dyDescent="0.45">
      <c r="K527" s="39">
        <f t="shared" si="98"/>
        <v>4.99</v>
      </c>
      <c r="L527" s="40">
        <f t="shared" si="91"/>
        <v>44.99</v>
      </c>
      <c r="M527" s="41">
        <f t="shared" si="92"/>
        <v>39.99</v>
      </c>
      <c r="N527" s="49">
        <f t="shared" si="93"/>
        <v>1.9314262681187903E-2</v>
      </c>
      <c r="O527" s="50">
        <f t="shared" si="94"/>
        <v>1.2552945519714852E-2</v>
      </c>
      <c r="P527" s="50">
        <f t="shared" si="99"/>
        <v>1.9314262681187903E-2</v>
      </c>
      <c r="Q527" s="51">
        <f t="shared" si="100"/>
        <v>1.2552945519714852E-2</v>
      </c>
      <c r="R527" s="4">
        <f t="shared" si="95"/>
        <v>-1.8813468825408033E-2</v>
      </c>
      <c r="S527">
        <f t="shared" si="96"/>
        <v>0</v>
      </c>
      <c r="T527">
        <f t="shared" si="97"/>
        <v>0</v>
      </c>
      <c r="U527" s="5">
        <f>0</f>
        <v>0</v>
      </c>
      <c r="V527" s="45">
        <f t="shared" si="101"/>
        <v>0.15945015913405455</v>
      </c>
      <c r="W527" s="45">
        <f t="shared" si="102"/>
        <v>0</v>
      </c>
      <c r="X527" s="45">
        <f t="shared" si="103"/>
        <v>0</v>
      </c>
      <c r="Y527" s="46">
        <f>0</f>
        <v>0</v>
      </c>
      <c r="Z527" s="11"/>
    </row>
    <row r="528" spans="11:26" x14ac:dyDescent="0.45">
      <c r="K528" s="39">
        <f t="shared" si="98"/>
        <v>4.9800000000000004</v>
      </c>
      <c r="L528" s="40">
        <f t="shared" si="91"/>
        <v>44.980000000000004</v>
      </c>
      <c r="M528" s="41">
        <f t="shared" si="92"/>
        <v>39.980000000000004</v>
      </c>
      <c r="N528" s="49">
        <f t="shared" si="93"/>
        <v>1.9297625264464206E-2</v>
      </c>
      <c r="O528" s="50">
        <f t="shared" si="94"/>
        <v>1.2542132340399191E-2</v>
      </c>
      <c r="P528" s="50">
        <f t="shared" si="99"/>
        <v>1.9297625264464206E-2</v>
      </c>
      <c r="Q528" s="51">
        <f t="shared" si="100"/>
        <v>1.2542132340399191E-2</v>
      </c>
      <c r="R528" s="4">
        <f t="shared" si="95"/>
        <v>-1.8774998333991696E-2</v>
      </c>
      <c r="S528">
        <f t="shared" si="96"/>
        <v>0</v>
      </c>
      <c r="T528">
        <f t="shared" si="97"/>
        <v>0</v>
      </c>
      <c r="U528" s="5">
        <f>0</f>
        <v>0</v>
      </c>
      <c r="V528" s="45">
        <f t="shared" si="101"/>
        <v>0.15963829382230862</v>
      </c>
      <c r="W528" s="45">
        <f t="shared" si="102"/>
        <v>0</v>
      </c>
      <c r="X528" s="45">
        <f t="shared" si="103"/>
        <v>0</v>
      </c>
      <c r="Y528" s="46">
        <f>0</f>
        <v>0</v>
      </c>
      <c r="Z528" s="11"/>
    </row>
    <row r="529" spans="11:26" x14ac:dyDescent="0.45">
      <c r="K529" s="39">
        <f t="shared" si="98"/>
        <v>4.97</v>
      </c>
      <c r="L529" s="40">
        <f t="shared" si="91"/>
        <v>44.97</v>
      </c>
      <c r="M529" s="41">
        <f t="shared" si="92"/>
        <v>39.97</v>
      </c>
      <c r="N529" s="49">
        <f t="shared" si="93"/>
        <v>1.9281002179306738E-2</v>
      </c>
      <c r="O529" s="50">
        <f t="shared" si="94"/>
        <v>1.2531328475618246E-2</v>
      </c>
      <c r="P529" s="50">
        <f t="shared" si="99"/>
        <v>1.9281002179306738E-2</v>
      </c>
      <c r="Q529" s="51">
        <f t="shared" si="100"/>
        <v>1.2531328475618246E-2</v>
      </c>
      <c r="R529" s="4">
        <f t="shared" si="95"/>
        <v>-1.8736589511828737E-2</v>
      </c>
      <c r="S529">
        <f t="shared" si="96"/>
        <v>0</v>
      </c>
      <c r="T529">
        <f t="shared" si="97"/>
        <v>0</v>
      </c>
      <c r="U529" s="5">
        <f>0</f>
        <v>0</v>
      </c>
      <c r="V529" s="45">
        <f t="shared" si="101"/>
        <v>0.15982604380564855</v>
      </c>
      <c r="W529" s="45">
        <f t="shared" si="102"/>
        <v>0</v>
      </c>
      <c r="X529" s="45">
        <f t="shared" si="103"/>
        <v>0</v>
      </c>
      <c r="Y529" s="46">
        <f>0</f>
        <v>0</v>
      </c>
      <c r="Z529" s="11"/>
    </row>
    <row r="530" spans="11:26" x14ac:dyDescent="0.45">
      <c r="K530" s="39">
        <f t="shared" si="98"/>
        <v>4.96</v>
      </c>
      <c r="L530" s="40">
        <f t="shared" si="91"/>
        <v>44.96</v>
      </c>
      <c r="M530" s="41">
        <f t="shared" si="92"/>
        <v>39.96</v>
      </c>
      <c r="N530" s="49">
        <f t="shared" si="93"/>
        <v>1.9264393413370242E-2</v>
      </c>
      <c r="O530" s="50">
        <f t="shared" si="94"/>
        <v>1.2520533917348435E-2</v>
      </c>
      <c r="P530" s="50">
        <f t="shared" si="99"/>
        <v>1.9264393413370242E-2</v>
      </c>
      <c r="Q530" s="51">
        <f t="shared" si="100"/>
        <v>1.2520533917348435E-2</v>
      </c>
      <c r="R530" s="4">
        <f t="shared" si="95"/>
        <v>-1.8698242246400945E-2</v>
      </c>
      <c r="S530">
        <f t="shared" si="96"/>
        <v>0</v>
      </c>
      <c r="T530">
        <f t="shared" si="97"/>
        <v>0</v>
      </c>
      <c r="U530" s="5">
        <f>0</f>
        <v>0</v>
      </c>
      <c r="V530" s="45">
        <f t="shared" si="101"/>
        <v>0.16001340970076683</v>
      </c>
      <c r="W530" s="45">
        <f t="shared" si="102"/>
        <v>0</v>
      </c>
      <c r="X530" s="45">
        <f t="shared" si="103"/>
        <v>0</v>
      </c>
      <c r="Y530" s="46">
        <f>0</f>
        <v>0</v>
      </c>
      <c r="Z530" s="11"/>
    </row>
    <row r="531" spans="11:26" x14ac:dyDescent="0.45">
      <c r="K531" s="39">
        <f t="shared" si="98"/>
        <v>4.95</v>
      </c>
      <c r="L531" s="40">
        <f t="shared" si="91"/>
        <v>44.95</v>
      </c>
      <c r="M531" s="41">
        <f t="shared" si="92"/>
        <v>39.950000000000003</v>
      </c>
      <c r="N531" s="49">
        <f t="shared" si="93"/>
        <v>1.9247798954320057E-2</v>
      </c>
      <c r="O531" s="50">
        <f t="shared" si="94"/>
        <v>1.2509748657573072E-2</v>
      </c>
      <c r="P531" s="50">
        <f t="shared" si="99"/>
        <v>1.9247798954320057E-2</v>
      </c>
      <c r="Q531" s="51">
        <f t="shared" si="100"/>
        <v>1.2509748657573072E-2</v>
      </c>
      <c r="R531" s="4">
        <f t="shared" si="95"/>
        <v>-1.8659956425434131E-2</v>
      </c>
      <c r="S531">
        <f t="shared" si="96"/>
        <v>0</v>
      </c>
      <c r="T531">
        <f t="shared" si="97"/>
        <v>0</v>
      </c>
      <c r="U531" s="5">
        <f>0</f>
        <v>0</v>
      </c>
      <c r="V531" s="45">
        <f t="shared" si="101"/>
        <v>0.16020039212323084</v>
      </c>
      <c r="W531" s="45">
        <f t="shared" si="102"/>
        <v>0</v>
      </c>
      <c r="X531" s="45">
        <f t="shared" si="103"/>
        <v>0</v>
      </c>
      <c r="Y531" s="46">
        <f>0</f>
        <v>0</v>
      </c>
      <c r="Z531" s="11"/>
    </row>
    <row r="532" spans="11:26" x14ac:dyDescent="0.45">
      <c r="K532" s="39">
        <f t="shared" si="98"/>
        <v>4.9400000000000004</v>
      </c>
      <c r="L532" s="40">
        <f t="shared" si="91"/>
        <v>44.94</v>
      </c>
      <c r="M532" s="41">
        <f t="shared" si="92"/>
        <v>39.94</v>
      </c>
      <c r="N532" s="49">
        <f t="shared" si="93"/>
        <v>1.9231218789832111E-2</v>
      </c>
      <c r="O532" s="50">
        <f t="shared" si="94"/>
        <v>1.2498972688282373E-2</v>
      </c>
      <c r="P532" s="50">
        <f t="shared" si="99"/>
        <v>1.9231218789832111E-2</v>
      </c>
      <c r="Q532" s="51">
        <f t="shared" si="100"/>
        <v>1.2498972688282373E-2</v>
      </c>
      <c r="R532" s="4">
        <f t="shared" si="95"/>
        <v>-1.8621731936897562E-2</v>
      </c>
      <c r="S532">
        <f t="shared" si="96"/>
        <v>0</v>
      </c>
      <c r="T532">
        <f t="shared" si="97"/>
        <v>0</v>
      </c>
      <c r="U532" s="5">
        <f>0</f>
        <v>0</v>
      </c>
      <c r="V532" s="45">
        <f t="shared" si="101"/>
        <v>0.16038699168748519</v>
      </c>
      <c r="W532" s="45">
        <f t="shared" si="102"/>
        <v>0</v>
      </c>
      <c r="X532" s="45">
        <f t="shared" si="103"/>
        <v>0</v>
      </c>
      <c r="Y532" s="46">
        <f>0</f>
        <v>0</v>
      </c>
      <c r="Z532" s="11"/>
    </row>
    <row r="533" spans="11:26" x14ac:dyDescent="0.45">
      <c r="K533" s="39">
        <f t="shared" si="98"/>
        <v>4.93</v>
      </c>
      <c r="L533" s="40">
        <f t="shared" si="91"/>
        <v>44.93</v>
      </c>
      <c r="M533" s="41">
        <f t="shared" si="92"/>
        <v>39.93</v>
      </c>
      <c r="N533" s="49">
        <f t="shared" si="93"/>
        <v>1.9214652907593034E-2</v>
      </c>
      <c r="O533" s="50">
        <f t="shared" si="94"/>
        <v>1.2488206001473472E-2</v>
      </c>
      <c r="P533" s="50">
        <f t="shared" si="99"/>
        <v>1.9214652907593034E-2</v>
      </c>
      <c r="Q533" s="51">
        <f t="shared" si="100"/>
        <v>1.2488206001473472E-2</v>
      </c>
      <c r="R533" s="4">
        <f t="shared" si="95"/>
        <v>-1.8583568669003458E-2</v>
      </c>
      <c r="S533">
        <f t="shared" si="96"/>
        <v>0</v>
      </c>
      <c r="T533">
        <f t="shared" si="97"/>
        <v>0</v>
      </c>
      <c r="U533" s="5">
        <f>0</f>
        <v>0</v>
      </c>
      <c r="V533" s="45">
        <f t="shared" si="101"/>
        <v>0.16057320900685415</v>
      </c>
      <c r="W533" s="45">
        <f t="shared" si="102"/>
        <v>0</v>
      </c>
      <c r="X533" s="45">
        <f t="shared" si="103"/>
        <v>0</v>
      </c>
      <c r="Y533" s="46">
        <f>0</f>
        <v>0</v>
      </c>
      <c r="Z533" s="11"/>
    </row>
    <row r="534" spans="11:26" x14ac:dyDescent="0.45">
      <c r="K534" s="39">
        <f t="shared" si="98"/>
        <v>4.92</v>
      </c>
      <c r="L534" s="40">
        <f t="shared" si="91"/>
        <v>44.92</v>
      </c>
      <c r="M534" s="41">
        <f t="shared" si="92"/>
        <v>39.92</v>
      </c>
      <c r="N534" s="49">
        <f t="shared" si="93"/>
        <v>1.9198101295299998E-2</v>
      </c>
      <c r="O534" s="50">
        <f t="shared" si="94"/>
        <v>1.2477448589150382E-2</v>
      </c>
      <c r="P534" s="50">
        <f t="shared" si="99"/>
        <v>1.9198101295299998E-2</v>
      </c>
      <c r="Q534" s="51">
        <f t="shared" si="100"/>
        <v>1.2477448589150382E-2</v>
      </c>
      <c r="R534" s="4">
        <f t="shared" si="95"/>
        <v>-1.8545466510206225E-2</v>
      </c>
      <c r="S534">
        <f t="shared" si="96"/>
        <v>0</v>
      </c>
      <c r="T534">
        <f t="shared" si="97"/>
        <v>0</v>
      </c>
      <c r="U534" s="5">
        <f>0</f>
        <v>0</v>
      </c>
      <c r="V534" s="45">
        <f t="shared" si="101"/>
        <v>0.16075904469354418</v>
      </c>
      <c r="W534" s="45">
        <f t="shared" si="102"/>
        <v>0</v>
      </c>
      <c r="X534" s="45">
        <f t="shared" si="103"/>
        <v>0</v>
      </c>
      <c r="Y534" s="46">
        <f>0</f>
        <v>0</v>
      </c>
      <c r="Z534" s="11"/>
    </row>
    <row r="535" spans="11:26" x14ac:dyDescent="0.45">
      <c r="K535" s="39">
        <f t="shared" si="98"/>
        <v>4.91</v>
      </c>
      <c r="L535" s="40">
        <f t="shared" si="91"/>
        <v>44.91</v>
      </c>
      <c r="M535" s="41">
        <f t="shared" si="92"/>
        <v>39.909999999999997</v>
      </c>
      <c r="N535" s="49">
        <f t="shared" si="93"/>
        <v>1.9181563940660763E-2</v>
      </c>
      <c r="O535" s="50">
        <f t="shared" si="94"/>
        <v>1.2466700443324003E-2</v>
      </c>
      <c r="P535" s="50">
        <f t="shared" si="99"/>
        <v>1.9181563940660763E-2</v>
      </c>
      <c r="Q535" s="51">
        <f t="shared" si="100"/>
        <v>1.2466700443324003E-2</v>
      </c>
      <c r="R535" s="4">
        <f t="shared" si="95"/>
        <v>-1.8507425349201953E-2</v>
      </c>
      <c r="S535">
        <f t="shared" si="96"/>
        <v>0</v>
      </c>
      <c r="T535">
        <f t="shared" si="97"/>
        <v>0</v>
      </c>
      <c r="U535" s="5">
        <f>0</f>
        <v>0</v>
      </c>
      <c r="V535" s="45">
        <f t="shared" si="101"/>
        <v>0.16094449935864624</v>
      </c>
      <c r="W535" s="45">
        <f t="shared" si="102"/>
        <v>0</v>
      </c>
      <c r="X535" s="45">
        <f t="shared" si="103"/>
        <v>0</v>
      </c>
      <c r="Y535" s="46">
        <f>0</f>
        <v>0</v>
      </c>
      <c r="Z535" s="11"/>
    </row>
    <row r="536" spans="11:26" x14ac:dyDescent="0.45">
      <c r="K536" s="39">
        <f t="shared" si="98"/>
        <v>4.9000000000000004</v>
      </c>
      <c r="L536" s="40">
        <f t="shared" si="91"/>
        <v>44.9</v>
      </c>
      <c r="M536" s="41">
        <f t="shared" si="92"/>
        <v>39.9</v>
      </c>
      <c r="N536" s="49">
        <f t="shared" si="93"/>
        <v>1.9165040831393743E-2</v>
      </c>
      <c r="O536" s="50">
        <f t="shared" si="94"/>
        <v>1.2455961556012128E-2</v>
      </c>
      <c r="P536" s="50">
        <f t="shared" si="99"/>
        <v>1.9165040831393743E-2</v>
      </c>
      <c r="Q536" s="51">
        <f t="shared" si="100"/>
        <v>1.2455961556012128E-2</v>
      </c>
      <c r="R536" s="4">
        <f t="shared" si="95"/>
        <v>-1.8469445074927839E-2</v>
      </c>
      <c r="S536">
        <f t="shared" si="96"/>
        <v>0</v>
      </c>
      <c r="T536">
        <f t="shared" si="97"/>
        <v>0</v>
      </c>
      <c r="U536" s="5">
        <f>0</f>
        <v>0</v>
      </c>
      <c r="V536" s="45">
        <f t="shared" si="101"/>
        <v>0.16112957361213825</v>
      </c>
      <c r="W536" s="45">
        <f t="shared" si="102"/>
        <v>0</v>
      </c>
      <c r="X536" s="45">
        <f t="shared" si="103"/>
        <v>0</v>
      </c>
      <c r="Y536" s="46">
        <f>0</f>
        <v>0</v>
      </c>
      <c r="Z536" s="11"/>
    </row>
    <row r="537" spans="11:26" x14ac:dyDescent="0.45">
      <c r="K537" s="39">
        <f t="shared" si="98"/>
        <v>4.8899999999999997</v>
      </c>
      <c r="L537" s="40">
        <f t="shared" si="91"/>
        <v>44.89</v>
      </c>
      <c r="M537" s="41">
        <f t="shared" si="92"/>
        <v>39.89</v>
      </c>
      <c r="N537" s="49">
        <f t="shared" si="93"/>
        <v>1.9148531955227886E-2</v>
      </c>
      <c r="O537" s="50">
        <f t="shared" si="94"/>
        <v>1.244523191923942E-2</v>
      </c>
      <c r="P537" s="50">
        <f t="shared" si="99"/>
        <v>1.9148531955227886E-2</v>
      </c>
      <c r="Q537" s="51">
        <f t="shared" si="100"/>
        <v>1.244523191923942E-2</v>
      </c>
      <c r="R537" s="4">
        <f t="shared" si="95"/>
        <v>-1.8431525576561539E-2</v>
      </c>
      <c r="S537">
        <f t="shared" si="96"/>
        <v>0</v>
      </c>
      <c r="T537">
        <f t="shared" si="97"/>
        <v>0</v>
      </c>
      <c r="U537" s="5">
        <f>0</f>
        <v>0</v>
      </c>
      <c r="V537" s="45">
        <f t="shared" si="101"/>
        <v>0.16131426806288754</v>
      </c>
      <c r="W537" s="45">
        <f t="shared" si="102"/>
        <v>0</v>
      </c>
      <c r="X537" s="45">
        <f t="shared" si="103"/>
        <v>0</v>
      </c>
      <c r="Y537" s="46">
        <f>0</f>
        <v>0</v>
      </c>
      <c r="Z537" s="11"/>
    </row>
    <row r="538" spans="11:26" x14ac:dyDescent="0.45">
      <c r="K538" s="39">
        <f t="shared" si="98"/>
        <v>4.88</v>
      </c>
      <c r="L538" s="40">
        <f t="shared" ref="L538:L601" si="104">InitialAge_x+K538</f>
        <v>44.88</v>
      </c>
      <c r="M538" s="41">
        <f t="shared" ref="M538:M601" si="105">InitialAge_y+K538</f>
        <v>39.880000000000003</v>
      </c>
      <c r="N538" s="49">
        <f t="shared" ref="N538:N601" si="106">muParameter_B*muParameter_c^L538</f>
        <v>1.9132037299902697E-2</v>
      </c>
      <c r="O538" s="50">
        <f t="shared" ref="O538:O601" si="107">muParameter_B*muParameter_c^M538</f>
        <v>1.2434511525037406E-2</v>
      </c>
      <c r="P538" s="50">
        <f t="shared" si="99"/>
        <v>1.9132037299902697E-2</v>
      </c>
      <c r="Q538" s="51">
        <f t="shared" si="100"/>
        <v>1.2434511525037406E-2</v>
      </c>
      <c r="R538" s="4">
        <f t="shared" ref="R538:R601" si="108">V538*Delta-Constant_b1-(O538*(Constant_b12+W538-V538)+N538*(Constant_b13+X538-V538))</f>
        <v>-1.8393666743520522E-2</v>
      </c>
      <c r="S538">
        <f t="shared" ref="S538:S601" si="109">W538*Delta-Constant_b2-(P538*(Constant_b24+Y538-W538)+Q538*(Constant_b34+Y538-X538))</f>
        <v>0</v>
      </c>
      <c r="T538">
        <f t="shared" ref="T538:T601" si="110">X538*Delta-Constant_b3-(Q538*(Constant_b34+Y538-X538))</f>
        <v>0</v>
      </c>
      <c r="U538" s="5">
        <f>0</f>
        <v>0</v>
      </c>
      <c r="V538" s="45">
        <f t="shared" si="101"/>
        <v>0.16149858331865316</v>
      </c>
      <c r="W538" s="45">
        <f t="shared" si="102"/>
        <v>0</v>
      </c>
      <c r="X538" s="45">
        <f t="shared" si="103"/>
        <v>0</v>
      </c>
      <c r="Y538" s="46">
        <f>0</f>
        <v>0</v>
      </c>
      <c r="Z538" s="11"/>
    </row>
    <row r="539" spans="11:26" x14ac:dyDescent="0.45">
      <c r="K539" s="39">
        <f t="shared" ref="K539:K602" si="111">ROUND(K538-StepSize,2)</f>
        <v>4.87</v>
      </c>
      <c r="L539" s="40">
        <f t="shared" si="104"/>
        <v>44.87</v>
      </c>
      <c r="M539" s="41">
        <f t="shared" si="105"/>
        <v>39.869999999999997</v>
      </c>
      <c r="N539" s="49">
        <f t="shared" si="106"/>
        <v>1.9115556853168267E-2</v>
      </c>
      <c r="O539" s="50">
        <f t="shared" si="107"/>
        <v>1.2423800365444482E-2</v>
      </c>
      <c r="P539" s="50">
        <f t="shared" ref="P539:P602" si="112">N539</f>
        <v>1.9115556853168267E-2</v>
      </c>
      <c r="Q539" s="51">
        <f t="shared" ref="Q539:Q602" si="113">O539</f>
        <v>1.2423800365444482E-2</v>
      </c>
      <c r="R539" s="4">
        <f t="shared" si="108"/>
        <v>-1.835586846546159E-2</v>
      </c>
      <c r="S539">
        <f t="shared" si="109"/>
        <v>0</v>
      </c>
      <c r="T539">
        <f t="shared" si="110"/>
        <v>0</v>
      </c>
      <c r="U539" s="5">
        <f>0</f>
        <v>0</v>
      </c>
      <c r="V539" s="45">
        <f t="shared" ref="V539:V602" si="114">V538-StepSize*(R538)</f>
        <v>0.16168251998608837</v>
      </c>
      <c r="W539" s="45">
        <f t="shared" ref="W539:W602" si="115">W538-StepSize*(S538)</f>
        <v>0</v>
      </c>
      <c r="X539" s="45">
        <f t="shared" ref="X539:X602" si="116">X538-StepSize*(T538)</f>
        <v>0</v>
      </c>
      <c r="Y539" s="46">
        <f>0</f>
        <v>0</v>
      </c>
      <c r="Z539" s="11"/>
    </row>
    <row r="540" spans="11:26" x14ac:dyDescent="0.45">
      <c r="K540" s="39">
        <f t="shared" si="111"/>
        <v>4.8600000000000003</v>
      </c>
      <c r="L540" s="40">
        <f t="shared" si="104"/>
        <v>44.86</v>
      </c>
      <c r="M540" s="41">
        <f t="shared" si="105"/>
        <v>39.86</v>
      </c>
      <c r="N540" s="49">
        <f t="shared" si="106"/>
        <v>1.9099090602785244E-2</v>
      </c>
      <c r="O540" s="50">
        <f t="shared" si="107"/>
        <v>1.241309843250591E-2</v>
      </c>
      <c r="P540" s="50">
        <f t="shared" si="112"/>
        <v>1.9099090602785244E-2</v>
      </c>
      <c r="Q540" s="51">
        <f t="shared" si="113"/>
        <v>1.241309843250591E-2</v>
      </c>
      <c r="R540" s="4">
        <f t="shared" si="108"/>
        <v>-1.831813063228024E-2</v>
      </c>
      <c r="S540">
        <f t="shared" si="109"/>
        <v>0</v>
      </c>
      <c r="T540">
        <f t="shared" si="110"/>
        <v>0</v>
      </c>
      <c r="U540" s="5">
        <f>0</f>
        <v>0</v>
      </c>
      <c r="V540" s="45">
        <f t="shared" si="114"/>
        <v>0.16186607867074299</v>
      </c>
      <c r="W540" s="45">
        <f t="shared" si="115"/>
        <v>0</v>
      </c>
      <c r="X540" s="45">
        <f t="shared" si="116"/>
        <v>0</v>
      </c>
      <c r="Y540" s="46">
        <f>0</f>
        <v>0</v>
      </c>
      <c r="Z540" s="11"/>
    </row>
    <row r="541" spans="11:26" x14ac:dyDescent="0.45">
      <c r="K541" s="39">
        <f t="shared" si="111"/>
        <v>4.8499999999999996</v>
      </c>
      <c r="L541" s="40">
        <f t="shared" si="104"/>
        <v>44.85</v>
      </c>
      <c r="M541" s="41">
        <f t="shared" si="105"/>
        <v>39.85</v>
      </c>
      <c r="N541" s="49">
        <f t="shared" si="106"/>
        <v>1.908263853652481E-2</v>
      </c>
      <c r="O541" s="50">
        <f t="shared" si="107"/>
        <v>1.2402405718273793E-2</v>
      </c>
      <c r="P541" s="50">
        <f t="shared" si="112"/>
        <v>1.908263853652481E-2</v>
      </c>
      <c r="Q541" s="51">
        <f t="shared" si="113"/>
        <v>1.2402405718273793E-2</v>
      </c>
      <c r="R541" s="4">
        <f t="shared" si="108"/>
        <v>-1.8280453134110031E-2</v>
      </c>
      <c r="S541">
        <f t="shared" si="109"/>
        <v>0</v>
      </c>
      <c r="T541">
        <f t="shared" si="110"/>
        <v>0</v>
      </c>
      <c r="U541" s="5">
        <f>0</f>
        <v>0</v>
      </c>
      <c r="V541" s="45">
        <f t="shared" si="114"/>
        <v>0.16204925997706579</v>
      </c>
      <c r="W541" s="45">
        <f t="shared" si="115"/>
        <v>0</v>
      </c>
      <c r="X541" s="45">
        <f t="shared" si="116"/>
        <v>0</v>
      </c>
      <c r="Y541" s="46">
        <f>0</f>
        <v>0</v>
      </c>
      <c r="Z541" s="11"/>
    </row>
    <row r="542" spans="11:26" x14ac:dyDescent="0.45">
      <c r="K542" s="39">
        <f t="shared" si="111"/>
        <v>4.84</v>
      </c>
      <c r="L542" s="40">
        <f t="shared" si="104"/>
        <v>44.84</v>
      </c>
      <c r="M542" s="41">
        <f t="shared" si="105"/>
        <v>39.840000000000003</v>
      </c>
      <c r="N542" s="49">
        <f t="shared" si="106"/>
        <v>1.9066200642168674E-2</v>
      </c>
      <c r="O542" s="50">
        <f t="shared" si="107"/>
        <v>1.2391722214807084E-2</v>
      </c>
      <c r="P542" s="50">
        <f t="shared" si="112"/>
        <v>1.9066200642168674E-2</v>
      </c>
      <c r="Q542" s="51">
        <f t="shared" si="113"/>
        <v>1.2391722214807084E-2</v>
      </c>
      <c r="R542" s="4">
        <f t="shared" si="108"/>
        <v>-1.8242835861322033E-2</v>
      </c>
      <c r="S542">
        <f t="shared" si="109"/>
        <v>0</v>
      </c>
      <c r="T542">
        <f t="shared" si="110"/>
        <v>0</v>
      </c>
      <c r="U542" s="5">
        <f>0</f>
        <v>0</v>
      </c>
      <c r="V542" s="45">
        <f t="shared" si="114"/>
        <v>0.16223206450840688</v>
      </c>
      <c r="W542" s="45">
        <f t="shared" si="115"/>
        <v>0</v>
      </c>
      <c r="X542" s="45">
        <f t="shared" si="116"/>
        <v>0</v>
      </c>
      <c r="Y542" s="46">
        <f>0</f>
        <v>0</v>
      </c>
      <c r="Z542" s="11"/>
    </row>
    <row r="543" spans="11:26" x14ac:dyDescent="0.45">
      <c r="K543" s="39">
        <f t="shared" si="111"/>
        <v>4.83</v>
      </c>
      <c r="L543" s="40">
        <f t="shared" si="104"/>
        <v>44.83</v>
      </c>
      <c r="M543" s="41">
        <f t="shared" si="105"/>
        <v>39.83</v>
      </c>
      <c r="N543" s="49">
        <f t="shared" si="106"/>
        <v>1.9049776907509072E-2</v>
      </c>
      <c r="O543" s="50">
        <f t="shared" si="107"/>
        <v>1.2381047914171573E-2</v>
      </c>
      <c r="P543" s="50">
        <f t="shared" si="112"/>
        <v>1.9049776907509072E-2</v>
      </c>
      <c r="Q543" s="51">
        <f t="shared" si="113"/>
        <v>1.2381047914171573E-2</v>
      </c>
      <c r="R543" s="4">
        <f t="shared" si="108"/>
        <v>-1.8205278704524229E-2</v>
      </c>
      <c r="S543">
        <f t="shared" si="109"/>
        <v>0</v>
      </c>
      <c r="T543">
        <f t="shared" si="110"/>
        <v>0</v>
      </c>
      <c r="U543" s="5">
        <f>0</f>
        <v>0</v>
      </c>
      <c r="V543" s="45">
        <f t="shared" si="114"/>
        <v>0.16241449286702009</v>
      </c>
      <c r="W543" s="45">
        <f t="shared" si="115"/>
        <v>0</v>
      </c>
      <c r="X543" s="45">
        <f t="shared" si="116"/>
        <v>0</v>
      </c>
      <c r="Y543" s="46">
        <f>0</f>
        <v>0</v>
      </c>
      <c r="Z543" s="11"/>
    </row>
    <row r="544" spans="11:26" x14ac:dyDescent="0.45">
      <c r="K544" s="39">
        <f t="shared" si="111"/>
        <v>4.82</v>
      </c>
      <c r="L544" s="40">
        <f t="shared" si="104"/>
        <v>44.82</v>
      </c>
      <c r="M544" s="41">
        <f t="shared" si="105"/>
        <v>39.82</v>
      </c>
      <c r="N544" s="49">
        <f t="shared" si="106"/>
        <v>1.9033367320348771E-2</v>
      </c>
      <c r="O544" s="50">
        <f t="shared" si="107"/>
        <v>1.2370382808439896E-2</v>
      </c>
      <c r="P544" s="50">
        <f t="shared" si="112"/>
        <v>1.9033367320348771E-2</v>
      </c>
      <c r="Q544" s="51">
        <f t="shared" si="113"/>
        <v>1.2370382808439896E-2</v>
      </c>
      <c r="R544" s="4">
        <f t="shared" si="108"/>
        <v>-1.8167781554560954E-2</v>
      </c>
      <c r="S544">
        <f t="shared" si="109"/>
        <v>0</v>
      </c>
      <c r="T544">
        <f t="shared" si="110"/>
        <v>0</v>
      </c>
      <c r="U544" s="5">
        <f>0</f>
        <v>0</v>
      </c>
      <c r="V544" s="45">
        <f t="shared" si="114"/>
        <v>0.16259654565406534</v>
      </c>
      <c r="W544" s="45">
        <f t="shared" si="115"/>
        <v>0</v>
      </c>
      <c r="X544" s="45">
        <f t="shared" si="116"/>
        <v>0</v>
      </c>
      <c r="Y544" s="46">
        <f>0</f>
        <v>0</v>
      </c>
      <c r="Z544" s="11"/>
    </row>
    <row r="545" spans="11:26" x14ac:dyDescent="0.45">
      <c r="K545" s="39">
        <f t="shared" si="111"/>
        <v>4.8099999999999996</v>
      </c>
      <c r="L545" s="40">
        <f t="shared" si="104"/>
        <v>44.81</v>
      </c>
      <c r="M545" s="41">
        <f t="shared" si="105"/>
        <v>39.81</v>
      </c>
      <c r="N545" s="49">
        <f t="shared" si="106"/>
        <v>1.9016971868501032E-2</v>
      </c>
      <c r="O545" s="50">
        <f t="shared" si="107"/>
        <v>1.2359726889691506E-2</v>
      </c>
      <c r="P545" s="50">
        <f t="shared" si="112"/>
        <v>1.9016971868501032E-2</v>
      </c>
      <c r="Q545" s="51">
        <f t="shared" si="113"/>
        <v>1.2359726889691506E-2</v>
      </c>
      <c r="R545" s="4">
        <f t="shared" si="108"/>
        <v>-1.8130344302512261E-2</v>
      </c>
      <c r="S545">
        <f t="shared" si="109"/>
        <v>0</v>
      </c>
      <c r="T545">
        <f t="shared" si="110"/>
        <v>0</v>
      </c>
      <c r="U545" s="5">
        <f>0</f>
        <v>0</v>
      </c>
      <c r="V545" s="45">
        <f t="shared" si="114"/>
        <v>0.16277822346961096</v>
      </c>
      <c r="W545" s="45">
        <f t="shared" si="115"/>
        <v>0</v>
      </c>
      <c r="X545" s="45">
        <f t="shared" si="116"/>
        <v>0</v>
      </c>
      <c r="Y545" s="46">
        <f>0</f>
        <v>0</v>
      </c>
      <c r="Z545" s="11"/>
    </row>
    <row r="546" spans="11:26" x14ac:dyDescent="0.45">
      <c r="K546" s="39">
        <f t="shared" si="111"/>
        <v>4.8</v>
      </c>
      <c r="L546" s="40">
        <f t="shared" si="104"/>
        <v>44.8</v>
      </c>
      <c r="M546" s="41">
        <f t="shared" si="105"/>
        <v>39.799999999999997</v>
      </c>
      <c r="N546" s="49">
        <f t="shared" si="106"/>
        <v>1.9000590539789603E-2</v>
      </c>
      <c r="O546" s="50">
        <f t="shared" si="107"/>
        <v>1.2349080150012678E-2</v>
      </c>
      <c r="P546" s="50">
        <f t="shared" si="112"/>
        <v>1.9000590539789603E-2</v>
      </c>
      <c r="Q546" s="51">
        <f t="shared" si="113"/>
        <v>1.2349080150012678E-2</v>
      </c>
      <c r="R546" s="4">
        <f t="shared" si="108"/>
        <v>-1.8092966839693365E-2</v>
      </c>
      <c r="S546">
        <f t="shared" si="109"/>
        <v>0</v>
      </c>
      <c r="T546">
        <f t="shared" si="110"/>
        <v>0</v>
      </c>
      <c r="U546" s="5">
        <f>0</f>
        <v>0</v>
      </c>
      <c r="V546" s="45">
        <f t="shared" si="114"/>
        <v>0.16295952691263607</v>
      </c>
      <c r="W546" s="45">
        <f t="shared" si="115"/>
        <v>0</v>
      </c>
      <c r="X546" s="45">
        <f t="shared" si="116"/>
        <v>0</v>
      </c>
      <c r="Y546" s="46">
        <f>0</f>
        <v>0</v>
      </c>
      <c r="Z546" s="11"/>
    </row>
    <row r="547" spans="11:26" x14ac:dyDescent="0.45">
      <c r="K547" s="39">
        <f t="shared" si="111"/>
        <v>4.79</v>
      </c>
      <c r="L547" s="40">
        <f t="shared" si="104"/>
        <v>44.79</v>
      </c>
      <c r="M547" s="41">
        <f t="shared" si="105"/>
        <v>39.79</v>
      </c>
      <c r="N547" s="49">
        <f t="shared" si="106"/>
        <v>1.8984223322048754E-2</v>
      </c>
      <c r="O547" s="50">
        <f t="shared" si="107"/>
        <v>1.2338442581496521E-2</v>
      </c>
      <c r="P547" s="50">
        <f t="shared" si="112"/>
        <v>1.8984223322048754E-2</v>
      </c>
      <c r="Q547" s="51">
        <f t="shared" si="113"/>
        <v>1.2338442581496521E-2</v>
      </c>
      <c r="R547" s="4">
        <f t="shared" si="108"/>
        <v>-1.805564905765409E-2</v>
      </c>
      <c r="S547">
        <f t="shared" si="109"/>
        <v>0</v>
      </c>
      <c r="T547">
        <f t="shared" si="110"/>
        <v>0</v>
      </c>
      <c r="U547" s="5">
        <f>0</f>
        <v>0</v>
      </c>
      <c r="V547" s="45">
        <f t="shared" si="114"/>
        <v>0.16314045658103302</v>
      </c>
      <c r="W547" s="45">
        <f t="shared" si="115"/>
        <v>0</v>
      </c>
      <c r="X547" s="45">
        <f t="shared" si="116"/>
        <v>0</v>
      </c>
      <c r="Y547" s="46">
        <f>0</f>
        <v>0</v>
      </c>
      <c r="Z547" s="11"/>
    </row>
    <row r="548" spans="11:26" x14ac:dyDescent="0.45">
      <c r="K548" s="39">
        <f t="shared" si="111"/>
        <v>4.78</v>
      </c>
      <c r="L548" s="40">
        <f t="shared" si="104"/>
        <v>44.78</v>
      </c>
      <c r="M548" s="41">
        <f t="shared" si="105"/>
        <v>39.78</v>
      </c>
      <c r="N548" s="49">
        <f t="shared" si="106"/>
        <v>1.89678702031232E-2</v>
      </c>
      <c r="O548" s="50">
        <f t="shared" si="107"/>
        <v>1.2327814176242933E-2</v>
      </c>
      <c r="P548" s="50">
        <f t="shared" si="112"/>
        <v>1.89678702031232E-2</v>
      </c>
      <c r="Q548" s="51">
        <f t="shared" si="113"/>
        <v>1.2327814176242933E-2</v>
      </c>
      <c r="R548" s="4">
        <f t="shared" si="108"/>
        <v>-1.8018390848178228E-2</v>
      </c>
      <c r="S548">
        <f t="shared" si="109"/>
        <v>0</v>
      </c>
      <c r="T548">
        <f t="shared" si="110"/>
        <v>0</v>
      </c>
      <c r="U548" s="5">
        <f>0</f>
        <v>0</v>
      </c>
      <c r="V548" s="45">
        <f t="shared" si="114"/>
        <v>0.16332101307160957</v>
      </c>
      <c r="W548" s="45">
        <f t="shared" si="115"/>
        <v>0</v>
      </c>
      <c r="X548" s="45">
        <f t="shared" si="116"/>
        <v>0</v>
      </c>
      <c r="Y548" s="46">
        <f>0</f>
        <v>0</v>
      </c>
      <c r="Z548" s="11"/>
    </row>
    <row r="549" spans="11:26" x14ac:dyDescent="0.45">
      <c r="K549" s="39">
        <f t="shared" si="111"/>
        <v>4.7699999999999996</v>
      </c>
      <c r="L549" s="40">
        <f t="shared" si="104"/>
        <v>44.769999999999996</v>
      </c>
      <c r="M549" s="41">
        <f t="shared" si="105"/>
        <v>39.769999999999996</v>
      </c>
      <c r="N549" s="49">
        <f t="shared" si="106"/>
        <v>1.8951531170868136E-2</v>
      </c>
      <c r="O549" s="50">
        <f t="shared" si="107"/>
        <v>1.2317194926358627E-2</v>
      </c>
      <c r="P549" s="50">
        <f t="shared" si="112"/>
        <v>1.8951531170868136E-2</v>
      </c>
      <c r="Q549" s="51">
        <f t="shared" si="113"/>
        <v>1.2317194926358627E-2</v>
      </c>
      <c r="R549" s="4">
        <f t="shared" si="108"/>
        <v>-1.7981192103283E-2</v>
      </c>
      <c r="S549">
        <f t="shared" si="109"/>
        <v>0</v>
      </c>
      <c r="T549">
        <f t="shared" si="110"/>
        <v>0</v>
      </c>
      <c r="U549" s="5">
        <f>0</f>
        <v>0</v>
      </c>
      <c r="V549" s="45">
        <f t="shared" si="114"/>
        <v>0.16350119698009136</v>
      </c>
      <c r="W549" s="45">
        <f t="shared" si="115"/>
        <v>0</v>
      </c>
      <c r="X549" s="45">
        <f t="shared" si="116"/>
        <v>0</v>
      </c>
      <c r="Y549" s="46">
        <f>0</f>
        <v>0</v>
      </c>
      <c r="Z549" s="11"/>
    </row>
    <row r="550" spans="11:26" x14ac:dyDescent="0.45">
      <c r="K550" s="39">
        <f t="shared" si="111"/>
        <v>4.76</v>
      </c>
      <c r="L550" s="40">
        <f t="shared" si="104"/>
        <v>44.76</v>
      </c>
      <c r="M550" s="41">
        <f t="shared" si="105"/>
        <v>39.76</v>
      </c>
      <c r="N550" s="49">
        <f t="shared" si="106"/>
        <v>1.8935206213149241E-2</v>
      </c>
      <c r="O550" s="50">
        <f t="shared" si="107"/>
        <v>1.2306584823957124E-2</v>
      </c>
      <c r="P550" s="50">
        <f t="shared" si="112"/>
        <v>1.8935206213149241E-2</v>
      </c>
      <c r="Q550" s="51">
        <f t="shared" si="113"/>
        <v>1.2306584823957124E-2</v>
      </c>
      <c r="R550" s="4">
        <f t="shared" si="108"/>
        <v>-1.7944052715218484E-2</v>
      </c>
      <c r="S550">
        <f t="shared" si="109"/>
        <v>0</v>
      </c>
      <c r="T550">
        <f t="shared" si="110"/>
        <v>0</v>
      </c>
      <c r="U550" s="5">
        <f>0</f>
        <v>0</v>
      </c>
      <c r="V550" s="45">
        <f t="shared" si="114"/>
        <v>0.16368100890112419</v>
      </c>
      <c r="W550" s="45">
        <f t="shared" si="115"/>
        <v>0</v>
      </c>
      <c r="X550" s="45">
        <f t="shared" si="116"/>
        <v>0</v>
      </c>
      <c r="Y550" s="46">
        <f>0</f>
        <v>0</v>
      </c>
      <c r="Z550" s="11"/>
    </row>
    <row r="551" spans="11:26" x14ac:dyDescent="0.45">
      <c r="K551" s="39">
        <f t="shared" si="111"/>
        <v>4.75</v>
      </c>
      <c r="L551" s="40">
        <f t="shared" si="104"/>
        <v>44.75</v>
      </c>
      <c r="M551" s="41">
        <f t="shared" si="105"/>
        <v>39.75</v>
      </c>
      <c r="N551" s="49">
        <f t="shared" si="106"/>
        <v>1.8918895317842618E-2</v>
      </c>
      <c r="O551" s="50">
        <f t="shared" si="107"/>
        <v>1.2295983861158722E-2</v>
      </c>
      <c r="P551" s="50">
        <f t="shared" si="112"/>
        <v>1.8918895317842618E-2</v>
      </c>
      <c r="Q551" s="51">
        <f t="shared" si="113"/>
        <v>1.2295983861158722E-2</v>
      </c>
      <c r="R551" s="4">
        <f t="shared" si="108"/>
        <v>-1.7906972576467017E-2</v>
      </c>
      <c r="S551">
        <f t="shared" si="109"/>
        <v>0</v>
      </c>
      <c r="T551">
        <f t="shared" si="110"/>
        <v>0</v>
      </c>
      <c r="U551" s="5">
        <f>0</f>
        <v>0</v>
      </c>
      <c r="V551" s="45">
        <f t="shared" si="114"/>
        <v>0.16386044942827638</v>
      </c>
      <c r="W551" s="45">
        <f t="shared" si="115"/>
        <v>0</v>
      </c>
      <c r="X551" s="45">
        <f t="shared" si="116"/>
        <v>0</v>
      </c>
      <c r="Y551" s="46">
        <f>0</f>
        <v>0</v>
      </c>
      <c r="Z551" s="11"/>
    </row>
    <row r="552" spans="11:26" x14ac:dyDescent="0.45">
      <c r="K552" s="39">
        <f t="shared" si="111"/>
        <v>4.74</v>
      </c>
      <c r="L552" s="40">
        <f t="shared" si="104"/>
        <v>44.74</v>
      </c>
      <c r="M552" s="41">
        <f t="shared" si="105"/>
        <v>39.74</v>
      </c>
      <c r="N552" s="49">
        <f t="shared" si="106"/>
        <v>1.8902598472834823E-2</v>
      </c>
      <c r="O552" s="50">
        <f t="shared" si="107"/>
        <v>1.2285392030090518E-2</v>
      </c>
      <c r="P552" s="50">
        <f t="shared" si="112"/>
        <v>1.8902598472834823E-2</v>
      </c>
      <c r="Q552" s="51">
        <f t="shared" si="113"/>
        <v>1.2285392030090518E-2</v>
      </c>
      <c r="R552" s="4">
        <f t="shared" si="108"/>
        <v>-1.7869951579742614E-2</v>
      </c>
      <c r="S552">
        <f t="shared" si="109"/>
        <v>0</v>
      </c>
      <c r="T552">
        <f t="shared" si="110"/>
        <v>0</v>
      </c>
      <c r="U552" s="5">
        <f>0</f>
        <v>0</v>
      </c>
      <c r="V552" s="45">
        <f t="shared" si="114"/>
        <v>0.16403951915404105</v>
      </c>
      <c r="W552" s="45">
        <f t="shared" si="115"/>
        <v>0</v>
      </c>
      <c r="X552" s="45">
        <f t="shared" si="116"/>
        <v>0</v>
      </c>
      <c r="Y552" s="46">
        <f>0</f>
        <v>0</v>
      </c>
      <c r="Z552" s="11"/>
    </row>
    <row r="553" spans="11:26" x14ac:dyDescent="0.45">
      <c r="K553" s="39">
        <f t="shared" si="111"/>
        <v>4.7300000000000004</v>
      </c>
      <c r="L553" s="40">
        <f t="shared" si="104"/>
        <v>44.730000000000004</v>
      </c>
      <c r="M553" s="41">
        <f t="shared" si="105"/>
        <v>39.730000000000004</v>
      </c>
      <c r="N553" s="49">
        <f t="shared" si="106"/>
        <v>1.8886315666022852E-2</v>
      </c>
      <c r="O553" s="50">
        <f t="shared" si="107"/>
        <v>1.2274809322886391E-2</v>
      </c>
      <c r="P553" s="50">
        <f t="shared" si="112"/>
        <v>1.8886315666022852E-2</v>
      </c>
      <c r="Q553" s="51">
        <f t="shared" si="113"/>
        <v>1.2274809322886391E-2</v>
      </c>
      <c r="R553" s="4">
        <f t="shared" si="108"/>
        <v>-1.7832989617990451E-2</v>
      </c>
      <c r="S553">
        <f t="shared" si="109"/>
        <v>0</v>
      </c>
      <c r="T553">
        <f t="shared" si="110"/>
        <v>0</v>
      </c>
      <c r="U553" s="5">
        <f>0</f>
        <v>0</v>
      </c>
      <c r="V553" s="45">
        <f t="shared" si="114"/>
        <v>0.16421821866983849</v>
      </c>
      <c r="W553" s="45">
        <f t="shared" si="115"/>
        <v>0</v>
      </c>
      <c r="X553" s="45">
        <f t="shared" si="116"/>
        <v>0</v>
      </c>
      <c r="Y553" s="46">
        <f>0</f>
        <v>0</v>
      </c>
      <c r="Z553" s="11"/>
    </row>
    <row r="554" spans="11:26" x14ac:dyDescent="0.45">
      <c r="K554" s="39">
        <f t="shared" si="111"/>
        <v>4.72</v>
      </c>
      <c r="L554" s="40">
        <f t="shared" si="104"/>
        <v>44.72</v>
      </c>
      <c r="M554" s="41">
        <f t="shared" si="105"/>
        <v>39.72</v>
      </c>
      <c r="N554" s="49">
        <f t="shared" si="106"/>
        <v>1.8870046885314115E-2</v>
      </c>
      <c r="O554" s="50">
        <f t="shared" si="107"/>
        <v>1.2264235731686971E-2</v>
      </c>
      <c r="P554" s="50">
        <f t="shared" si="112"/>
        <v>1.8870046885314115E-2</v>
      </c>
      <c r="Q554" s="51">
        <f t="shared" si="113"/>
        <v>1.2264235731686971E-2</v>
      </c>
      <c r="R554" s="4">
        <f t="shared" si="108"/>
        <v>-1.7796086584386202E-2</v>
      </c>
      <c r="S554">
        <f t="shared" si="109"/>
        <v>0</v>
      </c>
      <c r="T554">
        <f t="shared" si="110"/>
        <v>0</v>
      </c>
      <c r="U554" s="5">
        <f>0</f>
        <v>0</v>
      </c>
      <c r="V554" s="45">
        <f t="shared" si="114"/>
        <v>0.1643965485660184</v>
      </c>
      <c r="W554" s="45">
        <f t="shared" si="115"/>
        <v>0</v>
      </c>
      <c r="X554" s="45">
        <f t="shared" si="116"/>
        <v>0</v>
      </c>
      <c r="Y554" s="46">
        <f>0</f>
        <v>0</v>
      </c>
      <c r="Z554" s="11"/>
    </row>
    <row r="555" spans="11:26" x14ac:dyDescent="0.45">
      <c r="K555" s="39">
        <f t="shared" si="111"/>
        <v>4.71</v>
      </c>
      <c r="L555" s="40">
        <f t="shared" si="104"/>
        <v>44.71</v>
      </c>
      <c r="M555" s="41">
        <f t="shared" si="105"/>
        <v>39.71</v>
      </c>
      <c r="N555" s="49">
        <f t="shared" si="106"/>
        <v>1.8853792118626457E-2</v>
      </c>
      <c r="O555" s="50">
        <f t="shared" si="107"/>
        <v>1.2253671248639705E-2</v>
      </c>
      <c r="P555" s="50">
        <f t="shared" si="112"/>
        <v>1.8853792118626457E-2</v>
      </c>
      <c r="Q555" s="51">
        <f t="shared" si="113"/>
        <v>1.2253671248639705E-2</v>
      </c>
      <c r="R555" s="4">
        <f t="shared" si="108"/>
        <v>-1.7759242372335591E-2</v>
      </c>
      <c r="S555">
        <f t="shared" si="109"/>
        <v>0</v>
      </c>
      <c r="T555">
        <f t="shared" si="110"/>
        <v>0</v>
      </c>
      <c r="U555" s="5">
        <f>0</f>
        <v>0</v>
      </c>
      <c r="V555" s="45">
        <f t="shared" si="114"/>
        <v>0.16457450943186228</v>
      </c>
      <c r="W555" s="45">
        <f t="shared" si="115"/>
        <v>0</v>
      </c>
      <c r="X555" s="45">
        <f t="shared" si="116"/>
        <v>0</v>
      </c>
      <c r="Y555" s="46">
        <f>0</f>
        <v>0</v>
      </c>
      <c r="Z555" s="11"/>
    </row>
    <row r="556" spans="11:26" x14ac:dyDescent="0.45">
      <c r="K556" s="39">
        <f t="shared" si="111"/>
        <v>4.7</v>
      </c>
      <c r="L556" s="40">
        <f t="shared" si="104"/>
        <v>44.7</v>
      </c>
      <c r="M556" s="41">
        <f t="shared" si="105"/>
        <v>39.700000000000003</v>
      </c>
      <c r="N556" s="49">
        <f t="shared" si="106"/>
        <v>1.8837551353888111E-2</v>
      </c>
      <c r="O556" s="50">
        <f t="shared" si="107"/>
        <v>1.2243115865898775E-2</v>
      </c>
      <c r="P556" s="50">
        <f t="shared" si="112"/>
        <v>1.8837551353888111E-2</v>
      </c>
      <c r="Q556" s="51">
        <f t="shared" si="113"/>
        <v>1.2243115865898775E-2</v>
      </c>
      <c r="R556" s="4">
        <f t="shared" si="108"/>
        <v>-1.7722456875473715E-2</v>
      </c>
      <c r="S556">
        <f t="shared" si="109"/>
        <v>0</v>
      </c>
      <c r="T556">
        <f t="shared" si="110"/>
        <v>0</v>
      </c>
      <c r="U556" s="5">
        <f>0</f>
        <v>0</v>
      </c>
      <c r="V556" s="45">
        <f t="shared" si="114"/>
        <v>0.16475210185558564</v>
      </c>
      <c r="W556" s="45">
        <f t="shared" si="115"/>
        <v>0</v>
      </c>
      <c r="X556" s="45">
        <f t="shared" si="116"/>
        <v>0</v>
      </c>
      <c r="Y556" s="46">
        <f>0</f>
        <v>0</v>
      </c>
      <c r="Z556" s="11"/>
    </row>
    <row r="557" spans="11:26" x14ac:dyDescent="0.45">
      <c r="K557" s="39">
        <f t="shared" si="111"/>
        <v>4.6900000000000004</v>
      </c>
      <c r="L557" s="40">
        <f t="shared" si="104"/>
        <v>44.69</v>
      </c>
      <c r="M557" s="41">
        <f t="shared" si="105"/>
        <v>39.69</v>
      </c>
      <c r="N557" s="49">
        <f t="shared" si="106"/>
        <v>1.8821324579037721E-2</v>
      </c>
      <c r="O557" s="50">
        <f t="shared" si="107"/>
        <v>1.2232569575625102E-2</v>
      </c>
      <c r="P557" s="50">
        <f t="shared" si="112"/>
        <v>1.8821324579037721E-2</v>
      </c>
      <c r="Q557" s="51">
        <f t="shared" si="113"/>
        <v>1.2232569575625102E-2</v>
      </c>
      <c r="R557" s="4">
        <f t="shared" si="108"/>
        <v>-1.7685729987664506E-2</v>
      </c>
      <c r="S557">
        <f t="shared" si="109"/>
        <v>0</v>
      </c>
      <c r="T557">
        <f t="shared" si="110"/>
        <v>0</v>
      </c>
      <c r="U557" s="5">
        <f>0</f>
        <v>0</v>
      </c>
      <c r="V557" s="45">
        <f t="shared" si="114"/>
        <v>0.16492932642434038</v>
      </c>
      <c r="W557" s="45">
        <f t="shared" si="115"/>
        <v>0</v>
      </c>
      <c r="X557" s="45">
        <f t="shared" si="116"/>
        <v>0</v>
      </c>
      <c r="Y557" s="46">
        <f>0</f>
        <v>0</v>
      </c>
      <c r="Z557" s="11"/>
    </row>
    <row r="558" spans="11:26" x14ac:dyDescent="0.45">
      <c r="K558" s="39">
        <f t="shared" si="111"/>
        <v>4.68</v>
      </c>
      <c r="L558" s="40">
        <f t="shared" si="104"/>
        <v>44.68</v>
      </c>
      <c r="M558" s="41">
        <f t="shared" si="105"/>
        <v>39.68</v>
      </c>
      <c r="N558" s="49">
        <f t="shared" si="106"/>
        <v>1.880511178202432E-2</v>
      </c>
      <c r="O558" s="50">
        <f t="shared" si="107"/>
        <v>1.2222032369986409E-2</v>
      </c>
      <c r="P558" s="50">
        <f t="shared" si="112"/>
        <v>1.880511178202432E-2</v>
      </c>
      <c r="Q558" s="51">
        <f t="shared" si="113"/>
        <v>1.2222032369986409E-2</v>
      </c>
      <c r="R558" s="4">
        <f t="shared" si="108"/>
        <v>-1.7649061603000227E-2</v>
      </c>
      <c r="S558">
        <f t="shared" si="109"/>
        <v>0</v>
      </c>
      <c r="T558">
        <f t="shared" si="110"/>
        <v>0</v>
      </c>
      <c r="U558" s="5">
        <f>0</f>
        <v>0</v>
      </c>
      <c r="V558" s="45">
        <f t="shared" si="114"/>
        <v>0.16510618372421704</v>
      </c>
      <c r="W558" s="45">
        <f t="shared" si="115"/>
        <v>0</v>
      </c>
      <c r="X558" s="45">
        <f t="shared" si="116"/>
        <v>0</v>
      </c>
      <c r="Y558" s="46">
        <f>0</f>
        <v>0</v>
      </c>
      <c r="Z558" s="11"/>
    </row>
    <row r="559" spans="11:26" x14ac:dyDescent="0.45">
      <c r="K559" s="39">
        <f t="shared" si="111"/>
        <v>4.67</v>
      </c>
      <c r="L559" s="40">
        <f t="shared" si="104"/>
        <v>44.67</v>
      </c>
      <c r="M559" s="41">
        <f t="shared" si="105"/>
        <v>39.67</v>
      </c>
      <c r="N559" s="49">
        <f t="shared" si="106"/>
        <v>1.8788912950807316E-2</v>
      </c>
      <c r="O559" s="50">
        <f t="shared" si="107"/>
        <v>1.2211504241157134E-2</v>
      </c>
      <c r="P559" s="50">
        <f t="shared" si="112"/>
        <v>1.8788912950807316E-2</v>
      </c>
      <c r="Q559" s="51">
        <f t="shared" si="113"/>
        <v>1.2211504241157134E-2</v>
      </c>
      <c r="R559" s="4">
        <f t="shared" si="108"/>
        <v>-1.7612451615800842E-2</v>
      </c>
      <c r="S559">
        <f t="shared" si="109"/>
        <v>0</v>
      </c>
      <c r="T559">
        <f t="shared" si="110"/>
        <v>0</v>
      </c>
      <c r="U559" s="5">
        <f>0</f>
        <v>0</v>
      </c>
      <c r="V559" s="45">
        <f t="shared" si="114"/>
        <v>0.16528267434024704</v>
      </c>
      <c r="W559" s="45">
        <f t="shared" si="115"/>
        <v>0</v>
      </c>
      <c r="X559" s="45">
        <f t="shared" si="116"/>
        <v>0</v>
      </c>
      <c r="Y559" s="46">
        <f>0</f>
        <v>0</v>
      </c>
      <c r="Z559" s="11"/>
    </row>
    <row r="560" spans="11:26" x14ac:dyDescent="0.45">
      <c r="K560" s="39">
        <f t="shared" si="111"/>
        <v>4.66</v>
      </c>
      <c r="L560" s="40">
        <f t="shared" si="104"/>
        <v>44.66</v>
      </c>
      <c r="M560" s="41">
        <f t="shared" si="105"/>
        <v>39.659999999999997</v>
      </c>
      <c r="N560" s="49">
        <f t="shared" si="106"/>
        <v>1.8772728073356486E-2</v>
      </c>
      <c r="O560" s="50">
        <f t="shared" si="107"/>
        <v>1.2200985181318442E-2</v>
      </c>
      <c r="P560" s="50">
        <f t="shared" si="112"/>
        <v>1.8772728073356486E-2</v>
      </c>
      <c r="Q560" s="51">
        <f t="shared" si="113"/>
        <v>1.2200985181318442E-2</v>
      </c>
      <c r="R560" s="4">
        <f t="shared" si="108"/>
        <v>-1.7575899920613453E-2</v>
      </c>
      <c r="S560">
        <f t="shared" si="109"/>
        <v>0</v>
      </c>
      <c r="T560">
        <f t="shared" si="110"/>
        <v>0</v>
      </c>
      <c r="U560" s="5">
        <f>0</f>
        <v>0</v>
      </c>
      <c r="V560" s="45">
        <f t="shared" si="114"/>
        <v>0.16545879885640505</v>
      </c>
      <c r="W560" s="45">
        <f t="shared" si="115"/>
        <v>0</v>
      </c>
      <c r="X560" s="45">
        <f t="shared" si="116"/>
        <v>0</v>
      </c>
      <c r="Y560" s="46">
        <f>0</f>
        <v>0</v>
      </c>
      <c r="Z560" s="11"/>
    </row>
    <row r="561" spans="11:26" x14ac:dyDescent="0.45">
      <c r="K561" s="39">
        <f t="shared" si="111"/>
        <v>4.6500000000000004</v>
      </c>
      <c r="L561" s="40">
        <f t="shared" si="104"/>
        <v>44.65</v>
      </c>
      <c r="M561" s="41">
        <f t="shared" si="105"/>
        <v>39.65</v>
      </c>
      <c r="N561" s="49">
        <f t="shared" si="106"/>
        <v>1.8756557137651987E-2</v>
      </c>
      <c r="O561" s="50">
        <f t="shared" si="107"/>
        <v>1.2190475182658277E-2</v>
      </c>
      <c r="P561" s="50">
        <f t="shared" si="112"/>
        <v>1.8756557137651987E-2</v>
      </c>
      <c r="Q561" s="51">
        <f t="shared" si="113"/>
        <v>1.2190475182658277E-2</v>
      </c>
      <c r="R561" s="4">
        <f t="shared" si="108"/>
        <v>-1.7539406412211807E-2</v>
      </c>
      <c r="S561">
        <f t="shared" si="109"/>
        <v>0</v>
      </c>
      <c r="T561">
        <f t="shared" si="110"/>
        <v>0</v>
      </c>
      <c r="U561" s="5">
        <f>0</f>
        <v>0</v>
      </c>
      <c r="V561" s="45">
        <f t="shared" si="114"/>
        <v>0.16563455785561118</v>
      </c>
      <c r="W561" s="45">
        <f t="shared" si="115"/>
        <v>0</v>
      </c>
      <c r="X561" s="45">
        <f t="shared" si="116"/>
        <v>0</v>
      </c>
      <c r="Y561" s="46">
        <f>0</f>
        <v>0</v>
      </c>
      <c r="Z561" s="11"/>
    </row>
    <row r="562" spans="11:26" x14ac:dyDescent="0.45">
      <c r="K562" s="39">
        <f t="shared" si="111"/>
        <v>4.6399999999999997</v>
      </c>
      <c r="L562" s="40">
        <f t="shared" si="104"/>
        <v>44.64</v>
      </c>
      <c r="M562" s="41">
        <f t="shared" si="105"/>
        <v>39.64</v>
      </c>
      <c r="N562" s="49">
        <f t="shared" si="106"/>
        <v>1.8740400131684317E-2</v>
      </c>
      <c r="O562" s="50">
        <f t="shared" si="107"/>
        <v>1.2179974237371282E-2</v>
      </c>
      <c r="P562" s="50">
        <f t="shared" si="112"/>
        <v>1.8740400131684317E-2</v>
      </c>
      <c r="Q562" s="51">
        <f t="shared" si="113"/>
        <v>1.2179974237371282E-2</v>
      </c>
      <c r="R562" s="4">
        <f t="shared" si="108"/>
        <v>-1.7502970985595667E-2</v>
      </c>
      <c r="S562">
        <f t="shared" si="109"/>
        <v>0</v>
      </c>
      <c r="T562">
        <f t="shared" si="110"/>
        <v>0</v>
      </c>
      <c r="U562" s="5">
        <f>0</f>
        <v>0</v>
      </c>
      <c r="V562" s="45">
        <f t="shared" si="114"/>
        <v>0.1658099519197333</v>
      </c>
      <c r="W562" s="45">
        <f t="shared" si="115"/>
        <v>0</v>
      </c>
      <c r="X562" s="45">
        <f t="shared" si="116"/>
        <v>0</v>
      </c>
      <c r="Y562" s="46">
        <f>0</f>
        <v>0</v>
      </c>
      <c r="Z562" s="11"/>
    </row>
    <row r="563" spans="11:26" x14ac:dyDescent="0.45">
      <c r="K563" s="39">
        <f t="shared" si="111"/>
        <v>4.63</v>
      </c>
      <c r="L563" s="40">
        <f t="shared" si="104"/>
        <v>44.63</v>
      </c>
      <c r="M563" s="41">
        <f t="shared" si="105"/>
        <v>39.630000000000003</v>
      </c>
      <c r="N563" s="49">
        <f t="shared" si="106"/>
        <v>1.8724257043454318E-2</v>
      </c>
      <c r="O563" s="50">
        <f t="shared" si="107"/>
        <v>1.2169482337658822E-2</v>
      </c>
      <c r="P563" s="50">
        <f t="shared" si="112"/>
        <v>1.8724257043454318E-2</v>
      </c>
      <c r="Q563" s="51">
        <f t="shared" si="113"/>
        <v>1.2169482337658822E-2</v>
      </c>
      <c r="R563" s="4">
        <f t="shared" si="108"/>
        <v>-1.7466593535990296E-2</v>
      </c>
      <c r="S563">
        <f t="shared" si="109"/>
        <v>0</v>
      </c>
      <c r="T563">
        <f t="shared" si="110"/>
        <v>0</v>
      </c>
      <c r="U563" s="5">
        <f>0</f>
        <v>0</v>
      </c>
      <c r="V563" s="45">
        <f t="shared" si="114"/>
        <v>0.16598498162958925</v>
      </c>
      <c r="W563" s="45">
        <f t="shared" si="115"/>
        <v>0</v>
      </c>
      <c r="X563" s="45">
        <f t="shared" si="116"/>
        <v>0</v>
      </c>
      <c r="Y563" s="46">
        <f>0</f>
        <v>0</v>
      </c>
      <c r="Z563" s="11"/>
    </row>
    <row r="564" spans="11:26" x14ac:dyDescent="0.45">
      <c r="K564" s="39">
        <f t="shared" si="111"/>
        <v>4.62</v>
      </c>
      <c r="L564" s="40">
        <f t="shared" si="104"/>
        <v>44.62</v>
      </c>
      <c r="M564" s="41">
        <f t="shared" si="105"/>
        <v>39.619999999999997</v>
      </c>
      <c r="N564" s="49">
        <f t="shared" si="106"/>
        <v>1.8708127860973155E-2</v>
      </c>
      <c r="O564" s="50">
        <f t="shared" si="107"/>
        <v>1.2158999475728977E-2</v>
      </c>
      <c r="P564" s="50">
        <f t="shared" si="112"/>
        <v>1.8708127860973155E-2</v>
      </c>
      <c r="Q564" s="51">
        <f t="shared" si="113"/>
        <v>1.2158999475728977E-2</v>
      </c>
      <c r="R564" s="4">
        <f t="shared" si="108"/>
        <v>-1.7430273958845839E-2</v>
      </c>
      <c r="S564">
        <f t="shared" si="109"/>
        <v>0</v>
      </c>
      <c r="T564">
        <f t="shared" si="110"/>
        <v>0</v>
      </c>
      <c r="U564" s="5">
        <f>0</f>
        <v>0</v>
      </c>
      <c r="V564" s="45">
        <f t="shared" si="114"/>
        <v>0.16615964756494914</v>
      </c>
      <c r="W564" s="45">
        <f t="shared" si="115"/>
        <v>0</v>
      </c>
      <c r="X564" s="45">
        <f t="shared" si="116"/>
        <v>0</v>
      </c>
      <c r="Y564" s="46">
        <f>0</f>
        <v>0</v>
      </c>
      <c r="Z564" s="11"/>
    </row>
    <row r="565" spans="11:26" x14ac:dyDescent="0.45">
      <c r="K565" s="39">
        <f t="shared" si="111"/>
        <v>4.6100000000000003</v>
      </c>
      <c r="L565" s="40">
        <f t="shared" si="104"/>
        <v>44.61</v>
      </c>
      <c r="M565" s="41">
        <f t="shared" si="105"/>
        <v>39.61</v>
      </c>
      <c r="N565" s="49">
        <f t="shared" si="106"/>
        <v>1.8692012572262367E-2</v>
      </c>
      <c r="O565" s="50">
        <f t="shared" si="107"/>
        <v>1.2148525643796581E-2</v>
      </c>
      <c r="P565" s="50">
        <f t="shared" si="112"/>
        <v>1.8692012572262367E-2</v>
      </c>
      <c r="Q565" s="51">
        <f t="shared" si="113"/>
        <v>1.2148525643796581E-2</v>
      </c>
      <c r="R565" s="4">
        <f t="shared" si="108"/>
        <v>-1.7394012149836928E-2</v>
      </c>
      <c r="S565">
        <f t="shared" si="109"/>
        <v>0</v>
      </c>
      <c r="T565">
        <f t="shared" si="110"/>
        <v>0</v>
      </c>
      <c r="U565" s="5">
        <f>0</f>
        <v>0</v>
      </c>
      <c r="V565" s="45">
        <f t="shared" si="114"/>
        <v>0.1663339503045376</v>
      </c>
      <c r="W565" s="45">
        <f t="shared" si="115"/>
        <v>0</v>
      </c>
      <c r="X565" s="45">
        <f t="shared" si="116"/>
        <v>0</v>
      </c>
      <c r="Y565" s="46">
        <f>0</f>
        <v>0</v>
      </c>
      <c r="Z565" s="11"/>
    </row>
    <row r="566" spans="11:26" x14ac:dyDescent="0.45">
      <c r="K566" s="39">
        <f t="shared" si="111"/>
        <v>4.5999999999999996</v>
      </c>
      <c r="L566" s="40">
        <f t="shared" si="104"/>
        <v>44.6</v>
      </c>
      <c r="M566" s="41">
        <f t="shared" si="105"/>
        <v>39.6</v>
      </c>
      <c r="N566" s="49">
        <f t="shared" si="106"/>
        <v>1.8675911165353762E-2</v>
      </c>
      <c r="O566" s="50">
        <f t="shared" si="107"/>
        <v>1.2138060834083118E-2</v>
      </c>
      <c r="P566" s="50">
        <f t="shared" si="112"/>
        <v>1.8675911165353762E-2</v>
      </c>
      <c r="Q566" s="51">
        <f t="shared" si="113"/>
        <v>1.2138060834083118E-2</v>
      </c>
      <c r="R566" s="4">
        <f t="shared" si="108"/>
        <v>-1.7357808004861905E-2</v>
      </c>
      <c r="S566">
        <f t="shared" si="109"/>
        <v>0</v>
      </c>
      <c r="T566">
        <f t="shared" si="110"/>
        <v>0</v>
      </c>
      <c r="U566" s="5">
        <f>0</f>
        <v>0</v>
      </c>
      <c r="V566" s="45">
        <f t="shared" si="114"/>
        <v>0.16650789042603598</v>
      </c>
      <c r="W566" s="45">
        <f t="shared" si="115"/>
        <v>0</v>
      </c>
      <c r="X566" s="45">
        <f t="shared" si="116"/>
        <v>0</v>
      </c>
      <c r="Y566" s="46">
        <f>0</f>
        <v>0</v>
      </c>
      <c r="Z566" s="11"/>
    </row>
    <row r="567" spans="11:26" x14ac:dyDescent="0.45">
      <c r="K567" s="39">
        <f t="shared" si="111"/>
        <v>4.59</v>
      </c>
      <c r="L567" s="40">
        <f t="shared" si="104"/>
        <v>44.59</v>
      </c>
      <c r="M567" s="41">
        <f t="shared" si="105"/>
        <v>39.590000000000003</v>
      </c>
      <c r="N567" s="49">
        <f t="shared" si="106"/>
        <v>1.8659823628289478E-2</v>
      </c>
      <c r="O567" s="50">
        <f t="shared" si="107"/>
        <v>1.2127605038816802E-2</v>
      </c>
      <c r="P567" s="50">
        <f t="shared" si="112"/>
        <v>1.8659823628289478E-2</v>
      </c>
      <c r="Q567" s="51">
        <f t="shared" si="113"/>
        <v>1.2127605038816802E-2</v>
      </c>
      <c r="R567" s="4">
        <f t="shared" si="108"/>
        <v>-1.7321661420042451E-2</v>
      </c>
      <c r="S567">
        <f t="shared" si="109"/>
        <v>0</v>
      </c>
      <c r="T567">
        <f t="shared" si="110"/>
        <v>0</v>
      </c>
      <c r="U567" s="5">
        <f>0</f>
        <v>0</v>
      </c>
      <c r="V567" s="45">
        <f t="shared" si="114"/>
        <v>0.16668146850608459</v>
      </c>
      <c r="W567" s="45">
        <f t="shared" si="115"/>
        <v>0</v>
      </c>
      <c r="X567" s="45">
        <f t="shared" si="116"/>
        <v>0</v>
      </c>
      <c r="Y567" s="46">
        <f>0</f>
        <v>0</v>
      </c>
      <c r="Z567" s="11"/>
    </row>
    <row r="568" spans="11:26" x14ac:dyDescent="0.45">
      <c r="K568" s="39">
        <f t="shared" si="111"/>
        <v>4.58</v>
      </c>
      <c r="L568" s="40">
        <f t="shared" si="104"/>
        <v>44.58</v>
      </c>
      <c r="M568" s="41">
        <f t="shared" si="105"/>
        <v>39.58</v>
      </c>
      <c r="N568" s="49">
        <f t="shared" si="106"/>
        <v>1.8643749949121945E-2</v>
      </c>
      <c r="O568" s="50">
        <f t="shared" si="107"/>
        <v>1.2117158250232532E-2</v>
      </c>
      <c r="P568" s="50">
        <f t="shared" si="112"/>
        <v>1.8643749949121945E-2</v>
      </c>
      <c r="Q568" s="51">
        <f t="shared" si="113"/>
        <v>1.2117158250232532E-2</v>
      </c>
      <c r="R568" s="4">
        <f t="shared" si="108"/>
        <v>-1.7285572291722943E-2</v>
      </c>
      <c r="S568">
        <f t="shared" si="109"/>
        <v>0</v>
      </c>
      <c r="T568">
        <f t="shared" si="110"/>
        <v>0</v>
      </c>
      <c r="U568" s="5">
        <f>0</f>
        <v>0</v>
      </c>
      <c r="V568" s="45">
        <f t="shared" si="114"/>
        <v>0.16685468512028501</v>
      </c>
      <c r="W568" s="45">
        <f t="shared" si="115"/>
        <v>0</v>
      </c>
      <c r="X568" s="45">
        <f t="shared" si="116"/>
        <v>0</v>
      </c>
      <c r="Y568" s="46">
        <f>0</f>
        <v>0</v>
      </c>
      <c r="Z568" s="11"/>
    </row>
    <row r="569" spans="11:26" x14ac:dyDescent="0.45">
      <c r="K569" s="39">
        <f t="shared" si="111"/>
        <v>4.57</v>
      </c>
      <c r="L569" s="40">
        <f t="shared" si="104"/>
        <v>44.57</v>
      </c>
      <c r="M569" s="41">
        <f t="shared" si="105"/>
        <v>39.57</v>
      </c>
      <c r="N569" s="49">
        <f t="shared" si="106"/>
        <v>1.8627690115913909E-2</v>
      </c>
      <c r="O569" s="50">
        <f t="shared" si="107"/>
        <v>1.2106720460571912E-2</v>
      </c>
      <c r="P569" s="50">
        <f t="shared" si="112"/>
        <v>1.8627690115913909E-2</v>
      </c>
      <c r="Q569" s="51">
        <f t="shared" si="113"/>
        <v>1.2106720460571912E-2</v>
      </c>
      <c r="R569" s="4">
        <f t="shared" si="108"/>
        <v>-1.7249540516469975E-2</v>
      </c>
      <c r="S569">
        <f t="shared" si="109"/>
        <v>0</v>
      </c>
      <c r="T569">
        <f t="shared" si="110"/>
        <v>0</v>
      </c>
      <c r="U569" s="5">
        <f>0</f>
        <v>0</v>
      </c>
      <c r="V569" s="45">
        <f t="shared" si="114"/>
        <v>0.16702754084320223</v>
      </c>
      <c r="W569" s="45">
        <f t="shared" si="115"/>
        <v>0</v>
      </c>
      <c r="X569" s="45">
        <f t="shared" si="116"/>
        <v>0</v>
      </c>
      <c r="Y569" s="46">
        <f>0</f>
        <v>0</v>
      </c>
      <c r="Z569" s="11"/>
    </row>
    <row r="570" spans="11:26" x14ac:dyDescent="0.45">
      <c r="K570" s="39">
        <f t="shared" si="111"/>
        <v>4.5599999999999996</v>
      </c>
      <c r="L570" s="40">
        <f t="shared" si="104"/>
        <v>44.56</v>
      </c>
      <c r="M570" s="41">
        <f t="shared" si="105"/>
        <v>39.56</v>
      </c>
      <c r="N570" s="49">
        <f t="shared" si="106"/>
        <v>1.8611644116738369E-2</v>
      </c>
      <c r="O570" s="50">
        <f t="shared" si="107"/>
        <v>1.2096291662083212E-2</v>
      </c>
      <c r="P570" s="50">
        <f t="shared" si="112"/>
        <v>1.8611644116738369E-2</v>
      </c>
      <c r="Q570" s="51">
        <f t="shared" si="113"/>
        <v>1.2096291662083212E-2</v>
      </c>
      <c r="R570" s="4">
        <f t="shared" si="108"/>
        <v>-1.7213565991071739E-2</v>
      </c>
      <c r="S570">
        <f t="shared" si="109"/>
        <v>0</v>
      </c>
      <c r="T570">
        <f t="shared" si="110"/>
        <v>0</v>
      </c>
      <c r="U570" s="5">
        <f>0</f>
        <v>0</v>
      </c>
      <c r="V570" s="45">
        <f t="shared" si="114"/>
        <v>0.16720003624836693</v>
      </c>
      <c r="W570" s="45">
        <f t="shared" si="115"/>
        <v>0</v>
      </c>
      <c r="X570" s="45">
        <f t="shared" si="116"/>
        <v>0</v>
      </c>
      <c r="Y570" s="46">
        <f>0</f>
        <v>0</v>
      </c>
      <c r="Z570" s="11"/>
    </row>
    <row r="571" spans="11:26" x14ac:dyDescent="0.45">
      <c r="K571" s="39">
        <f t="shared" si="111"/>
        <v>4.55</v>
      </c>
      <c r="L571" s="40">
        <f t="shared" si="104"/>
        <v>44.55</v>
      </c>
      <c r="M571" s="41">
        <f t="shared" si="105"/>
        <v>39.549999999999997</v>
      </c>
      <c r="N571" s="49">
        <f t="shared" si="106"/>
        <v>1.85956119396786E-2</v>
      </c>
      <c r="O571" s="50">
        <f t="shared" si="107"/>
        <v>1.2085871847021376E-2</v>
      </c>
      <c r="P571" s="50">
        <f t="shared" si="112"/>
        <v>1.85956119396786E-2</v>
      </c>
      <c r="Q571" s="51">
        <f t="shared" si="113"/>
        <v>1.2085871847021376E-2</v>
      </c>
      <c r="R571" s="4">
        <f t="shared" si="108"/>
        <v>-1.7177648612537511E-2</v>
      </c>
      <c r="S571">
        <f t="shared" si="109"/>
        <v>0</v>
      </c>
      <c r="T571">
        <f t="shared" si="110"/>
        <v>0</v>
      </c>
      <c r="U571" s="5">
        <f>0</f>
        <v>0</v>
      </c>
      <c r="V571" s="45">
        <f t="shared" si="114"/>
        <v>0.16737217190827766</v>
      </c>
      <c r="W571" s="45">
        <f t="shared" si="115"/>
        <v>0</v>
      </c>
      <c r="X571" s="45">
        <f t="shared" si="116"/>
        <v>0</v>
      </c>
      <c r="Y571" s="46">
        <f>0</f>
        <v>0</v>
      </c>
      <c r="Z571" s="11"/>
    </row>
    <row r="572" spans="11:26" x14ac:dyDescent="0.45">
      <c r="K572" s="39">
        <f t="shared" si="111"/>
        <v>4.54</v>
      </c>
      <c r="L572" s="40">
        <f t="shared" si="104"/>
        <v>44.54</v>
      </c>
      <c r="M572" s="41">
        <f t="shared" si="105"/>
        <v>39.54</v>
      </c>
      <c r="N572" s="49">
        <f t="shared" si="106"/>
        <v>1.8579593572828176E-2</v>
      </c>
      <c r="O572" s="50">
        <f t="shared" si="107"/>
        <v>1.2075461007648045E-2</v>
      </c>
      <c r="P572" s="50">
        <f t="shared" si="112"/>
        <v>1.8579593572828176E-2</v>
      </c>
      <c r="Q572" s="51">
        <f t="shared" si="113"/>
        <v>1.2075461007648045E-2</v>
      </c>
      <c r="R572" s="4">
        <f t="shared" si="108"/>
        <v>-1.7141788278097154E-2</v>
      </c>
      <c r="S572">
        <f t="shared" si="109"/>
        <v>0</v>
      </c>
      <c r="T572">
        <f t="shared" si="110"/>
        <v>0</v>
      </c>
      <c r="U572" s="5">
        <f>0</f>
        <v>0</v>
      </c>
      <c r="V572" s="45">
        <f t="shared" si="114"/>
        <v>0.16754394839440304</v>
      </c>
      <c r="W572" s="45">
        <f t="shared" si="115"/>
        <v>0</v>
      </c>
      <c r="X572" s="45">
        <f t="shared" si="116"/>
        <v>0</v>
      </c>
      <c r="Y572" s="46">
        <f>0</f>
        <v>0</v>
      </c>
      <c r="Z572" s="11"/>
    </row>
    <row r="573" spans="11:26" x14ac:dyDescent="0.45">
      <c r="K573" s="39">
        <f t="shared" si="111"/>
        <v>4.53</v>
      </c>
      <c r="L573" s="40">
        <f t="shared" si="104"/>
        <v>44.53</v>
      </c>
      <c r="M573" s="41">
        <f t="shared" si="105"/>
        <v>39.53</v>
      </c>
      <c r="N573" s="49">
        <f t="shared" si="106"/>
        <v>1.8563589004290889E-2</v>
      </c>
      <c r="O573" s="50">
        <f t="shared" si="107"/>
        <v>1.2065059136231498E-2</v>
      </c>
      <c r="P573" s="50">
        <f t="shared" si="112"/>
        <v>1.8563589004290889E-2</v>
      </c>
      <c r="Q573" s="51">
        <f t="shared" si="113"/>
        <v>1.2065059136231498E-2</v>
      </c>
      <c r="R573" s="4">
        <f t="shared" si="108"/>
        <v>-1.7105984885200484E-2</v>
      </c>
      <c r="S573">
        <f t="shared" si="109"/>
        <v>0</v>
      </c>
      <c r="T573">
        <f t="shared" si="110"/>
        <v>0</v>
      </c>
      <c r="U573" s="5">
        <f>0</f>
        <v>0</v>
      </c>
      <c r="V573" s="45">
        <f t="shared" si="114"/>
        <v>0.167715366277184</v>
      </c>
      <c r="W573" s="45">
        <f t="shared" si="115"/>
        <v>0</v>
      </c>
      <c r="X573" s="45">
        <f t="shared" si="116"/>
        <v>0</v>
      </c>
      <c r="Y573" s="46">
        <f>0</f>
        <v>0</v>
      </c>
      <c r="Z573" s="11"/>
    </row>
    <row r="574" spans="11:26" x14ac:dyDescent="0.45">
      <c r="K574" s="39">
        <f t="shared" si="111"/>
        <v>4.5199999999999996</v>
      </c>
      <c r="L574" s="40">
        <f t="shared" si="104"/>
        <v>44.519999999999996</v>
      </c>
      <c r="M574" s="41">
        <f t="shared" si="105"/>
        <v>39.519999999999996</v>
      </c>
      <c r="N574" s="49">
        <f t="shared" si="106"/>
        <v>1.8547598222180786E-2</v>
      </c>
      <c r="O574" s="50">
        <f t="shared" si="107"/>
        <v>1.2054666225046685E-2</v>
      </c>
      <c r="P574" s="50">
        <f t="shared" si="112"/>
        <v>1.8547598222180786E-2</v>
      </c>
      <c r="Q574" s="51">
        <f t="shared" si="113"/>
        <v>1.2054666225046685E-2</v>
      </c>
      <c r="R574" s="4">
        <f t="shared" si="108"/>
        <v>-1.7070238331516795E-2</v>
      </c>
      <c r="S574">
        <f t="shared" si="109"/>
        <v>0</v>
      </c>
      <c r="T574">
        <f t="shared" si="110"/>
        <v>0</v>
      </c>
      <c r="U574" s="5">
        <f>0</f>
        <v>0</v>
      </c>
      <c r="V574" s="45">
        <f t="shared" si="114"/>
        <v>0.16788642612603602</v>
      </c>
      <c r="W574" s="45">
        <f t="shared" si="115"/>
        <v>0</v>
      </c>
      <c r="X574" s="45">
        <f t="shared" si="116"/>
        <v>0</v>
      </c>
      <c r="Y574" s="46">
        <f>0</f>
        <v>0</v>
      </c>
      <c r="Z574" s="11"/>
    </row>
    <row r="575" spans="11:26" x14ac:dyDescent="0.45">
      <c r="K575" s="39">
        <f t="shared" si="111"/>
        <v>4.51</v>
      </c>
      <c r="L575" s="40">
        <f t="shared" si="104"/>
        <v>44.51</v>
      </c>
      <c r="M575" s="41">
        <f t="shared" si="105"/>
        <v>39.51</v>
      </c>
      <c r="N575" s="49">
        <f t="shared" si="106"/>
        <v>1.8531621214622176E-2</v>
      </c>
      <c r="O575" s="50">
        <f t="shared" si="107"/>
        <v>1.2044282266375217E-2</v>
      </c>
      <c r="P575" s="50">
        <f t="shared" si="112"/>
        <v>1.8531621214622176E-2</v>
      </c>
      <c r="Q575" s="51">
        <f t="shared" si="113"/>
        <v>1.2044282266375217E-2</v>
      </c>
      <c r="R575" s="4">
        <f t="shared" si="108"/>
        <v>-1.7034548514934335E-2</v>
      </c>
      <c r="S575">
        <f t="shared" si="109"/>
        <v>0</v>
      </c>
      <c r="T575">
        <f t="shared" si="110"/>
        <v>0</v>
      </c>
      <c r="U575" s="5">
        <f>0</f>
        <v>0</v>
      </c>
      <c r="V575" s="45">
        <f t="shared" si="114"/>
        <v>0.1680571285093512</v>
      </c>
      <c r="W575" s="45">
        <f t="shared" si="115"/>
        <v>0</v>
      </c>
      <c r="X575" s="45">
        <f t="shared" si="116"/>
        <v>0</v>
      </c>
      <c r="Y575" s="46">
        <f>0</f>
        <v>0</v>
      </c>
      <c r="Z575" s="11"/>
    </row>
    <row r="576" spans="11:26" x14ac:dyDescent="0.45">
      <c r="K576" s="39">
        <f t="shared" si="111"/>
        <v>4.5</v>
      </c>
      <c r="L576" s="40">
        <f t="shared" si="104"/>
        <v>44.5</v>
      </c>
      <c r="M576" s="41">
        <f t="shared" si="105"/>
        <v>39.5</v>
      </c>
      <c r="N576" s="49">
        <f t="shared" si="106"/>
        <v>1.8515657969749574E-2</v>
      </c>
      <c r="O576" s="50">
        <f t="shared" si="107"/>
        <v>1.2033907252505348E-2</v>
      </c>
      <c r="P576" s="50">
        <f t="shared" si="112"/>
        <v>1.8515657969749574E-2</v>
      </c>
      <c r="Q576" s="51">
        <f t="shared" si="113"/>
        <v>1.2033907252505348E-2</v>
      </c>
      <c r="R576" s="4">
        <f t="shared" si="108"/>
        <v>-1.6998915333559704E-2</v>
      </c>
      <c r="S576">
        <f t="shared" si="109"/>
        <v>0</v>
      </c>
      <c r="T576">
        <f t="shared" si="110"/>
        <v>0</v>
      </c>
      <c r="U576" s="5">
        <f>0</f>
        <v>0</v>
      </c>
      <c r="V576" s="45">
        <f t="shared" si="114"/>
        <v>0.16822747399450055</v>
      </c>
      <c r="W576" s="45">
        <f t="shared" si="115"/>
        <v>0</v>
      </c>
      <c r="X576" s="45">
        <f t="shared" si="116"/>
        <v>0</v>
      </c>
      <c r="Y576" s="46">
        <f>0</f>
        <v>0</v>
      </c>
      <c r="Z576" s="11"/>
    </row>
    <row r="577" spans="11:26" x14ac:dyDescent="0.45">
      <c r="K577" s="39">
        <f t="shared" si="111"/>
        <v>4.49</v>
      </c>
      <c r="L577" s="40">
        <f t="shared" si="104"/>
        <v>44.49</v>
      </c>
      <c r="M577" s="41">
        <f t="shared" si="105"/>
        <v>39.49</v>
      </c>
      <c r="N577" s="49">
        <f t="shared" si="106"/>
        <v>1.8499708475707734E-2</v>
      </c>
      <c r="O577" s="50">
        <f t="shared" si="107"/>
        <v>1.2023541175731971E-2</v>
      </c>
      <c r="P577" s="50">
        <f t="shared" si="112"/>
        <v>1.8499708475707734E-2</v>
      </c>
      <c r="Q577" s="51">
        <f t="shared" si="113"/>
        <v>1.2023541175731971E-2</v>
      </c>
      <c r="R577" s="4">
        <f t="shared" si="108"/>
        <v>-1.6963338685717373E-2</v>
      </c>
      <c r="S577">
        <f t="shared" si="109"/>
        <v>0</v>
      </c>
      <c r="T577">
        <f t="shared" si="110"/>
        <v>0</v>
      </c>
      <c r="U577" s="5">
        <f>0</f>
        <v>0</v>
      </c>
      <c r="V577" s="45">
        <f t="shared" si="114"/>
        <v>0.16839746314783616</v>
      </c>
      <c r="W577" s="45">
        <f t="shared" si="115"/>
        <v>0</v>
      </c>
      <c r="X577" s="45">
        <f t="shared" si="116"/>
        <v>0</v>
      </c>
      <c r="Y577" s="46">
        <f>0</f>
        <v>0</v>
      </c>
      <c r="Z577" s="11"/>
    </row>
    <row r="578" spans="11:26" x14ac:dyDescent="0.45">
      <c r="K578" s="39">
        <f t="shared" si="111"/>
        <v>4.4800000000000004</v>
      </c>
      <c r="L578" s="40">
        <f t="shared" si="104"/>
        <v>44.480000000000004</v>
      </c>
      <c r="M578" s="41">
        <f t="shared" si="105"/>
        <v>39.480000000000004</v>
      </c>
      <c r="N578" s="49">
        <f t="shared" si="106"/>
        <v>1.8483772720651586E-2</v>
      </c>
      <c r="O578" s="50">
        <f t="shared" si="107"/>
        <v>1.2013184028356621E-2</v>
      </c>
      <c r="P578" s="50">
        <f t="shared" si="112"/>
        <v>1.8483772720651586E-2</v>
      </c>
      <c r="Q578" s="51">
        <f t="shared" si="113"/>
        <v>1.2013184028356621E-2</v>
      </c>
      <c r="R578" s="4">
        <f t="shared" si="108"/>
        <v>-1.6927818469949105E-2</v>
      </c>
      <c r="S578">
        <f t="shared" si="109"/>
        <v>0</v>
      </c>
      <c r="T578">
        <f t="shared" si="110"/>
        <v>0</v>
      </c>
      <c r="U578" s="5">
        <f>0</f>
        <v>0</v>
      </c>
      <c r="V578" s="45">
        <f t="shared" si="114"/>
        <v>0.16856709653469334</v>
      </c>
      <c r="W578" s="45">
        <f t="shared" si="115"/>
        <v>0</v>
      </c>
      <c r="X578" s="45">
        <f t="shared" si="116"/>
        <v>0</v>
      </c>
      <c r="Y578" s="46">
        <f>0</f>
        <v>0</v>
      </c>
      <c r="Z578" s="11"/>
    </row>
    <row r="579" spans="11:26" x14ac:dyDescent="0.45">
      <c r="K579" s="39">
        <f t="shared" si="111"/>
        <v>4.47</v>
      </c>
      <c r="L579" s="40">
        <f t="shared" si="104"/>
        <v>44.47</v>
      </c>
      <c r="M579" s="41">
        <f t="shared" si="105"/>
        <v>39.47</v>
      </c>
      <c r="N579" s="49">
        <f t="shared" si="106"/>
        <v>1.8467850692746295E-2</v>
      </c>
      <c r="O579" s="50">
        <f t="shared" si="107"/>
        <v>1.2002835802687458E-2</v>
      </c>
      <c r="P579" s="50">
        <f t="shared" si="112"/>
        <v>1.8467850692746295E-2</v>
      </c>
      <c r="Q579" s="51">
        <f t="shared" si="113"/>
        <v>1.2002835802687458E-2</v>
      </c>
      <c r="R579" s="4">
        <f t="shared" si="108"/>
        <v>-1.689235458501346E-2</v>
      </c>
      <c r="S579">
        <f t="shared" si="109"/>
        <v>0</v>
      </c>
      <c r="T579">
        <f t="shared" si="110"/>
        <v>0</v>
      </c>
      <c r="U579" s="5">
        <f>0</f>
        <v>0</v>
      </c>
      <c r="V579" s="45">
        <f t="shared" si="114"/>
        <v>0.16873637471939285</v>
      </c>
      <c r="W579" s="45">
        <f t="shared" si="115"/>
        <v>0</v>
      </c>
      <c r="X579" s="45">
        <f t="shared" si="116"/>
        <v>0</v>
      </c>
      <c r="Y579" s="46">
        <f>0</f>
        <v>0</v>
      </c>
      <c r="Z579" s="11"/>
    </row>
    <row r="580" spans="11:26" x14ac:dyDescent="0.45">
      <c r="K580" s="39">
        <f t="shared" si="111"/>
        <v>4.46</v>
      </c>
      <c r="L580" s="40">
        <f t="shared" si="104"/>
        <v>44.46</v>
      </c>
      <c r="M580" s="41">
        <f t="shared" si="105"/>
        <v>39.46</v>
      </c>
      <c r="N580" s="49">
        <f t="shared" si="106"/>
        <v>1.8451942380167244E-2</v>
      </c>
      <c r="O580" s="50">
        <f t="shared" si="107"/>
        <v>1.199249649103928E-2</v>
      </c>
      <c r="P580" s="50">
        <f t="shared" si="112"/>
        <v>1.8451942380167244E-2</v>
      </c>
      <c r="Q580" s="51">
        <f t="shared" si="113"/>
        <v>1.199249649103928E-2</v>
      </c>
      <c r="R580" s="4">
        <f t="shared" si="108"/>
        <v>-1.6856946929885278E-2</v>
      </c>
      <c r="S580">
        <f t="shared" si="109"/>
        <v>0</v>
      </c>
      <c r="T580">
        <f t="shared" si="110"/>
        <v>0</v>
      </c>
      <c r="U580" s="5">
        <f>0</f>
        <v>0</v>
      </c>
      <c r="V580" s="45">
        <f t="shared" si="114"/>
        <v>0.16890529826524298</v>
      </c>
      <c r="W580" s="45">
        <f t="shared" si="115"/>
        <v>0</v>
      </c>
      <c r="X580" s="45">
        <f t="shared" si="116"/>
        <v>0</v>
      </c>
      <c r="Y580" s="46">
        <f>0</f>
        <v>0</v>
      </c>
      <c r="Z580" s="11"/>
    </row>
    <row r="581" spans="11:26" x14ac:dyDescent="0.45">
      <c r="K581" s="39">
        <f t="shared" si="111"/>
        <v>4.45</v>
      </c>
      <c r="L581" s="40">
        <f t="shared" si="104"/>
        <v>44.45</v>
      </c>
      <c r="M581" s="41">
        <f t="shared" si="105"/>
        <v>39.450000000000003</v>
      </c>
      <c r="N581" s="49">
        <f t="shared" si="106"/>
        <v>1.8436047771099941E-2</v>
      </c>
      <c r="O581" s="50">
        <f t="shared" si="107"/>
        <v>1.1982166085733499E-2</v>
      </c>
      <c r="P581" s="50">
        <f t="shared" si="112"/>
        <v>1.8436047771099941E-2</v>
      </c>
      <c r="Q581" s="51">
        <f t="shared" si="113"/>
        <v>1.1982166085733499E-2</v>
      </c>
      <c r="R581" s="4">
        <f t="shared" si="108"/>
        <v>-1.6821595403755087E-2</v>
      </c>
      <c r="S581">
        <f t="shared" si="109"/>
        <v>0</v>
      </c>
      <c r="T581">
        <f t="shared" si="110"/>
        <v>0</v>
      </c>
      <c r="U581" s="5">
        <f>0</f>
        <v>0</v>
      </c>
      <c r="V581" s="45">
        <f t="shared" si="114"/>
        <v>0.16907386773454183</v>
      </c>
      <c r="W581" s="45">
        <f t="shared" si="115"/>
        <v>0</v>
      </c>
      <c r="X581" s="45">
        <f t="shared" si="116"/>
        <v>0</v>
      </c>
      <c r="Y581" s="46">
        <f>0</f>
        <v>0</v>
      </c>
      <c r="Z581" s="11"/>
    </row>
    <row r="582" spans="11:26" x14ac:dyDescent="0.45">
      <c r="K582" s="39">
        <f t="shared" si="111"/>
        <v>4.4400000000000004</v>
      </c>
      <c r="L582" s="40">
        <f t="shared" si="104"/>
        <v>44.44</v>
      </c>
      <c r="M582" s="41">
        <f t="shared" si="105"/>
        <v>39.44</v>
      </c>
      <c r="N582" s="49">
        <f t="shared" si="106"/>
        <v>1.8420166853740098E-2</v>
      </c>
      <c r="O582" s="50">
        <f t="shared" si="107"/>
        <v>1.1971844579098133E-2</v>
      </c>
      <c r="P582" s="50">
        <f t="shared" si="112"/>
        <v>1.8420166853740098E-2</v>
      </c>
      <c r="Q582" s="51">
        <f t="shared" si="113"/>
        <v>1.1971844579098133E-2</v>
      </c>
      <c r="R582" s="4">
        <f t="shared" si="108"/>
        <v>-1.678629990602859E-2</v>
      </c>
      <c r="S582">
        <f t="shared" si="109"/>
        <v>0</v>
      </c>
      <c r="T582">
        <f t="shared" si="110"/>
        <v>0</v>
      </c>
      <c r="U582" s="5">
        <f>0</f>
        <v>0</v>
      </c>
      <c r="V582" s="45">
        <f t="shared" si="114"/>
        <v>0.16924208368857938</v>
      </c>
      <c r="W582" s="45">
        <f t="shared" si="115"/>
        <v>0</v>
      </c>
      <c r="X582" s="45">
        <f t="shared" si="116"/>
        <v>0</v>
      </c>
      <c r="Y582" s="46">
        <f>0</f>
        <v>0</v>
      </c>
      <c r="Z582" s="11"/>
    </row>
    <row r="583" spans="11:26" x14ac:dyDescent="0.45">
      <c r="K583" s="39">
        <f t="shared" si="111"/>
        <v>4.43</v>
      </c>
      <c r="L583" s="40">
        <f t="shared" si="104"/>
        <v>44.43</v>
      </c>
      <c r="M583" s="41">
        <f t="shared" si="105"/>
        <v>39.43</v>
      </c>
      <c r="N583" s="49">
        <f t="shared" si="106"/>
        <v>1.8404299616293637E-2</v>
      </c>
      <c r="O583" s="50">
        <f t="shared" si="107"/>
        <v>1.1961531963467824E-2</v>
      </c>
      <c r="P583" s="50">
        <f t="shared" si="112"/>
        <v>1.8404299616293637E-2</v>
      </c>
      <c r="Q583" s="51">
        <f t="shared" si="113"/>
        <v>1.1961531963467824E-2</v>
      </c>
      <c r="R583" s="4">
        <f t="shared" si="108"/>
        <v>-1.6751060336326243E-2</v>
      </c>
      <c r="S583">
        <f t="shared" si="109"/>
        <v>0</v>
      </c>
      <c r="T583">
        <f t="shared" si="110"/>
        <v>0</v>
      </c>
      <c r="U583" s="5">
        <f>0</f>
        <v>0</v>
      </c>
      <c r="V583" s="45">
        <f t="shared" si="114"/>
        <v>0.16940994668763967</v>
      </c>
      <c r="W583" s="45">
        <f t="shared" si="115"/>
        <v>0</v>
      </c>
      <c r="X583" s="45">
        <f t="shared" si="116"/>
        <v>0</v>
      </c>
      <c r="Y583" s="46">
        <f>0</f>
        <v>0</v>
      </c>
      <c r="Z583" s="11"/>
    </row>
    <row r="584" spans="11:26" x14ac:dyDescent="0.45">
      <c r="K584" s="39">
        <f t="shared" si="111"/>
        <v>4.42</v>
      </c>
      <c r="L584" s="40">
        <f t="shared" si="104"/>
        <v>44.42</v>
      </c>
      <c r="M584" s="41">
        <f t="shared" si="105"/>
        <v>39.42</v>
      </c>
      <c r="N584" s="49">
        <f t="shared" si="106"/>
        <v>1.8388446046976568E-2</v>
      </c>
      <c r="O584" s="50">
        <f t="shared" si="107"/>
        <v>1.1951228231183808E-2</v>
      </c>
      <c r="P584" s="50">
        <f t="shared" si="112"/>
        <v>1.8388446046976568E-2</v>
      </c>
      <c r="Q584" s="51">
        <f t="shared" si="113"/>
        <v>1.1951228231183808E-2</v>
      </c>
      <c r="R584" s="4">
        <f t="shared" si="108"/>
        <v>-1.6715876594482551E-2</v>
      </c>
      <c r="S584">
        <f t="shared" si="109"/>
        <v>0</v>
      </c>
      <c r="T584">
        <f t="shared" si="110"/>
        <v>0</v>
      </c>
      <c r="U584" s="5">
        <f>0</f>
        <v>0</v>
      </c>
      <c r="V584" s="45">
        <f t="shared" si="114"/>
        <v>0.16957745729100293</v>
      </c>
      <c r="W584" s="45">
        <f t="shared" si="115"/>
        <v>0</v>
      </c>
      <c r="X584" s="45">
        <f t="shared" si="116"/>
        <v>0</v>
      </c>
      <c r="Y584" s="46">
        <f>0</f>
        <v>0</v>
      </c>
      <c r="Z584" s="11"/>
    </row>
    <row r="585" spans="11:26" x14ac:dyDescent="0.45">
      <c r="K585" s="39">
        <f t="shared" si="111"/>
        <v>4.41</v>
      </c>
      <c r="L585" s="40">
        <f t="shared" si="104"/>
        <v>44.41</v>
      </c>
      <c r="M585" s="41">
        <f t="shared" si="105"/>
        <v>39.409999999999997</v>
      </c>
      <c r="N585" s="49">
        <f t="shared" si="106"/>
        <v>1.8372606134015097E-2</v>
      </c>
      <c r="O585" s="50">
        <f t="shared" si="107"/>
        <v>1.1940933374593911E-2</v>
      </c>
      <c r="P585" s="50">
        <f t="shared" si="112"/>
        <v>1.8372606134015097E-2</v>
      </c>
      <c r="Q585" s="51">
        <f t="shared" si="113"/>
        <v>1.1940933374593911E-2</v>
      </c>
      <c r="R585" s="4">
        <f t="shared" si="108"/>
        <v>-1.6680748580545662E-2</v>
      </c>
      <c r="S585">
        <f t="shared" si="109"/>
        <v>0</v>
      </c>
      <c r="T585">
        <f t="shared" si="110"/>
        <v>0</v>
      </c>
      <c r="U585" s="5">
        <f>0</f>
        <v>0</v>
      </c>
      <c r="V585" s="45">
        <f t="shared" si="114"/>
        <v>0.16974461605694777</v>
      </c>
      <c r="W585" s="45">
        <f t="shared" si="115"/>
        <v>0</v>
      </c>
      <c r="X585" s="45">
        <f t="shared" si="116"/>
        <v>0</v>
      </c>
      <c r="Y585" s="46">
        <f>0</f>
        <v>0</v>
      </c>
      <c r="Z585" s="11"/>
    </row>
    <row r="586" spans="11:26" x14ac:dyDescent="0.45">
      <c r="K586" s="39">
        <f t="shared" si="111"/>
        <v>4.4000000000000004</v>
      </c>
      <c r="L586" s="40">
        <f t="shared" si="104"/>
        <v>44.4</v>
      </c>
      <c r="M586" s="41">
        <f t="shared" si="105"/>
        <v>39.4</v>
      </c>
      <c r="N586" s="49">
        <f t="shared" si="106"/>
        <v>1.8356779865645562E-2</v>
      </c>
      <c r="O586" s="50">
        <f t="shared" si="107"/>
        <v>1.1930647386052569E-2</v>
      </c>
      <c r="P586" s="50">
        <f t="shared" si="112"/>
        <v>1.8356779865645562E-2</v>
      </c>
      <c r="Q586" s="51">
        <f t="shared" si="113"/>
        <v>1.1930647386052569E-2</v>
      </c>
      <c r="R586" s="4">
        <f t="shared" si="108"/>
        <v>-1.6645676194776863E-2</v>
      </c>
      <c r="S586">
        <f t="shared" si="109"/>
        <v>0</v>
      </c>
      <c r="T586">
        <f t="shared" si="110"/>
        <v>0</v>
      </c>
      <c r="U586" s="5">
        <f>0</f>
        <v>0</v>
      </c>
      <c r="V586" s="45">
        <f t="shared" si="114"/>
        <v>0.16991142354275324</v>
      </c>
      <c r="W586" s="45">
        <f t="shared" si="115"/>
        <v>0</v>
      </c>
      <c r="X586" s="45">
        <f t="shared" si="116"/>
        <v>0</v>
      </c>
      <c r="Y586" s="46">
        <f>0</f>
        <v>0</v>
      </c>
      <c r="Z586" s="11"/>
    </row>
    <row r="587" spans="11:26" x14ac:dyDescent="0.45">
      <c r="K587" s="39">
        <f t="shared" si="111"/>
        <v>4.3899999999999997</v>
      </c>
      <c r="L587" s="40">
        <f t="shared" si="104"/>
        <v>44.39</v>
      </c>
      <c r="M587" s="41">
        <f t="shared" si="105"/>
        <v>39.39</v>
      </c>
      <c r="N587" s="49">
        <f t="shared" si="106"/>
        <v>1.8340967230114434E-2</v>
      </c>
      <c r="O587" s="50">
        <f t="shared" si="107"/>
        <v>1.1920370257920794E-2</v>
      </c>
      <c r="P587" s="50">
        <f t="shared" si="112"/>
        <v>1.8340967230114434E-2</v>
      </c>
      <c r="Q587" s="51">
        <f t="shared" si="113"/>
        <v>1.1920370257920794E-2</v>
      </c>
      <c r="R587" s="4">
        <f t="shared" si="108"/>
        <v>-1.661065933764996E-2</v>
      </c>
      <c r="S587">
        <f t="shared" si="109"/>
        <v>0</v>
      </c>
      <c r="T587">
        <f t="shared" si="110"/>
        <v>0</v>
      </c>
      <c r="U587" s="5">
        <f>0</f>
        <v>0</v>
      </c>
      <c r="V587" s="45">
        <f t="shared" si="114"/>
        <v>0.170077880304701</v>
      </c>
      <c r="W587" s="45">
        <f t="shared" si="115"/>
        <v>0</v>
      </c>
      <c r="X587" s="45">
        <f t="shared" si="116"/>
        <v>0</v>
      </c>
      <c r="Y587" s="46">
        <f>0</f>
        <v>0</v>
      </c>
      <c r="Z587" s="11"/>
    </row>
    <row r="588" spans="11:26" x14ac:dyDescent="0.45">
      <c r="K588" s="39">
        <f t="shared" si="111"/>
        <v>4.38</v>
      </c>
      <c r="L588" s="40">
        <f t="shared" si="104"/>
        <v>44.38</v>
      </c>
      <c r="M588" s="41">
        <f t="shared" si="105"/>
        <v>39.380000000000003</v>
      </c>
      <c r="N588" s="49">
        <f t="shared" si="106"/>
        <v>1.8325168215678308E-2</v>
      </c>
      <c r="O588" s="50">
        <f t="shared" si="107"/>
        <v>1.1910101982566174E-2</v>
      </c>
      <c r="P588" s="50">
        <f t="shared" si="112"/>
        <v>1.8325168215678308E-2</v>
      </c>
      <c r="Q588" s="51">
        <f t="shared" si="113"/>
        <v>1.1910101982566174E-2</v>
      </c>
      <c r="R588" s="4">
        <f t="shared" si="108"/>
        <v>-1.6575697909850841E-2</v>
      </c>
      <c r="S588">
        <f t="shared" si="109"/>
        <v>0</v>
      </c>
      <c r="T588">
        <f t="shared" si="110"/>
        <v>0</v>
      </c>
      <c r="U588" s="5">
        <f>0</f>
        <v>0</v>
      </c>
      <c r="V588" s="45">
        <f t="shared" si="114"/>
        <v>0.17024398689807749</v>
      </c>
      <c r="W588" s="45">
        <f t="shared" si="115"/>
        <v>0</v>
      </c>
      <c r="X588" s="45">
        <f t="shared" si="116"/>
        <v>0</v>
      </c>
      <c r="Y588" s="46">
        <f>0</f>
        <v>0</v>
      </c>
      <c r="Z588" s="11"/>
    </row>
    <row r="589" spans="11:26" x14ac:dyDescent="0.45">
      <c r="K589" s="39">
        <f t="shared" si="111"/>
        <v>4.37</v>
      </c>
      <c r="L589" s="40">
        <f t="shared" si="104"/>
        <v>44.37</v>
      </c>
      <c r="M589" s="41">
        <f t="shared" si="105"/>
        <v>39.369999999999997</v>
      </c>
      <c r="N589" s="49">
        <f t="shared" si="106"/>
        <v>1.8309382810603878E-2</v>
      </c>
      <c r="O589" s="50">
        <f t="shared" si="107"/>
        <v>1.189984255236287E-2</v>
      </c>
      <c r="P589" s="50">
        <f t="shared" si="112"/>
        <v>1.8309382810603878E-2</v>
      </c>
      <c r="Q589" s="51">
        <f t="shared" si="113"/>
        <v>1.189984255236287E-2</v>
      </c>
      <c r="R589" s="4">
        <f t="shared" si="108"/>
        <v>-1.6540791812276894E-2</v>
      </c>
      <c r="S589">
        <f t="shared" si="109"/>
        <v>0</v>
      </c>
      <c r="T589">
        <f t="shared" si="110"/>
        <v>0</v>
      </c>
      <c r="U589" s="5">
        <f>0</f>
        <v>0</v>
      </c>
      <c r="V589" s="45">
        <f t="shared" si="114"/>
        <v>0.170409743877176</v>
      </c>
      <c r="W589" s="45">
        <f t="shared" si="115"/>
        <v>0</v>
      </c>
      <c r="X589" s="45">
        <f t="shared" si="116"/>
        <v>0</v>
      </c>
      <c r="Y589" s="46">
        <f>0</f>
        <v>0</v>
      </c>
      <c r="Z589" s="11"/>
    </row>
    <row r="590" spans="11:26" x14ac:dyDescent="0.45">
      <c r="K590" s="39">
        <f t="shared" si="111"/>
        <v>4.3600000000000003</v>
      </c>
      <c r="L590" s="40">
        <f t="shared" si="104"/>
        <v>44.36</v>
      </c>
      <c r="M590" s="41">
        <f t="shared" si="105"/>
        <v>39.36</v>
      </c>
      <c r="N590" s="49">
        <f t="shared" si="106"/>
        <v>1.8293611003167991E-2</v>
      </c>
      <c r="O590" s="50">
        <f t="shared" si="107"/>
        <v>1.1889591959691631E-2</v>
      </c>
      <c r="P590" s="50">
        <f t="shared" si="112"/>
        <v>1.8293611003167991E-2</v>
      </c>
      <c r="Q590" s="51">
        <f t="shared" si="113"/>
        <v>1.1889591959691631E-2</v>
      </c>
      <c r="R590" s="4">
        <f t="shared" si="108"/>
        <v>-1.650594094603659E-2</v>
      </c>
      <c r="S590">
        <f t="shared" si="109"/>
        <v>0</v>
      </c>
      <c r="T590">
        <f t="shared" si="110"/>
        <v>0</v>
      </c>
      <c r="U590" s="5">
        <f>0</f>
        <v>0</v>
      </c>
      <c r="V590" s="45">
        <f t="shared" si="114"/>
        <v>0.17057515179529878</v>
      </c>
      <c r="W590" s="45">
        <f t="shared" si="115"/>
        <v>0</v>
      </c>
      <c r="X590" s="45">
        <f t="shared" si="116"/>
        <v>0</v>
      </c>
      <c r="Y590" s="46">
        <f>0</f>
        <v>0</v>
      </c>
      <c r="Z590" s="11"/>
    </row>
    <row r="591" spans="11:26" x14ac:dyDescent="0.45">
      <c r="K591" s="39">
        <f t="shared" si="111"/>
        <v>4.3499999999999996</v>
      </c>
      <c r="L591" s="40">
        <f t="shared" si="104"/>
        <v>44.35</v>
      </c>
      <c r="M591" s="41">
        <f t="shared" si="105"/>
        <v>39.35</v>
      </c>
      <c r="N591" s="49">
        <f t="shared" si="106"/>
        <v>1.8277852781657548E-2</v>
      </c>
      <c r="O591" s="50">
        <f t="shared" si="107"/>
        <v>1.1879350196939751E-2</v>
      </c>
      <c r="P591" s="50">
        <f t="shared" si="112"/>
        <v>1.8277852781657548E-2</v>
      </c>
      <c r="Q591" s="51">
        <f t="shared" si="113"/>
        <v>1.1879350196939751E-2</v>
      </c>
      <c r="R591" s="4">
        <f t="shared" si="108"/>
        <v>-1.647114521244885E-2</v>
      </c>
      <c r="S591">
        <f t="shared" si="109"/>
        <v>0</v>
      </c>
      <c r="T591">
        <f t="shared" si="110"/>
        <v>0</v>
      </c>
      <c r="U591" s="5">
        <f>0</f>
        <v>0</v>
      </c>
      <c r="V591" s="45">
        <f t="shared" si="114"/>
        <v>0.17074021120475916</v>
      </c>
      <c r="W591" s="45">
        <f t="shared" si="115"/>
        <v>0</v>
      </c>
      <c r="X591" s="45">
        <f t="shared" si="116"/>
        <v>0</v>
      </c>
      <c r="Y591" s="46">
        <f>0</f>
        <v>0</v>
      </c>
      <c r="Z591" s="11"/>
    </row>
    <row r="592" spans="11:26" x14ac:dyDescent="0.45">
      <c r="K592" s="39">
        <f t="shared" si="111"/>
        <v>4.34</v>
      </c>
      <c r="L592" s="40">
        <f t="shared" si="104"/>
        <v>44.34</v>
      </c>
      <c r="M592" s="41">
        <f t="shared" si="105"/>
        <v>39.340000000000003</v>
      </c>
      <c r="N592" s="49">
        <f t="shared" si="106"/>
        <v>1.8262108134369549E-2</v>
      </c>
      <c r="O592" s="50">
        <f t="shared" si="107"/>
        <v>1.1869117256501086E-2</v>
      </c>
      <c r="P592" s="50">
        <f t="shared" si="112"/>
        <v>1.8262108134369549E-2</v>
      </c>
      <c r="Q592" s="51">
        <f t="shared" si="113"/>
        <v>1.1869117256501086E-2</v>
      </c>
      <c r="R592" s="4">
        <f t="shared" si="108"/>
        <v>-1.6436404513042579E-2</v>
      </c>
      <c r="S592">
        <f t="shared" si="109"/>
        <v>0</v>
      </c>
      <c r="T592">
        <f t="shared" si="110"/>
        <v>0</v>
      </c>
      <c r="U592" s="5">
        <f>0</f>
        <v>0</v>
      </c>
      <c r="V592" s="45">
        <f t="shared" si="114"/>
        <v>0.17090492265688365</v>
      </c>
      <c r="W592" s="45">
        <f t="shared" si="115"/>
        <v>0</v>
      </c>
      <c r="X592" s="45">
        <f t="shared" si="116"/>
        <v>0</v>
      </c>
      <c r="Y592" s="46">
        <f>0</f>
        <v>0</v>
      </c>
      <c r="Z592" s="11"/>
    </row>
    <row r="593" spans="11:26" x14ac:dyDescent="0.45">
      <c r="K593" s="39">
        <f t="shared" si="111"/>
        <v>4.33</v>
      </c>
      <c r="L593" s="40">
        <f t="shared" si="104"/>
        <v>44.33</v>
      </c>
      <c r="M593" s="41">
        <f t="shared" si="105"/>
        <v>39.33</v>
      </c>
      <c r="N593" s="49">
        <f t="shared" si="106"/>
        <v>1.8246377049611084E-2</v>
      </c>
      <c r="O593" s="50">
        <f t="shared" si="107"/>
        <v>1.185889313077604E-2</v>
      </c>
      <c r="P593" s="50">
        <f t="shared" si="112"/>
        <v>1.8246377049611084E-2</v>
      </c>
      <c r="Q593" s="51">
        <f t="shared" si="113"/>
        <v>1.185889313077604E-2</v>
      </c>
      <c r="R593" s="4">
        <f t="shared" si="108"/>
        <v>-1.640171874955618E-2</v>
      </c>
      <c r="S593">
        <f t="shared" si="109"/>
        <v>0</v>
      </c>
      <c r="T593">
        <f t="shared" si="110"/>
        <v>0</v>
      </c>
      <c r="U593" s="5">
        <f>0</f>
        <v>0</v>
      </c>
      <c r="V593" s="45">
        <f t="shared" si="114"/>
        <v>0.17106928670201407</v>
      </c>
      <c r="W593" s="45">
        <f t="shared" si="115"/>
        <v>0</v>
      </c>
      <c r="X593" s="45">
        <f t="shared" si="116"/>
        <v>0</v>
      </c>
      <c r="Y593" s="46">
        <f>0</f>
        <v>0</v>
      </c>
      <c r="Z593" s="11"/>
    </row>
    <row r="594" spans="11:26" x14ac:dyDescent="0.45">
      <c r="K594" s="39">
        <f t="shared" si="111"/>
        <v>4.32</v>
      </c>
      <c r="L594" s="40">
        <f t="shared" si="104"/>
        <v>44.32</v>
      </c>
      <c r="M594" s="41">
        <f t="shared" si="105"/>
        <v>39.32</v>
      </c>
      <c r="N594" s="49">
        <f t="shared" si="106"/>
        <v>1.8230659515699323E-2</v>
      </c>
      <c r="O594" s="50">
        <f t="shared" si="107"/>
        <v>1.1848677812171578E-2</v>
      </c>
      <c r="P594" s="50">
        <f t="shared" si="112"/>
        <v>1.8230659515699323E-2</v>
      </c>
      <c r="Q594" s="51">
        <f t="shared" si="113"/>
        <v>1.1848677812171578E-2</v>
      </c>
      <c r="R594" s="4">
        <f t="shared" si="108"/>
        <v>-1.6367087823937032E-2</v>
      </c>
      <c r="S594">
        <f t="shared" si="109"/>
        <v>0</v>
      </c>
      <c r="T594">
        <f t="shared" si="110"/>
        <v>0</v>
      </c>
      <c r="U594" s="5">
        <f>0</f>
        <v>0</v>
      </c>
      <c r="V594" s="45">
        <f t="shared" si="114"/>
        <v>0.17123330388950964</v>
      </c>
      <c r="W594" s="45">
        <f t="shared" si="115"/>
        <v>0</v>
      </c>
      <c r="X594" s="45">
        <f t="shared" si="116"/>
        <v>0</v>
      </c>
      <c r="Y594" s="46">
        <f>0</f>
        <v>0</v>
      </c>
      <c r="Z594" s="11"/>
    </row>
    <row r="595" spans="11:26" x14ac:dyDescent="0.45">
      <c r="K595" s="39">
        <f t="shared" si="111"/>
        <v>4.3099999999999996</v>
      </c>
      <c r="L595" s="40">
        <f t="shared" si="104"/>
        <v>44.31</v>
      </c>
      <c r="M595" s="41">
        <f t="shared" si="105"/>
        <v>39.31</v>
      </c>
      <c r="N595" s="49">
        <f t="shared" si="106"/>
        <v>1.821495552096148E-2</v>
      </c>
      <c r="O595" s="50">
        <f t="shared" si="107"/>
        <v>1.1838471293101189E-2</v>
      </c>
      <c r="P595" s="50">
        <f t="shared" si="112"/>
        <v>1.821495552096148E-2</v>
      </c>
      <c r="Q595" s="51">
        <f t="shared" si="113"/>
        <v>1.1838471293101189E-2</v>
      </c>
      <c r="R595" s="4">
        <f t="shared" si="108"/>
        <v>-1.6332511638340923E-2</v>
      </c>
      <c r="S595">
        <f t="shared" si="109"/>
        <v>0</v>
      </c>
      <c r="T595">
        <f t="shared" si="110"/>
        <v>0</v>
      </c>
      <c r="U595" s="5">
        <f>0</f>
        <v>0</v>
      </c>
      <c r="V595" s="45">
        <f t="shared" si="114"/>
        <v>0.17139697476774901</v>
      </c>
      <c r="W595" s="45">
        <f t="shared" si="115"/>
        <v>0</v>
      </c>
      <c r="X595" s="45">
        <f t="shared" si="116"/>
        <v>0</v>
      </c>
      <c r="Y595" s="46">
        <f>0</f>
        <v>0</v>
      </c>
      <c r="Z595" s="11"/>
    </row>
    <row r="596" spans="11:26" x14ac:dyDescent="0.45">
      <c r="K596" s="39">
        <f t="shared" si="111"/>
        <v>4.3</v>
      </c>
      <c r="L596" s="40">
        <f t="shared" si="104"/>
        <v>44.3</v>
      </c>
      <c r="M596" s="41">
        <f t="shared" si="105"/>
        <v>39.299999999999997</v>
      </c>
      <c r="N596" s="49">
        <f t="shared" si="106"/>
        <v>1.8199265053734825E-2</v>
      </c>
      <c r="O596" s="50">
        <f t="shared" si="107"/>
        <v>1.1828273565984902E-2</v>
      </c>
      <c r="P596" s="50">
        <f t="shared" si="112"/>
        <v>1.8199265053734825E-2</v>
      </c>
      <c r="Q596" s="51">
        <f t="shared" si="113"/>
        <v>1.1828273565984902E-2</v>
      </c>
      <c r="R596" s="4">
        <f t="shared" si="108"/>
        <v>-1.629799009513162E-2</v>
      </c>
      <c r="S596">
        <f t="shared" si="109"/>
        <v>0</v>
      </c>
      <c r="T596">
        <f t="shared" si="110"/>
        <v>0</v>
      </c>
      <c r="U596" s="5">
        <f>0</f>
        <v>0</v>
      </c>
      <c r="V596" s="45">
        <f t="shared" si="114"/>
        <v>0.17156029988413243</v>
      </c>
      <c r="W596" s="45">
        <f t="shared" si="115"/>
        <v>0</v>
      </c>
      <c r="X596" s="45">
        <f t="shared" si="116"/>
        <v>0</v>
      </c>
      <c r="Y596" s="46">
        <f>0</f>
        <v>0</v>
      </c>
      <c r="Z596" s="11"/>
    </row>
    <row r="597" spans="11:26" x14ac:dyDescent="0.45">
      <c r="K597" s="39">
        <f t="shared" si="111"/>
        <v>4.29</v>
      </c>
      <c r="L597" s="40">
        <f t="shared" si="104"/>
        <v>44.29</v>
      </c>
      <c r="M597" s="41">
        <f t="shared" si="105"/>
        <v>39.29</v>
      </c>
      <c r="N597" s="49">
        <f t="shared" si="106"/>
        <v>1.8183588102366699E-2</v>
      </c>
      <c r="O597" s="50">
        <f t="shared" si="107"/>
        <v>1.1818084623249285E-2</v>
      </c>
      <c r="P597" s="50">
        <f t="shared" si="112"/>
        <v>1.8183588102366699E-2</v>
      </c>
      <c r="Q597" s="51">
        <f t="shared" si="113"/>
        <v>1.1818084623249285E-2</v>
      </c>
      <c r="R597" s="4">
        <f t="shared" si="108"/>
        <v>-1.6263523096880325E-2</v>
      </c>
      <c r="S597">
        <f t="shared" si="109"/>
        <v>0</v>
      </c>
      <c r="T597">
        <f t="shared" si="110"/>
        <v>0</v>
      </c>
      <c r="U597" s="5">
        <f>0</f>
        <v>0</v>
      </c>
      <c r="V597" s="45">
        <f t="shared" si="114"/>
        <v>0.17172327978508375</v>
      </c>
      <c r="W597" s="45">
        <f t="shared" si="115"/>
        <v>0</v>
      </c>
      <c r="X597" s="45">
        <f t="shared" si="116"/>
        <v>0</v>
      </c>
      <c r="Y597" s="46">
        <f>0</f>
        <v>0</v>
      </c>
      <c r="Z597" s="11"/>
    </row>
    <row r="598" spans="11:26" x14ac:dyDescent="0.45">
      <c r="K598" s="39">
        <f t="shared" si="111"/>
        <v>4.28</v>
      </c>
      <c r="L598" s="40">
        <f t="shared" si="104"/>
        <v>44.28</v>
      </c>
      <c r="M598" s="41">
        <f t="shared" si="105"/>
        <v>39.28</v>
      </c>
      <c r="N598" s="49">
        <f t="shared" si="106"/>
        <v>1.8167924655214458E-2</v>
      </c>
      <c r="O598" s="50">
        <f t="shared" si="107"/>
        <v>1.1807904457327417E-2</v>
      </c>
      <c r="P598" s="50">
        <f t="shared" si="112"/>
        <v>1.8167924655214458E-2</v>
      </c>
      <c r="Q598" s="51">
        <f t="shared" si="113"/>
        <v>1.1807904457327417E-2</v>
      </c>
      <c r="R598" s="4">
        <f t="shared" si="108"/>
        <v>-1.6229110546365159E-2</v>
      </c>
      <c r="S598">
        <f t="shared" si="109"/>
        <v>0</v>
      </c>
      <c r="T598">
        <f t="shared" si="110"/>
        <v>0</v>
      </c>
      <c r="U598" s="5">
        <f>0</f>
        <v>0</v>
      </c>
      <c r="V598" s="45">
        <f t="shared" si="114"/>
        <v>0.17188591501605255</v>
      </c>
      <c r="W598" s="45">
        <f t="shared" si="115"/>
        <v>0</v>
      </c>
      <c r="X598" s="45">
        <f t="shared" si="116"/>
        <v>0</v>
      </c>
      <c r="Y598" s="46">
        <f>0</f>
        <v>0</v>
      </c>
      <c r="Z598" s="11"/>
    </row>
    <row r="599" spans="11:26" x14ac:dyDescent="0.45">
      <c r="K599" s="39">
        <f t="shared" si="111"/>
        <v>4.2699999999999996</v>
      </c>
      <c r="L599" s="40">
        <f t="shared" si="104"/>
        <v>44.269999999999996</v>
      </c>
      <c r="M599" s="41">
        <f t="shared" si="105"/>
        <v>39.269999999999996</v>
      </c>
      <c r="N599" s="49">
        <f t="shared" si="106"/>
        <v>1.8152274700645486E-2</v>
      </c>
      <c r="O599" s="50">
        <f t="shared" si="107"/>
        <v>1.1797733060658898E-2</v>
      </c>
      <c r="P599" s="50">
        <f t="shared" si="112"/>
        <v>1.8152274700645486E-2</v>
      </c>
      <c r="Q599" s="51">
        <f t="shared" si="113"/>
        <v>1.1797733060658898E-2</v>
      </c>
      <c r="R599" s="4">
        <f t="shared" si="108"/>
        <v>-1.6194752346570668E-2</v>
      </c>
      <c r="S599">
        <f t="shared" si="109"/>
        <v>0</v>
      </c>
      <c r="T599">
        <f t="shared" si="110"/>
        <v>0</v>
      </c>
      <c r="U599" s="5">
        <f>0</f>
        <v>0</v>
      </c>
      <c r="V599" s="45">
        <f t="shared" si="114"/>
        <v>0.1720482061215162</v>
      </c>
      <c r="W599" s="45">
        <f t="shared" si="115"/>
        <v>0</v>
      </c>
      <c r="X599" s="45">
        <f t="shared" si="116"/>
        <v>0</v>
      </c>
      <c r="Y599" s="46">
        <f>0</f>
        <v>0</v>
      </c>
      <c r="Z599" s="11"/>
    </row>
    <row r="600" spans="11:26" x14ac:dyDescent="0.45">
      <c r="K600" s="39">
        <f t="shared" si="111"/>
        <v>4.26</v>
      </c>
      <c r="L600" s="40">
        <f t="shared" si="104"/>
        <v>44.26</v>
      </c>
      <c r="M600" s="41">
        <f t="shared" si="105"/>
        <v>39.26</v>
      </c>
      <c r="N600" s="49">
        <f t="shared" si="106"/>
        <v>1.8136638227037198E-2</v>
      </c>
      <c r="O600" s="50">
        <f t="shared" si="107"/>
        <v>1.1787570425689849E-2</v>
      </c>
      <c r="P600" s="50">
        <f t="shared" si="112"/>
        <v>1.8136638227037198E-2</v>
      </c>
      <c r="Q600" s="51">
        <f t="shared" si="113"/>
        <v>1.1787570425689849E-2</v>
      </c>
      <c r="R600" s="4">
        <f t="shared" si="108"/>
        <v>-1.6160448400687331E-2</v>
      </c>
      <c r="S600">
        <f t="shared" si="109"/>
        <v>0</v>
      </c>
      <c r="T600">
        <f t="shared" si="110"/>
        <v>0</v>
      </c>
      <c r="U600" s="5">
        <f>0</f>
        <v>0</v>
      </c>
      <c r="V600" s="45">
        <f t="shared" si="114"/>
        <v>0.17221015364498191</v>
      </c>
      <c r="W600" s="45">
        <f t="shared" si="115"/>
        <v>0</v>
      </c>
      <c r="X600" s="45">
        <f t="shared" si="116"/>
        <v>0</v>
      </c>
      <c r="Y600" s="46">
        <f>0</f>
        <v>0</v>
      </c>
      <c r="Z600" s="11"/>
    </row>
    <row r="601" spans="11:26" x14ac:dyDescent="0.45">
      <c r="K601" s="39">
        <f t="shared" si="111"/>
        <v>4.25</v>
      </c>
      <c r="L601" s="40">
        <f t="shared" si="104"/>
        <v>44.25</v>
      </c>
      <c r="M601" s="41">
        <f t="shared" si="105"/>
        <v>39.25</v>
      </c>
      <c r="N601" s="49">
        <f t="shared" si="106"/>
        <v>1.8121015222777027E-2</v>
      </c>
      <c r="O601" s="50">
        <f t="shared" si="107"/>
        <v>1.1777416544872889E-2</v>
      </c>
      <c r="P601" s="50">
        <f t="shared" si="112"/>
        <v>1.8121015222777027E-2</v>
      </c>
      <c r="Q601" s="51">
        <f t="shared" si="113"/>
        <v>1.1777416544872889E-2</v>
      </c>
      <c r="R601" s="4">
        <f t="shared" si="108"/>
        <v>-1.6126198612111051E-2</v>
      </c>
      <c r="S601">
        <f t="shared" si="109"/>
        <v>0</v>
      </c>
      <c r="T601">
        <f t="shared" si="110"/>
        <v>0</v>
      </c>
      <c r="U601" s="5">
        <f>0</f>
        <v>0</v>
      </c>
      <c r="V601" s="45">
        <f t="shared" si="114"/>
        <v>0.17237175812898878</v>
      </c>
      <c r="W601" s="45">
        <f t="shared" si="115"/>
        <v>0</v>
      </c>
      <c r="X601" s="45">
        <f t="shared" si="116"/>
        <v>0</v>
      </c>
      <c r="Y601" s="46">
        <f>0</f>
        <v>0</v>
      </c>
      <c r="Z601" s="11"/>
    </row>
    <row r="602" spans="11:26" x14ac:dyDescent="0.45">
      <c r="K602" s="39">
        <f t="shared" si="111"/>
        <v>4.24</v>
      </c>
      <c r="L602" s="40">
        <f t="shared" ref="L602:L665" si="117">InitialAge_x+K602</f>
        <v>44.24</v>
      </c>
      <c r="M602" s="41">
        <f t="shared" ref="M602:M665" si="118">InitialAge_y+K602</f>
        <v>39.24</v>
      </c>
      <c r="N602" s="49">
        <f t="shared" ref="N602:N665" si="119">muParameter_B*muParameter_c^L602</f>
        <v>1.8105405676262388E-2</v>
      </c>
      <c r="O602" s="50">
        <f t="shared" ref="O602:O665" si="120">muParameter_B*muParameter_c^M602</f>
        <v>1.1767271410667145E-2</v>
      </c>
      <c r="P602" s="50">
        <f t="shared" si="112"/>
        <v>1.8105405676262388E-2</v>
      </c>
      <c r="Q602" s="51">
        <f t="shared" si="113"/>
        <v>1.1767271410667145E-2</v>
      </c>
      <c r="R602" s="4">
        <f t="shared" ref="R602:R665" si="121">V602*Delta-Constant_b1-(O602*(Constant_b12+W602-V602)+N602*(Constant_b13+X602-V602))</f>
        <v>-1.6092002884442645E-2</v>
      </c>
      <c r="S602">
        <f t="shared" ref="S602:S665" si="122">W602*Delta-Constant_b2-(P602*(Constant_b24+Y602-W602)+Q602*(Constant_b34+Y602-X602))</f>
        <v>0</v>
      </c>
      <c r="T602">
        <f t="shared" ref="T602:T665" si="123">X602*Delta-Constant_b3-(Q602*(Constant_b34+Y602-X602))</f>
        <v>0</v>
      </c>
      <c r="U602" s="5">
        <f>0</f>
        <v>0</v>
      </c>
      <c r="V602" s="45">
        <f t="shared" si="114"/>
        <v>0.17253302011510988</v>
      </c>
      <c r="W602" s="45">
        <f t="shared" si="115"/>
        <v>0</v>
      </c>
      <c r="X602" s="45">
        <f t="shared" si="116"/>
        <v>0</v>
      </c>
      <c r="Y602" s="46">
        <f>0</f>
        <v>0</v>
      </c>
      <c r="Z602" s="11"/>
    </row>
    <row r="603" spans="11:26" x14ac:dyDescent="0.45">
      <c r="K603" s="39">
        <f t="shared" ref="K603:K666" si="124">ROUND(K602-StepSize,2)</f>
        <v>4.2300000000000004</v>
      </c>
      <c r="L603" s="40">
        <f t="shared" si="117"/>
        <v>44.230000000000004</v>
      </c>
      <c r="M603" s="41">
        <f t="shared" si="118"/>
        <v>39.230000000000004</v>
      </c>
      <c r="N603" s="49">
        <f t="shared" si="119"/>
        <v>1.8089809575900704E-2</v>
      </c>
      <c r="O603" s="50">
        <f t="shared" si="120"/>
        <v>1.1757135015538229E-2</v>
      </c>
      <c r="P603" s="50">
        <f t="shared" ref="P603:P666" si="125">N603</f>
        <v>1.8089809575900704E-2</v>
      </c>
      <c r="Q603" s="51">
        <f t="shared" ref="Q603:Q666" si="126">O603</f>
        <v>1.1757135015538229E-2</v>
      </c>
      <c r="R603" s="4">
        <f t="shared" si="121"/>
        <v>-1.6057861121487341E-2</v>
      </c>
      <c r="S603">
        <f t="shared" si="122"/>
        <v>0</v>
      </c>
      <c r="T603">
        <f t="shared" si="123"/>
        <v>0</v>
      </c>
      <c r="U603" s="5">
        <f>0</f>
        <v>0</v>
      </c>
      <c r="V603" s="45">
        <f t="shared" ref="V603:V666" si="127">V602-StepSize*(R602)</f>
        <v>0.17269394014395431</v>
      </c>
      <c r="W603" s="45">
        <f t="shared" ref="W603:W666" si="128">W602-StepSize*(S602)</f>
        <v>0</v>
      </c>
      <c r="X603" s="45">
        <f t="shared" ref="X603:X666" si="129">X602-StepSize*(T602)</f>
        <v>0</v>
      </c>
      <c r="Y603" s="46">
        <f>0</f>
        <v>0</v>
      </c>
      <c r="Z603" s="11"/>
    </row>
    <row r="604" spans="11:26" x14ac:dyDescent="0.45">
      <c r="K604" s="39">
        <f t="shared" si="124"/>
        <v>4.22</v>
      </c>
      <c r="L604" s="40">
        <f t="shared" si="117"/>
        <v>44.22</v>
      </c>
      <c r="M604" s="41">
        <f t="shared" si="118"/>
        <v>39.22</v>
      </c>
      <c r="N604" s="49">
        <f t="shared" si="119"/>
        <v>1.8074226910109372E-2</v>
      </c>
      <c r="O604" s="50">
        <f t="shared" si="120"/>
        <v>1.1747007351958239E-2</v>
      </c>
      <c r="P604" s="50">
        <f t="shared" si="125"/>
        <v>1.8074226910109372E-2</v>
      </c>
      <c r="Q604" s="51">
        <f t="shared" si="126"/>
        <v>1.1747007351958239E-2</v>
      </c>
      <c r="R604" s="4">
        <f t="shared" si="121"/>
        <v>-1.602377322725429E-2</v>
      </c>
      <c r="S604">
        <f t="shared" si="122"/>
        <v>0</v>
      </c>
      <c r="T604">
        <f t="shared" si="123"/>
        <v>0</v>
      </c>
      <c r="U604" s="5">
        <f>0</f>
        <v>0</v>
      </c>
      <c r="V604" s="45">
        <f t="shared" si="127"/>
        <v>0.17285451875516919</v>
      </c>
      <c r="W604" s="45">
        <f t="shared" si="128"/>
        <v>0</v>
      </c>
      <c r="X604" s="45">
        <f t="shared" si="129"/>
        <v>0</v>
      </c>
      <c r="Y604" s="46">
        <f>0</f>
        <v>0</v>
      </c>
      <c r="Z604" s="11"/>
    </row>
    <row r="605" spans="11:26" x14ac:dyDescent="0.45">
      <c r="K605" s="39">
        <f t="shared" si="124"/>
        <v>4.21</v>
      </c>
      <c r="L605" s="40">
        <f t="shared" si="117"/>
        <v>44.21</v>
      </c>
      <c r="M605" s="41">
        <f t="shared" si="118"/>
        <v>39.21</v>
      </c>
      <c r="N605" s="49">
        <f t="shared" si="119"/>
        <v>1.8058657667315799E-2</v>
      </c>
      <c r="O605" s="50">
        <f t="shared" si="120"/>
        <v>1.17368884124058E-2</v>
      </c>
      <c r="P605" s="50">
        <f t="shared" si="125"/>
        <v>1.8058657667315799E-2</v>
      </c>
      <c r="Q605" s="51">
        <f t="shared" si="126"/>
        <v>1.17368884124058E-2</v>
      </c>
      <c r="R605" s="4">
        <f t="shared" si="121"/>
        <v>-1.5989739105956129E-2</v>
      </c>
      <c r="S605">
        <f t="shared" si="122"/>
        <v>0</v>
      </c>
      <c r="T605">
        <f t="shared" si="123"/>
        <v>0</v>
      </c>
      <c r="U605" s="5">
        <f>0</f>
        <v>0</v>
      </c>
      <c r="V605" s="45">
        <f t="shared" si="127"/>
        <v>0.17301475648744175</v>
      </c>
      <c r="W605" s="45">
        <f t="shared" si="128"/>
        <v>0</v>
      </c>
      <c r="X605" s="45">
        <f t="shared" si="129"/>
        <v>0</v>
      </c>
      <c r="Y605" s="46">
        <f>0</f>
        <v>0</v>
      </c>
      <c r="Z605" s="11"/>
    </row>
    <row r="606" spans="11:26" x14ac:dyDescent="0.45">
      <c r="K606" s="39">
        <f t="shared" si="124"/>
        <v>4.2</v>
      </c>
      <c r="L606" s="40">
        <f t="shared" si="117"/>
        <v>44.2</v>
      </c>
      <c r="M606" s="41">
        <f t="shared" si="118"/>
        <v>39.200000000000003</v>
      </c>
      <c r="N606" s="49">
        <f t="shared" si="119"/>
        <v>1.804310183595732E-2</v>
      </c>
      <c r="O606" s="50">
        <f t="shared" si="120"/>
        <v>1.1726778189365962E-2</v>
      </c>
      <c r="P606" s="50">
        <f t="shared" si="125"/>
        <v>1.804310183595732E-2</v>
      </c>
      <c r="Q606" s="51">
        <f t="shared" si="126"/>
        <v>1.1726778189365962E-2</v>
      </c>
      <c r="R606" s="4">
        <f t="shared" si="121"/>
        <v>-1.5955758662008351E-2</v>
      </c>
      <c r="S606">
        <f t="shared" si="122"/>
        <v>0</v>
      </c>
      <c r="T606">
        <f t="shared" si="123"/>
        <v>0</v>
      </c>
      <c r="U606" s="5">
        <f>0</f>
        <v>0</v>
      </c>
      <c r="V606" s="45">
        <f t="shared" si="127"/>
        <v>0.17317465387850131</v>
      </c>
      <c r="W606" s="45">
        <f t="shared" si="128"/>
        <v>0</v>
      </c>
      <c r="X606" s="45">
        <f t="shared" si="129"/>
        <v>0</v>
      </c>
      <c r="Y606" s="46">
        <f>0</f>
        <v>0</v>
      </c>
      <c r="Z606" s="11"/>
    </row>
    <row r="607" spans="11:26" x14ac:dyDescent="0.45">
      <c r="K607" s="39">
        <f t="shared" si="124"/>
        <v>4.1900000000000004</v>
      </c>
      <c r="L607" s="40">
        <f t="shared" si="117"/>
        <v>44.19</v>
      </c>
      <c r="M607" s="41">
        <f t="shared" si="118"/>
        <v>39.19</v>
      </c>
      <c r="N607" s="49">
        <f t="shared" si="119"/>
        <v>1.8027559404481246E-2</v>
      </c>
      <c r="O607" s="50">
        <f t="shared" si="120"/>
        <v>1.1716676675330266E-2</v>
      </c>
      <c r="P607" s="50">
        <f t="shared" si="125"/>
        <v>1.8027559404481246E-2</v>
      </c>
      <c r="Q607" s="51">
        <f t="shared" si="126"/>
        <v>1.1716676675330266E-2</v>
      </c>
      <c r="R607" s="4">
        <f t="shared" si="121"/>
        <v>-1.5921831800028902E-2</v>
      </c>
      <c r="S607">
        <f t="shared" si="122"/>
        <v>0</v>
      </c>
      <c r="T607">
        <f t="shared" si="123"/>
        <v>0</v>
      </c>
      <c r="U607" s="5">
        <f>0</f>
        <v>0</v>
      </c>
      <c r="V607" s="45">
        <f t="shared" si="127"/>
        <v>0.1733342114651214</v>
      </c>
      <c r="W607" s="45">
        <f t="shared" si="128"/>
        <v>0</v>
      </c>
      <c r="X607" s="45">
        <f t="shared" si="129"/>
        <v>0</v>
      </c>
      <c r="Y607" s="46">
        <f>0</f>
        <v>0</v>
      </c>
      <c r="Z607" s="11"/>
    </row>
    <row r="608" spans="11:26" x14ac:dyDescent="0.45">
      <c r="K608" s="39">
        <f t="shared" si="124"/>
        <v>4.18</v>
      </c>
      <c r="L608" s="40">
        <f t="shared" si="117"/>
        <v>44.18</v>
      </c>
      <c r="M608" s="41">
        <f t="shared" si="118"/>
        <v>39.18</v>
      </c>
      <c r="N608" s="49">
        <f t="shared" si="119"/>
        <v>1.8012030361344855E-2</v>
      </c>
      <c r="O608" s="50">
        <f t="shared" si="120"/>
        <v>1.170658386279675E-2</v>
      </c>
      <c r="P608" s="50">
        <f t="shared" si="125"/>
        <v>1.8012030361344855E-2</v>
      </c>
      <c r="Q608" s="51">
        <f t="shared" si="126"/>
        <v>1.170658386279675E-2</v>
      </c>
      <c r="R608" s="4">
        <f t="shared" si="121"/>
        <v>-1.5887958424837728E-2</v>
      </c>
      <c r="S608">
        <f t="shared" si="122"/>
        <v>0</v>
      </c>
      <c r="T608">
        <f t="shared" si="123"/>
        <v>0</v>
      </c>
      <c r="U608" s="5">
        <f>0</f>
        <v>0</v>
      </c>
      <c r="V608" s="45">
        <f t="shared" si="127"/>
        <v>0.17349342978312168</v>
      </c>
      <c r="W608" s="45">
        <f t="shared" si="128"/>
        <v>0</v>
      </c>
      <c r="X608" s="45">
        <f t="shared" si="129"/>
        <v>0</v>
      </c>
      <c r="Y608" s="46">
        <f>0</f>
        <v>0</v>
      </c>
      <c r="Z608" s="11"/>
    </row>
    <row r="609" spans="11:26" x14ac:dyDescent="0.45">
      <c r="K609" s="39">
        <f t="shared" si="124"/>
        <v>4.17</v>
      </c>
      <c r="L609" s="40">
        <f t="shared" si="117"/>
        <v>44.17</v>
      </c>
      <c r="M609" s="41">
        <f t="shared" si="118"/>
        <v>39.17</v>
      </c>
      <c r="N609" s="49">
        <f t="shared" si="119"/>
        <v>1.7996514695015349E-2</v>
      </c>
      <c r="O609" s="50">
        <f t="shared" si="120"/>
        <v>1.1696499744269872E-2</v>
      </c>
      <c r="P609" s="50">
        <f t="shared" si="125"/>
        <v>1.7996514695015349E-2</v>
      </c>
      <c r="Q609" s="51">
        <f t="shared" si="126"/>
        <v>1.1696499744269872E-2</v>
      </c>
      <c r="R609" s="4">
        <f t="shared" si="121"/>
        <v>-1.5854138441456174E-2</v>
      </c>
      <c r="S609">
        <f t="shared" si="122"/>
        <v>0</v>
      </c>
      <c r="T609">
        <f t="shared" si="123"/>
        <v>0</v>
      </c>
      <c r="U609" s="5">
        <f>0</f>
        <v>0</v>
      </c>
      <c r="V609" s="45">
        <f t="shared" si="127"/>
        <v>0.17365230936737006</v>
      </c>
      <c r="W609" s="45">
        <f t="shared" si="128"/>
        <v>0</v>
      </c>
      <c r="X609" s="45">
        <f t="shared" si="129"/>
        <v>0</v>
      </c>
      <c r="Y609" s="46">
        <f>0</f>
        <v>0</v>
      </c>
      <c r="Z609" s="11"/>
    </row>
    <row r="610" spans="11:26" x14ac:dyDescent="0.45">
      <c r="K610" s="39">
        <f t="shared" si="124"/>
        <v>4.16</v>
      </c>
      <c r="L610" s="40">
        <f t="shared" si="117"/>
        <v>44.16</v>
      </c>
      <c r="M610" s="41">
        <f t="shared" si="118"/>
        <v>39.159999999999997</v>
      </c>
      <c r="N610" s="49">
        <f t="shared" si="119"/>
        <v>1.7981012393969865E-2</v>
      </c>
      <c r="O610" s="50">
        <f t="shared" si="120"/>
        <v>1.1686424312260559E-2</v>
      </c>
      <c r="P610" s="50">
        <f t="shared" si="125"/>
        <v>1.7981012393969865E-2</v>
      </c>
      <c r="Q610" s="51">
        <f t="shared" si="126"/>
        <v>1.1686424312260559E-2</v>
      </c>
      <c r="R610" s="4">
        <f t="shared" si="121"/>
        <v>-1.582037175510656E-2</v>
      </c>
      <c r="S610">
        <f t="shared" si="122"/>
        <v>0</v>
      </c>
      <c r="T610">
        <f t="shared" si="123"/>
        <v>0</v>
      </c>
      <c r="U610" s="5">
        <f>0</f>
        <v>0</v>
      </c>
      <c r="V610" s="45">
        <f t="shared" si="127"/>
        <v>0.17381085075178462</v>
      </c>
      <c r="W610" s="45">
        <f t="shared" si="128"/>
        <v>0</v>
      </c>
      <c r="X610" s="45">
        <f t="shared" si="129"/>
        <v>0</v>
      </c>
      <c r="Y610" s="46">
        <f>0</f>
        <v>0</v>
      </c>
      <c r="Z610" s="11"/>
    </row>
    <row r="611" spans="11:26" x14ac:dyDescent="0.45">
      <c r="K611" s="39">
        <f t="shared" si="124"/>
        <v>4.1500000000000004</v>
      </c>
      <c r="L611" s="40">
        <f t="shared" si="117"/>
        <v>44.15</v>
      </c>
      <c r="M611" s="41">
        <f t="shared" si="118"/>
        <v>39.15</v>
      </c>
      <c r="N611" s="49">
        <f t="shared" si="119"/>
        <v>1.7965523446695476E-2</v>
      </c>
      <c r="O611" s="50">
        <f t="shared" si="120"/>
        <v>1.1676357559286218E-2</v>
      </c>
      <c r="P611" s="50">
        <f t="shared" si="125"/>
        <v>1.7965523446695476E-2</v>
      </c>
      <c r="Q611" s="51">
        <f t="shared" si="126"/>
        <v>1.1676357559286218E-2</v>
      </c>
      <c r="R611" s="4">
        <f t="shared" si="121"/>
        <v>-1.5786658271211711E-2</v>
      </c>
      <c r="S611">
        <f t="shared" si="122"/>
        <v>0</v>
      </c>
      <c r="T611">
        <f t="shared" si="123"/>
        <v>0</v>
      </c>
      <c r="U611" s="5">
        <f>0</f>
        <v>0</v>
      </c>
      <c r="V611" s="45">
        <f t="shared" si="127"/>
        <v>0.17396905446933569</v>
      </c>
      <c r="W611" s="45">
        <f t="shared" si="128"/>
        <v>0</v>
      </c>
      <c r="X611" s="45">
        <f t="shared" si="129"/>
        <v>0</v>
      </c>
      <c r="Y611" s="46">
        <f>0</f>
        <v>0</v>
      </c>
      <c r="Z611" s="11"/>
    </row>
    <row r="612" spans="11:26" x14ac:dyDescent="0.45">
      <c r="K612" s="39">
        <f t="shared" si="124"/>
        <v>4.1399999999999997</v>
      </c>
      <c r="L612" s="40">
        <f t="shared" si="117"/>
        <v>44.14</v>
      </c>
      <c r="M612" s="41">
        <f t="shared" si="118"/>
        <v>39.14</v>
      </c>
      <c r="N612" s="49">
        <f t="shared" si="119"/>
        <v>1.7950047841689163E-2</v>
      </c>
      <c r="O612" s="50">
        <f t="shared" si="120"/>
        <v>1.1666299477870661E-2</v>
      </c>
      <c r="P612" s="50">
        <f t="shared" si="125"/>
        <v>1.7950047841689163E-2</v>
      </c>
      <c r="Q612" s="51">
        <f t="shared" si="126"/>
        <v>1.1666299477870661E-2</v>
      </c>
      <c r="R612" s="4">
        <f t="shared" si="121"/>
        <v>-1.5752997895394416E-2</v>
      </c>
      <c r="S612">
        <f t="shared" si="122"/>
        <v>0</v>
      </c>
      <c r="T612">
        <f t="shared" si="123"/>
        <v>0</v>
      </c>
      <c r="U612" s="5">
        <f>0</f>
        <v>0</v>
      </c>
      <c r="V612" s="45">
        <f t="shared" si="127"/>
        <v>0.1741269210520478</v>
      </c>
      <c r="W612" s="45">
        <f t="shared" si="128"/>
        <v>0</v>
      </c>
      <c r="X612" s="45">
        <f t="shared" si="129"/>
        <v>0</v>
      </c>
      <c r="Y612" s="46">
        <f>0</f>
        <v>0</v>
      </c>
      <c r="Z612" s="11"/>
    </row>
    <row r="613" spans="11:26" x14ac:dyDescent="0.45">
      <c r="K613" s="39">
        <f t="shared" si="124"/>
        <v>4.13</v>
      </c>
      <c r="L613" s="40">
        <f t="shared" si="117"/>
        <v>44.13</v>
      </c>
      <c r="M613" s="41">
        <f t="shared" si="118"/>
        <v>39.130000000000003</v>
      </c>
      <c r="N613" s="49">
        <f t="shared" si="119"/>
        <v>1.7934585567457827E-2</v>
      </c>
      <c r="O613" s="50">
        <f t="shared" si="120"/>
        <v>1.1656250060544162E-2</v>
      </c>
      <c r="P613" s="50">
        <f t="shared" si="125"/>
        <v>1.7934585567457827E-2</v>
      </c>
      <c r="Q613" s="51">
        <f t="shared" si="126"/>
        <v>1.1656250060544162E-2</v>
      </c>
      <c r="R613" s="4">
        <f t="shared" si="121"/>
        <v>-1.5719390533476967E-2</v>
      </c>
      <c r="S613">
        <f t="shared" si="122"/>
        <v>0</v>
      </c>
      <c r="T613">
        <f t="shared" si="123"/>
        <v>0</v>
      </c>
      <c r="U613" s="5">
        <f>0</f>
        <v>0</v>
      </c>
      <c r="V613" s="45">
        <f t="shared" si="127"/>
        <v>0.17428445103100174</v>
      </c>
      <c r="W613" s="45">
        <f t="shared" si="128"/>
        <v>0</v>
      </c>
      <c r="X613" s="45">
        <f t="shared" si="129"/>
        <v>0</v>
      </c>
      <c r="Y613" s="46">
        <f>0</f>
        <v>0</v>
      </c>
      <c r="Z613" s="11"/>
    </row>
    <row r="614" spans="11:26" x14ac:dyDescent="0.45">
      <c r="K614" s="39">
        <f t="shared" si="124"/>
        <v>4.12</v>
      </c>
      <c r="L614" s="40">
        <f t="shared" si="117"/>
        <v>44.12</v>
      </c>
      <c r="M614" s="41">
        <f t="shared" si="118"/>
        <v>39.119999999999997</v>
      </c>
      <c r="N614" s="49">
        <f t="shared" si="119"/>
        <v>1.7919136612518243E-2</v>
      </c>
      <c r="O614" s="50">
        <f t="shared" si="120"/>
        <v>1.1646209299843419E-2</v>
      </c>
      <c r="P614" s="50">
        <f t="shared" si="125"/>
        <v>1.7919136612518243E-2</v>
      </c>
      <c r="Q614" s="51">
        <f t="shared" si="126"/>
        <v>1.1646209299843419E-2</v>
      </c>
      <c r="R614" s="4">
        <f t="shared" si="121"/>
        <v>-1.5685836091480675E-2</v>
      </c>
      <c r="S614">
        <f t="shared" si="122"/>
        <v>0</v>
      </c>
      <c r="T614">
        <f t="shared" si="123"/>
        <v>0</v>
      </c>
      <c r="U614" s="5">
        <f>0</f>
        <v>0</v>
      </c>
      <c r="V614" s="45">
        <f t="shared" si="127"/>
        <v>0.17444164493633652</v>
      </c>
      <c r="W614" s="45">
        <f t="shared" si="128"/>
        <v>0</v>
      </c>
      <c r="X614" s="45">
        <f t="shared" si="129"/>
        <v>0</v>
      </c>
      <c r="Y614" s="46">
        <f>0</f>
        <v>0</v>
      </c>
      <c r="Z614" s="11"/>
    </row>
    <row r="615" spans="11:26" x14ac:dyDescent="0.45">
      <c r="K615" s="39">
        <f t="shared" si="124"/>
        <v>4.1100000000000003</v>
      </c>
      <c r="L615" s="40">
        <f t="shared" si="117"/>
        <v>44.11</v>
      </c>
      <c r="M615" s="41">
        <f t="shared" si="118"/>
        <v>39.11</v>
      </c>
      <c r="N615" s="49">
        <f t="shared" si="119"/>
        <v>1.7903700965397118E-2</v>
      </c>
      <c r="O615" s="50">
        <f t="shared" si="120"/>
        <v>1.1636177188311576E-2</v>
      </c>
      <c r="P615" s="50">
        <f t="shared" si="125"/>
        <v>1.7903700965397118E-2</v>
      </c>
      <c r="Q615" s="51">
        <f t="shared" si="126"/>
        <v>1.1636177188311576E-2</v>
      </c>
      <c r="R615" s="4">
        <f t="shared" si="121"/>
        <v>-1.5652334475625418E-2</v>
      </c>
      <c r="S615">
        <f t="shared" si="122"/>
        <v>0</v>
      </c>
      <c r="T615">
        <f t="shared" si="123"/>
        <v>0</v>
      </c>
      <c r="U615" s="5">
        <f>0</f>
        <v>0</v>
      </c>
      <c r="V615" s="45">
        <f t="shared" si="127"/>
        <v>0.17459850329725132</v>
      </c>
      <c r="W615" s="45">
        <f t="shared" si="128"/>
        <v>0</v>
      </c>
      <c r="X615" s="45">
        <f t="shared" si="129"/>
        <v>0</v>
      </c>
      <c r="Y615" s="46">
        <f>0</f>
        <v>0</v>
      </c>
      <c r="Z615" s="11"/>
    </row>
    <row r="616" spans="11:26" x14ac:dyDescent="0.45">
      <c r="K616" s="39">
        <f t="shared" si="124"/>
        <v>4.0999999999999996</v>
      </c>
      <c r="L616" s="40">
        <f t="shared" si="117"/>
        <v>44.1</v>
      </c>
      <c r="M616" s="41">
        <f t="shared" si="118"/>
        <v>39.1</v>
      </c>
      <c r="N616" s="49">
        <f t="shared" si="119"/>
        <v>1.7888278614631017E-2</v>
      </c>
      <c r="O616" s="50">
        <f t="shared" si="120"/>
        <v>1.1626153718498183E-2</v>
      </c>
      <c r="P616" s="50">
        <f t="shared" si="125"/>
        <v>1.7888278614631017E-2</v>
      </c>
      <c r="Q616" s="51">
        <f t="shared" si="126"/>
        <v>1.1626153718498183E-2</v>
      </c>
      <c r="R616" s="4">
        <f t="shared" si="121"/>
        <v>-1.56188855923291E-2</v>
      </c>
      <c r="S616">
        <f t="shared" si="122"/>
        <v>0</v>
      </c>
      <c r="T616">
        <f t="shared" si="123"/>
        <v>0</v>
      </c>
      <c r="U616" s="5">
        <f>0</f>
        <v>0</v>
      </c>
      <c r="V616" s="45">
        <f t="shared" si="127"/>
        <v>0.17475502664200757</v>
      </c>
      <c r="W616" s="45">
        <f t="shared" si="128"/>
        <v>0</v>
      </c>
      <c r="X616" s="45">
        <f t="shared" si="129"/>
        <v>0</v>
      </c>
      <c r="Y616" s="46">
        <f>0</f>
        <v>0</v>
      </c>
      <c r="Z616" s="11"/>
    </row>
    <row r="617" spans="11:26" x14ac:dyDescent="0.45">
      <c r="K617" s="39">
        <f t="shared" si="124"/>
        <v>4.09</v>
      </c>
      <c r="L617" s="40">
        <f t="shared" si="117"/>
        <v>44.09</v>
      </c>
      <c r="M617" s="41">
        <f t="shared" si="118"/>
        <v>39.090000000000003</v>
      </c>
      <c r="N617" s="49">
        <f t="shared" si="119"/>
        <v>1.7872869548766383E-2</v>
      </c>
      <c r="O617" s="50">
        <f t="shared" si="120"/>
        <v>1.1616138882959214E-2</v>
      </c>
      <c r="P617" s="50">
        <f t="shared" si="125"/>
        <v>1.7872869548766383E-2</v>
      </c>
      <c r="Q617" s="51">
        <f t="shared" si="126"/>
        <v>1.1616138882959214E-2</v>
      </c>
      <c r="R617" s="4">
        <f t="shared" si="121"/>
        <v>-1.55854893482072E-2</v>
      </c>
      <c r="S617">
        <f t="shared" si="122"/>
        <v>0</v>
      </c>
      <c r="T617">
        <f t="shared" si="123"/>
        <v>0</v>
      </c>
      <c r="U617" s="5">
        <f>0</f>
        <v>0</v>
      </c>
      <c r="V617" s="45">
        <f t="shared" si="127"/>
        <v>0.17491121549793084</v>
      </c>
      <c r="W617" s="45">
        <f t="shared" si="128"/>
        <v>0</v>
      </c>
      <c r="X617" s="45">
        <f t="shared" si="129"/>
        <v>0</v>
      </c>
      <c r="Y617" s="46">
        <f>0</f>
        <v>0</v>
      </c>
      <c r="Z617" s="11"/>
    </row>
    <row r="618" spans="11:26" x14ac:dyDescent="0.45">
      <c r="K618" s="39">
        <f t="shared" si="124"/>
        <v>4.08</v>
      </c>
      <c r="L618" s="40">
        <f t="shared" si="117"/>
        <v>44.08</v>
      </c>
      <c r="M618" s="41">
        <f t="shared" si="118"/>
        <v>39.08</v>
      </c>
      <c r="N618" s="49">
        <f t="shared" si="119"/>
        <v>1.7857473756359502E-2</v>
      </c>
      <c r="O618" s="50">
        <f t="shared" si="120"/>
        <v>1.1606132674257053E-2</v>
      </c>
      <c r="P618" s="50">
        <f t="shared" si="125"/>
        <v>1.7857473756359502E-2</v>
      </c>
      <c r="Q618" s="51">
        <f t="shared" si="126"/>
        <v>1.1606132674257053E-2</v>
      </c>
      <c r="R618" s="4">
        <f t="shared" si="121"/>
        <v>-1.5552145650072272E-2</v>
      </c>
      <c r="S618">
        <f t="shared" si="122"/>
        <v>0</v>
      </c>
      <c r="T618">
        <f t="shared" si="123"/>
        <v>0</v>
      </c>
      <c r="U618" s="5">
        <f>0</f>
        <v>0</v>
      </c>
      <c r="V618" s="45">
        <f t="shared" si="127"/>
        <v>0.17506707039141292</v>
      </c>
      <c r="W618" s="45">
        <f t="shared" si="128"/>
        <v>0</v>
      </c>
      <c r="X618" s="45">
        <f t="shared" si="129"/>
        <v>0</v>
      </c>
      <c r="Y618" s="46">
        <f>0</f>
        <v>0</v>
      </c>
      <c r="Z618" s="11"/>
    </row>
    <row r="619" spans="11:26" x14ac:dyDescent="0.45">
      <c r="K619" s="39">
        <f t="shared" si="124"/>
        <v>4.07</v>
      </c>
      <c r="L619" s="40">
        <f t="shared" si="117"/>
        <v>44.07</v>
      </c>
      <c r="M619" s="41">
        <f t="shared" si="118"/>
        <v>39.07</v>
      </c>
      <c r="N619" s="49">
        <f t="shared" si="119"/>
        <v>1.7842091225976575E-2</v>
      </c>
      <c r="O619" s="50">
        <f t="shared" si="120"/>
        <v>1.1596135084960501E-2</v>
      </c>
      <c r="P619" s="50">
        <f t="shared" si="125"/>
        <v>1.7842091225976575E-2</v>
      </c>
      <c r="Q619" s="51">
        <f t="shared" si="126"/>
        <v>1.1596135084960501E-2</v>
      </c>
      <c r="R619" s="4">
        <f t="shared" si="121"/>
        <v>-1.5518854404933552E-2</v>
      </c>
      <c r="S619">
        <f t="shared" si="122"/>
        <v>0</v>
      </c>
      <c r="T619">
        <f t="shared" si="123"/>
        <v>0</v>
      </c>
      <c r="U619" s="5">
        <f>0</f>
        <v>0</v>
      </c>
      <c r="V619" s="45">
        <f t="shared" si="127"/>
        <v>0.17522259184791364</v>
      </c>
      <c r="W619" s="45">
        <f t="shared" si="128"/>
        <v>0</v>
      </c>
      <c r="X619" s="45">
        <f t="shared" si="129"/>
        <v>0</v>
      </c>
      <c r="Y619" s="46">
        <f>0</f>
        <v>0</v>
      </c>
      <c r="Z619" s="11"/>
    </row>
    <row r="620" spans="11:26" x14ac:dyDescent="0.45">
      <c r="K620" s="39">
        <f t="shared" si="124"/>
        <v>4.0599999999999996</v>
      </c>
      <c r="L620" s="40">
        <f t="shared" si="117"/>
        <v>44.06</v>
      </c>
      <c r="M620" s="41">
        <f t="shared" si="118"/>
        <v>39.06</v>
      </c>
      <c r="N620" s="49">
        <f t="shared" si="119"/>
        <v>1.7826721946193613E-2</v>
      </c>
      <c r="O620" s="50">
        <f t="shared" si="120"/>
        <v>1.1586146107644748E-2</v>
      </c>
      <c r="P620" s="50">
        <f t="shared" si="125"/>
        <v>1.7826721946193613E-2</v>
      </c>
      <c r="Q620" s="51">
        <f t="shared" si="126"/>
        <v>1.1586146107644748E-2</v>
      </c>
      <c r="R620" s="4">
        <f t="shared" si="121"/>
        <v>-1.5485615519996361E-2</v>
      </c>
      <c r="S620">
        <f t="shared" si="122"/>
        <v>0</v>
      </c>
      <c r="T620">
        <f t="shared" si="123"/>
        <v>0</v>
      </c>
      <c r="U620" s="5">
        <f>0</f>
        <v>0</v>
      </c>
      <c r="V620" s="45">
        <f t="shared" si="127"/>
        <v>0.17537778039196297</v>
      </c>
      <c r="W620" s="45">
        <f t="shared" si="128"/>
        <v>0</v>
      </c>
      <c r="X620" s="45">
        <f t="shared" si="129"/>
        <v>0</v>
      </c>
      <c r="Y620" s="46">
        <f>0</f>
        <v>0</v>
      </c>
      <c r="Z620" s="11"/>
    </row>
    <row r="621" spans="11:26" x14ac:dyDescent="0.45">
      <c r="K621" s="39">
        <f t="shared" si="124"/>
        <v>4.05</v>
      </c>
      <c r="L621" s="40">
        <f t="shared" si="117"/>
        <v>44.05</v>
      </c>
      <c r="M621" s="41">
        <f t="shared" si="118"/>
        <v>39.049999999999997</v>
      </c>
      <c r="N621" s="49">
        <f t="shared" si="119"/>
        <v>1.7811365905596441E-2</v>
      </c>
      <c r="O621" s="50">
        <f t="shared" si="120"/>
        <v>1.157616573489138E-2</v>
      </c>
      <c r="P621" s="50">
        <f t="shared" si="125"/>
        <v>1.7811365905596441E-2</v>
      </c>
      <c r="Q621" s="51">
        <f t="shared" si="126"/>
        <v>1.157616573489138E-2</v>
      </c>
      <c r="R621" s="4">
        <f t="shared" si="121"/>
        <v>-1.5452428902661672E-2</v>
      </c>
      <c r="S621">
        <f t="shared" si="122"/>
        <v>0</v>
      </c>
      <c r="T621">
        <f t="shared" si="123"/>
        <v>0</v>
      </c>
      <c r="U621" s="5">
        <f>0</f>
        <v>0</v>
      </c>
      <c r="V621" s="45">
        <f t="shared" si="127"/>
        <v>0.17553263654716295</v>
      </c>
      <c r="W621" s="45">
        <f t="shared" si="128"/>
        <v>0</v>
      </c>
      <c r="X621" s="45">
        <f t="shared" si="129"/>
        <v>0</v>
      </c>
      <c r="Y621" s="46">
        <f>0</f>
        <v>0</v>
      </c>
      <c r="Z621" s="11"/>
    </row>
    <row r="622" spans="11:26" x14ac:dyDescent="0.45">
      <c r="K622" s="39">
        <f t="shared" si="124"/>
        <v>4.04</v>
      </c>
      <c r="L622" s="40">
        <f t="shared" si="117"/>
        <v>44.04</v>
      </c>
      <c r="M622" s="41">
        <f t="shared" si="118"/>
        <v>39.04</v>
      </c>
      <c r="N622" s="49">
        <f t="shared" si="119"/>
        <v>1.7796023092780788E-2</v>
      </c>
      <c r="O622" s="50">
        <f t="shared" si="120"/>
        <v>1.1566193959288385E-2</v>
      </c>
      <c r="P622" s="50">
        <f t="shared" si="125"/>
        <v>1.7796023092780788E-2</v>
      </c>
      <c r="Q622" s="51">
        <f t="shared" si="126"/>
        <v>1.1566193959288385E-2</v>
      </c>
      <c r="R622" s="4">
        <f t="shared" si="121"/>
        <v>-1.5419294460525708E-2</v>
      </c>
      <c r="S622">
        <f t="shared" si="122"/>
        <v>0</v>
      </c>
      <c r="T622">
        <f t="shared" si="123"/>
        <v>0</v>
      </c>
      <c r="U622" s="5">
        <f>0</f>
        <v>0</v>
      </c>
      <c r="V622" s="45">
        <f t="shared" si="127"/>
        <v>0.17568716083618957</v>
      </c>
      <c r="W622" s="45">
        <f t="shared" si="128"/>
        <v>0</v>
      </c>
      <c r="X622" s="45">
        <f t="shared" si="129"/>
        <v>0</v>
      </c>
      <c r="Y622" s="46">
        <f>0</f>
        <v>0</v>
      </c>
      <c r="Z622" s="11"/>
    </row>
    <row r="623" spans="11:26" x14ac:dyDescent="0.45">
      <c r="K623" s="39">
        <f t="shared" si="124"/>
        <v>4.03</v>
      </c>
      <c r="L623" s="40">
        <f t="shared" si="117"/>
        <v>44.03</v>
      </c>
      <c r="M623" s="41">
        <f t="shared" si="118"/>
        <v>39.03</v>
      </c>
      <c r="N623" s="49">
        <f t="shared" si="119"/>
        <v>1.7780693496352157E-2</v>
      </c>
      <c r="O623" s="50">
        <f t="shared" si="120"/>
        <v>1.1556230773430128E-2</v>
      </c>
      <c r="P623" s="50">
        <f t="shared" si="125"/>
        <v>1.7780693496352157E-2</v>
      </c>
      <c r="Q623" s="51">
        <f t="shared" si="126"/>
        <v>1.1556230773430128E-2</v>
      </c>
      <c r="R623" s="4">
        <f t="shared" si="121"/>
        <v>-1.5386212101379375E-2</v>
      </c>
      <c r="S623">
        <f t="shared" si="122"/>
        <v>0</v>
      </c>
      <c r="T623">
        <f t="shared" si="123"/>
        <v>0</v>
      </c>
      <c r="U623" s="5">
        <f>0</f>
        <v>0</v>
      </c>
      <c r="V623" s="45">
        <f t="shared" si="127"/>
        <v>0.17584135378079482</v>
      </c>
      <c r="W623" s="45">
        <f t="shared" si="128"/>
        <v>0</v>
      </c>
      <c r="X623" s="45">
        <f t="shared" si="129"/>
        <v>0</v>
      </c>
      <c r="Y623" s="46">
        <f>0</f>
        <v>0</v>
      </c>
      <c r="Z623" s="11"/>
    </row>
    <row r="624" spans="11:26" x14ac:dyDescent="0.45">
      <c r="K624" s="39">
        <f t="shared" si="124"/>
        <v>4.0199999999999996</v>
      </c>
      <c r="L624" s="40">
        <f t="shared" si="117"/>
        <v>44.019999999999996</v>
      </c>
      <c r="M624" s="41">
        <f t="shared" si="118"/>
        <v>39.019999999999996</v>
      </c>
      <c r="N624" s="49">
        <f t="shared" si="119"/>
        <v>1.7765377104925852E-2</v>
      </c>
      <c r="O624" s="50">
        <f t="shared" si="120"/>
        <v>1.1546276169917345E-2</v>
      </c>
      <c r="P624" s="50">
        <f t="shared" si="125"/>
        <v>1.7765377104925852E-2</v>
      </c>
      <c r="Q624" s="51">
        <f t="shared" si="126"/>
        <v>1.1546276169917345E-2</v>
      </c>
      <c r="R624" s="4">
        <f t="shared" si="121"/>
        <v>-1.5353181733207783E-2</v>
      </c>
      <c r="S624">
        <f t="shared" si="122"/>
        <v>0</v>
      </c>
      <c r="T624">
        <f t="shared" si="123"/>
        <v>0</v>
      </c>
      <c r="U624" s="5">
        <f>0</f>
        <v>0</v>
      </c>
      <c r="V624" s="45">
        <f t="shared" si="127"/>
        <v>0.17599521590180861</v>
      </c>
      <c r="W624" s="45">
        <f t="shared" si="128"/>
        <v>0</v>
      </c>
      <c r="X624" s="45">
        <f t="shared" si="129"/>
        <v>0</v>
      </c>
      <c r="Y624" s="46">
        <f>0</f>
        <v>0</v>
      </c>
      <c r="Z624" s="11"/>
    </row>
    <row r="625" spans="11:26" x14ac:dyDescent="0.45">
      <c r="K625" s="39">
        <f t="shared" si="124"/>
        <v>4.01</v>
      </c>
      <c r="L625" s="40">
        <f t="shared" si="117"/>
        <v>44.01</v>
      </c>
      <c r="M625" s="41">
        <f t="shared" si="118"/>
        <v>39.01</v>
      </c>
      <c r="N625" s="49">
        <f t="shared" si="119"/>
        <v>1.7750073907127038E-2</v>
      </c>
      <c r="O625" s="50">
        <f t="shared" si="120"/>
        <v>1.1536330141357165E-2</v>
      </c>
      <c r="P625" s="50">
        <f t="shared" si="125"/>
        <v>1.7750073907127038E-2</v>
      </c>
      <c r="Q625" s="51">
        <f t="shared" si="126"/>
        <v>1.1536330141357165E-2</v>
      </c>
      <c r="R625" s="4">
        <f t="shared" si="121"/>
        <v>-1.5320203264189904E-2</v>
      </c>
      <c r="S625">
        <f t="shared" si="122"/>
        <v>0</v>
      </c>
      <c r="T625">
        <f t="shared" si="123"/>
        <v>0</v>
      </c>
      <c r="U625" s="5">
        <f>0</f>
        <v>0</v>
      </c>
      <c r="V625" s="45">
        <f t="shared" si="127"/>
        <v>0.17614874771914069</v>
      </c>
      <c r="W625" s="45">
        <f t="shared" si="128"/>
        <v>0</v>
      </c>
      <c r="X625" s="45">
        <f t="shared" si="129"/>
        <v>0</v>
      </c>
      <c r="Y625" s="46">
        <f>0</f>
        <v>0</v>
      </c>
      <c r="Z625" s="11"/>
    </row>
    <row r="626" spans="11:26" x14ac:dyDescent="0.45">
      <c r="K626" s="39">
        <f t="shared" si="124"/>
        <v>4</v>
      </c>
      <c r="L626" s="40">
        <f t="shared" si="117"/>
        <v>44</v>
      </c>
      <c r="M626" s="41">
        <f t="shared" si="118"/>
        <v>39</v>
      </c>
      <c r="N626" s="49">
        <f t="shared" si="119"/>
        <v>1.7734783891590621E-2</v>
      </c>
      <c r="O626" s="50">
        <f t="shared" si="120"/>
        <v>1.1526392680363056E-2</v>
      </c>
      <c r="P626" s="50">
        <f t="shared" si="125"/>
        <v>1.7734783891590621E-2</v>
      </c>
      <c r="Q626" s="51">
        <f t="shared" si="126"/>
        <v>1.1526392680363056E-2</v>
      </c>
      <c r="R626" s="4">
        <f t="shared" si="121"/>
        <v>-1.5287276602697932E-2</v>
      </c>
      <c r="S626">
        <f t="shared" si="122"/>
        <v>0</v>
      </c>
      <c r="T626">
        <f t="shared" si="123"/>
        <v>0</v>
      </c>
      <c r="U626" s="5">
        <f>0</f>
        <v>0</v>
      </c>
      <c r="V626" s="45">
        <f t="shared" si="127"/>
        <v>0.17630194975178259</v>
      </c>
      <c r="W626" s="45">
        <f t="shared" si="128"/>
        <v>0</v>
      </c>
      <c r="X626" s="45">
        <f t="shared" si="129"/>
        <v>0</v>
      </c>
      <c r="Y626" s="46">
        <f>0</f>
        <v>0</v>
      </c>
      <c r="Z626" s="11"/>
    </row>
    <row r="627" spans="11:26" x14ac:dyDescent="0.45">
      <c r="K627" s="39">
        <f t="shared" si="124"/>
        <v>3.99</v>
      </c>
      <c r="L627" s="40">
        <f t="shared" si="117"/>
        <v>43.99</v>
      </c>
      <c r="M627" s="41">
        <f t="shared" si="118"/>
        <v>38.99</v>
      </c>
      <c r="N627" s="49">
        <f t="shared" si="119"/>
        <v>1.7719507046961382E-2</v>
      </c>
      <c r="O627" s="50">
        <f t="shared" si="120"/>
        <v>1.1516463779554908E-2</v>
      </c>
      <c r="P627" s="50">
        <f t="shared" si="125"/>
        <v>1.7719507046961382E-2</v>
      </c>
      <c r="Q627" s="51">
        <f t="shared" si="126"/>
        <v>1.1516463779554908E-2</v>
      </c>
      <c r="R627" s="4">
        <f t="shared" si="121"/>
        <v>-1.5254401657297021E-2</v>
      </c>
      <c r="S627">
        <f t="shared" si="122"/>
        <v>0</v>
      </c>
      <c r="T627">
        <f t="shared" si="123"/>
        <v>0</v>
      </c>
      <c r="U627" s="5">
        <f>0</f>
        <v>0</v>
      </c>
      <c r="V627" s="45">
        <f t="shared" si="127"/>
        <v>0.17645482251780958</v>
      </c>
      <c r="W627" s="45">
        <f t="shared" si="128"/>
        <v>0</v>
      </c>
      <c r="X627" s="45">
        <f t="shared" si="129"/>
        <v>0</v>
      </c>
      <c r="Y627" s="46">
        <f>0</f>
        <v>0</v>
      </c>
      <c r="Z627" s="11"/>
    </row>
    <row r="628" spans="11:26" x14ac:dyDescent="0.45">
      <c r="K628" s="39">
        <f t="shared" si="124"/>
        <v>3.98</v>
      </c>
      <c r="L628" s="40">
        <f t="shared" si="117"/>
        <v>43.98</v>
      </c>
      <c r="M628" s="41">
        <f t="shared" si="118"/>
        <v>38.979999999999997</v>
      </c>
      <c r="N628" s="49">
        <f t="shared" si="119"/>
        <v>1.7704243361893756E-2</v>
      </c>
      <c r="O628" s="50">
        <f t="shared" si="120"/>
        <v>1.1506543431558883E-2</v>
      </c>
      <c r="P628" s="50">
        <f t="shared" si="125"/>
        <v>1.7704243361893756E-2</v>
      </c>
      <c r="Q628" s="51">
        <f t="shared" si="126"/>
        <v>1.1506543431558883E-2</v>
      </c>
      <c r="R628" s="4">
        <f t="shared" si="121"/>
        <v>-1.5221578336744522E-2</v>
      </c>
      <c r="S628">
        <f t="shared" si="122"/>
        <v>0</v>
      </c>
      <c r="T628">
        <f t="shared" si="123"/>
        <v>0</v>
      </c>
      <c r="U628" s="5">
        <f>0</f>
        <v>0</v>
      </c>
      <c r="V628" s="45">
        <f t="shared" si="127"/>
        <v>0.17660736653438255</v>
      </c>
      <c r="W628" s="45">
        <f t="shared" si="128"/>
        <v>0</v>
      </c>
      <c r="X628" s="45">
        <f t="shared" si="129"/>
        <v>0</v>
      </c>
      <c r="Y628" s="46">
        <f>0</f>
        <v>0</v>
      </c>
      <c r="Z628" s="11"/>
    </row>
    <row r="629" spans="11:26" x14ac:dyDescent="0.45">
      <c r="K629" s="39">
        <f t="shared" si="124"/>
        <v>3.97</v>
      </c>
      <c r="L629" s="40">
        <f t="shared" si="117"/>
        <v>43.97</v>
      </c>
      <c r="M629" s="41">
        <f t="shared" si="118"/>
        <v>38.97</v>
      </c>
      <c r="N629" s="49">
        <f t="shared" si="119"/>
        <v>1.7688992825052055E-2</v>
      </c>
      <c r="O629" s="50">
        <f t="shared" si="120"/>
        <v>1.1496631629007563E-2</v>
      </c>
      <c r="P629" s="50">
        <f t="shared" si="125"/>
        <v>1.7688992825052055E-2</v>
      </c>
      <c r="Q629" s="51">
        <f t="shared" si="126"/>
        <v>1.1496631629007563E-2</v>
      </c>
      <c r="R629" s="4">
        <f t="shared" si="121"/>
        <v>-1.5188806549989827E-2</v>
      </c>
      <c r="S629">
        <f t="shared" si="122"/>
        <v>0</v>
      </c>
      <c r="T629">
        <f t="shared" si="123"/>
        <v>0</v>
      </c>
      <c r="U629" s="5">
        <f>0</f>
        <v>0</v>
      </c>
      <c r="V629" s="45">
        <f t="shared" si="127"/>
        <v>0.17675958231774999</v>
      </c>
      <c r="W629" s="45">
        <f t="shared" si="128"/>
        <v>0</v>
      </c>
      <c r="X629" s="45">
        <f t="shared" si="129"/>
        <v>0</v>
      </c>
      <c r="Y629" s="46">
        <f>0</f>
        <v>0</v>
      </c>
      <c r="Z629" s="11"/>
    </row>
    <row r="630" spans="11:26" x14ac:dyDescent="0.45">
      <c r="K630" s="39">
        <f t="shared" si="124"/>
        <v>3.96</v>
      </c>
      <c r="L630" s="40">
        <f t="shared" si="117"/>
        <v>43.96</v>
      </c>
      <c r="M630" s="41">
        <f t="shared" si="118"/>
        <v>38.96</v>
      </c>
      <c r="N630" s="49">
        <f t="shared" si="119"/>
        <v>1.7673755425110318E-2</v>
      </c>
      <c r="O630" s="50">
        <f t="shared" si="120"/>
        <v>1.1486728364539846E-2</v>
      </c>
      <c r="P630" s="50">
        <f t="shared" si="125"/>
        <v>1.7673755425110318E-2</v>
      </c>
      <c r="Q630" s="51">
        <f t="shared" si="126"/>
        <v>1.1486728364539846E-2</v>
      </c>
      <c r="R630" s="4">
        <f t="shared" si="121"/>
        <v>-1.5156086206173735E-2</v>
      </c>
      <c r="S630">
        <f t="shared" si="122"/>
        <v>0</v>
      </c>
      <c r="T630">
        <f t="shared" si="123"/>
        <v>0</v>
      </c>
      <c r="U630" s="5">
        <f>0</f>
        <v>0</v>
      </c>
      <c r="V630" s="45">
        <f t="shared" si="127"/>
        <v>0.17691147038324989</v>
      </c>
      <c r="W630" s="45">
        <f t="shared" si="128"/>
        <v>0</v>
      </c>
      <c r="X630" s="45">
        <f t="shared" si="129"/>
        <v>0</v>
      </c>
      <c r="Y630" s="46">
        <f>0</f>
        <v>0</v>
      </c>
      <c r="Z630" s="11"/>
    </row>
    <row r="631" spans="11:26" x14ac:dyDescent="0.45">
      <c r="K631" s="39">
        <f t="shared" si="124"/>
        <v>3.95</v>
      </c>
      <c r="L631" s="40">
        <f t="shared" si="117"/>
        <v>43.95</v>
      </c>
      <c r="M631" s="41">
        <f t="shared" si="118"/>
        <v>38.950000000000003</v>
      </c>
      <c r="N631" s="49">
        <f t="shared" si="119"/>
        <v>1.7658531150752343E-2</v>
      </c>
      <c r="O631" s="50">
        <f t="shared" si="120"/>
        <v>1.1476833630800981E-2</v>
      </c>
      <c r="P631" s="50">
        <f t="shared" si="125"/>
        <v>1.7658531150752343E-2</v>
      </c>
      <c r="Q631" s="51">
        <f t="shared" si="126"/>
        <v>1.1476833630800981E-2</v>
      </c>
      <c r="R631" s="4">
        <f t="shared" si="121"/>
        <v>-1.5123417214628012E-2</v>
      </c>
      <c r="S631">
        <f t="shared" si="122"/>
        <v>0</v>
      </c>
      <c r="T631">
        <f t="shared" si="123"/>
        <v>0</v>
      </c>
      <c r="U631" s="5">
        <f>0</f>
        <v>0</v>
      </c>
      <c r="V631" s="45">
        <f t="shared" si="127"/>
        <v>0.17706303124531164</v>
      </c>
      <c r="W631" s="45">
        <f t="shared" si="128"/>
        <v>0</v>
      </c>
      <c r="X631" s="45">
        <f t="shared" si="129"/>
        <v>0</v>
      </c>
      <c r="Y631" s="46">
        <f>0</f>
        <v>0</v>
      </c>
      <c r="Z631" s="11"/>
    </row>
    <row r="632" spans="11:26" x14ac:dyDescent="0.45">
      <c r="K632" s="39">
        <f t="shared" si="124"/>
        <v>3.94</v>
      </c>
      <c r="L632" s="40">
        <f t="shared" si="117"/>
        <v>43.94</v>
      </c>
      <c r="M632" s="41">
        <f t="shared" si="118"/>
        <v>38.94</v>
      </c>
      <c r="N632" s="49">
        <f t="shared" si="119"/>
        <v>1.7643319990671667E-2</v>
      </c>
      <c r="O632" s="50">
        <f t="shared" si="120"/>
        <v>1.1466947420442542E-2</v>
      </c>
      <c r="P632" s="50">
        <f t="shared" si="125"/>
        <v>1.7643319990671667E-2</v>
      </c>
      <c r="Q632" s="51">
        <f t="shared" si="126"/>
        <v>1.1466947420442542E-2</v>
      </c>
      <c r="R632" s="4">
        <f t="shared" si="121"/>
        <v>-1.5090799484874944E-2</v>
      </c>
      <c r="S632">
        <f t="shared" si="122"/>
        <v>0</v>
      </c>
      <c r="T632">
        <f t="shared" si="123"/>
        <v>0</v>
      </c>
      <c r="U632" s="5">
        <f>0</f>
        <v>0</v>
      </c>
      <c r="V632" s="45">
        <f t="shared" si="127"/>
        <v>0.17721426541745791</v>
      </c>
      <c r="W632" s="45">
        <f t="shared" si="128"/>
        <v>0</v>
      </c>
      <c r="X632" s="45">
        <f t="shared" si="129"/>
        <v>0</v>
      </c>
      <c r="Y632" s="46">
        <f>0</f>
        <v>0</v>
      </c>
      <c r="Z632" s="11"/>
    </row>
    <row r="633" spans="11:26" x14ac:dyDescent="0.45">
      <c r="K633" s="39">
        <f t="shared" si="124"/>
        <v>3.93</v>
      </c>
      <c r="L633" s="40">
        <f t="shared" si="117"/>
        <v>43.93</v>
      </c>
      <c r="M633" s="41">
        <f t="shared" si="118"/>
        <v>38.93</v>
      </c>
      <c r="N633" s="49">
        <f t="shared" si="119"/>
        <v>1.7628121933571592E-2</v>
      </c>
      <c r="O633" s="50">
        <f t="shared" si="120"/>
        <v>1.1457069726122451E-2</v>
      </c>
      <c r="P633" s="50">
        <f t="shared" si="125"/>
        <v>1.7628121933571592E-2</v>
      </c>
      <c r="Q633" s="51">
        <f t="shared" si="126"/>
        <v>1.1457069726122451E-2</v>
      </c>
      <c r="R633" s="4">
        <f t="shared" si="121"/>
        <v>-1.5058232926626903E-2</v>
      </c>
      <c r="S633">
        <f t="shared" si="122"/>
        <v>0</v>
      </c>
      <c r="T633">
        <f t="shared" si="123"/>
        <v>0</v>
      </c>
      <c r="U633" s="5">
        <f>0</f>
        <v>0</v>
      </c>
      <c r="V633" s="45">
        <f t="shared" si="127"/>
        <v>0.17736517341230665</v>
      </c>
      <c r="W633" s="45">
        <f t="shared" si="128"/>
        <v>0</v>
      </c>
      <c r="X633" s="45">
        <f t="shared" si="129"/>
        <v>0</v>
      </c>
      <c r="Y633" s="46">
        <f>0</f>
        <v>0</v>
      </c>
      <c r="Z633" s="11"/>
    </row>
    <row r="634" spans="11:26" x14ac:dyDescent="0.45">
      <c r="K634" s="39">
        <f t="shared" si="124"/>
        <v>3.92</v>
      </c>
      <c r="L634" s="40">
        <f t="shared" si="117"/>
        <v>43.92</v>
      </c>
      <c r="M634" s="41">
        <f t="shared" si="118"/>
        <v>38.92</v>
      </c>
      <c r="N634" s="49">
        <f t="shared" si="119"/>
        <v>1.7612936968165134E-2</v>
      </c>
      <c r="O634" s="50">
        <f t="shared" si="120"/>
        <v>1.1447200540504937E-2</v>
      </c>
      <c r="P634" s="50">
        <f t="shared" si="125"/>
        <v>1.7612936968165134E-2</v>
      </c>
      <c r="Q634" s="51">
        <f t="shared" si="126"/>
        <v>1.1447200540504937E-2</v>
      </c>
      <c r="R634" s="4">
        <f t="shared" si="121"/>
        <v>-1.5025717449785826E-2</v>
      </c>
      <c r="S634">
        <f t="shared" si="122"/>
        <v>0</v>
      </c>
      <c r="T634">
        <f t="shared" si="123"/>
        <v>0</v>
      </c>
      <c r="U634" s="5">
        <f>0</f>
        <v>0</v>
      </c>
      <c r="V634" s="45">
        <f t="shared" si="127"/>
        <v>0.17751575574157291</v>
      </c>
      <c r="W634" s="45">
        <f t="shared" si="128"/>
        <v>0</v>
      </c>
      <c r="X634" s="45">
        <f t="shared" si="129"/>
        <v>0</v>
      </c>
      <c r="Y634" s="46">
        <f>0</f>
        <v>0</v>
      </c>
      <c r="Z634" s="11"/>
    </row>
    <row r="635" spans="11:26" x14ac:dyDescent="0.45">
      <c r="K635" s="39">
        <f t="shared" si="124"/>
        <v>3.91</v>
      </c>
      <c r="L635" s="40">
        <f t="shared" si="117"/>
        <v>43.91</v>
      </c>
      <c r="M635" s="41">
        <f t="shared" si="118"/>
        <v>38.909999999999997</v>
      </c>
      <c r="N635" s="49">
        <f t="shared" si="119"/>
        <v>1.7597765083175013E-2</v>
      </c>
      <c r="O635" s="50">
        <f t="shared" si="120"/>
        <v>1.1437339856260552E-2</v>
      </c>
      <c r="P635" s="50">
        <f t="shared" si="125"/>
        <v>1.7597765083175013E-2</v>
      </c>
      <c r="Q635" s="51">
        <f t="shared" si="126"/>
        <v>1.1437339856260552E-2</v>
      </c>
      <c r="R635" s="4">
        <f t="shared" si="121"/>
        <v>-1.4993252964442797E-2</v>
      </c>
      <c r="S635">
        <f t="shared" si="122"/>
        <v>0</v>
      </c>
      <c r="T635">
        <f t="shared" si="123"/>
        <v>0</v>
      </c>
      <c r="U635" s="5">
        <f>0</f>
        <v>0</v>
      </c>
      <c r="V635" s="45">
        <f t="shared" si="127"/>
        <v>0.17766601291607076</v>
      </c>
      <c r="W635" s="45">
        <f t="shared" si="128"/>
        <v>0</v>
      </c>
      <c r="X635" s="45">
        <f t="shared" si="129"/>
        <v>0</v>
      </c>
      <c r="Y635" s="46">
        <f>0</f>
        <v>0</v>
      </c>
      <c r="Z635" s="11"/>
    </row>
    <row r="636" spans="11:26" x14ac:dyDescent="0.45">
      <c r="K636" s="39">
        <f t="shared" si="124"/>
        <v>3.9</v>
      </c>
      <c r="L636" s="40">
        <f t="shared" si="117"/>
        <v>43.9</v>
      </c>
      <c r="M636" s="41">
        <f t="shared" si="118"/>
        <v>38.9</v>
      </c>
      <c r="N636" s="49">
        <f t="shared" si="119"/>
        <v>1.7582606267333715E-2</v>
      </c>
      <c r="O636" s="50">
        <f t="shared" si="120"/>
        <v>1.1427487666066171E-2</v>
      </c>
      <c r="P636" s="50">
        <f t="shared" si="125"/>
        <v>1.7582606267333715E-2</v>
      </c>
      <c r="Q636" s="51">
        <f t="shared" si="126"/>
        <v>1.1427487666066171E-2</v>
      </c>
      <c r="R636" s="4">
        <f t="shared" si="121"/>
        <v>-1.4960839380877619E-2</v>
      </c>
      <c r="S636">
        <f t="shared" si="122"/>
        <v>0</v>
      </c>
      <c r="T636">
        <f t="shared" si="123"/>
        <v>0</v>
      </c>
      <c r="U636" s="5">
        <f>0</f>
        <v>0</v>
      </c>
      <c r="V636" s="45">
        <f t="shared" si="127"/>
        <v>0.17781594544571519</v>
      </c>
      <c r="W636" s="45">
        <f t="shared" si="128"/>
        <v>0</v>
      </c>
      <c r="X636" s="45">
        <f t="shared" si="129"/>
        <v>0</v>
      </c>
      <c r="Y636" s="46">
        <f>0</f>
        <v>0</v>
      </c>
      <c r="Z636" s="11"/>
    </row>
    <row r="637" spans="11:26" x14ac:dyDescent="0.45">
      <c r="K637" s="39">
        <f t="shared" si="124"/>
        <v>3.89</v>
      </c>
      <c r="L637" s="40">
        <f t="shared" si="117"/>
        <v>43.89</v>
      </c>
      <c r="M637" s="41">
        <f t="shared" si="118"/>
        <v>38.89</v>
      </c>
      <c r="N637" s="49">
        <f t="shared" si="119"/>
        <v>1.7567460509383379E-2</v>
      </c>
      <c r="O637" s="50">
        <f t="shared" si="120"/>
        <v>1.1417643962604971E-2</v>
      </c>
      <c r="P637" s="50">
        <f t="shared" si="125"/>
        <v>1.7567460509383379E-2</v>
      </c>
      <c r="Q637" s="51">
        <f t="shared" si="126"/>
        <v>1.1417643962604971E-2</v>
      </c>
      <c r="R637" s="4">
        <f t="shared" si="121"/>
        <v>-1.4928476609558284E-2</v>
      </c>
      <c r="S637">
        <f t="shared" si="122"/>
        <v>0</v>
      </c>
      <c r="T637">
        <f t="shared" si="123"/>
        <v>0</v>
      </c>
      <c r="U637" s="5">
        <f>0</f>
        <v>0</v>
      </c>
      <c r="V637" s="45">
        <f t="shared" si="127"/>
        <v>0.17796555383952398</v>
      </c>
      <c r="W637" s="45">
        <f t="shared" si="128"/>
        <v>0</v>
      </c>
      <c r="X637" s="45">
        <f t="shared" si="129"/>
        <v>0</v>
      </c>
      <c r="Y637" s="46">
        <f>0</f>
        <v>0</v>
      </c>
      <c r="Z637" s="11"/>
    </row>
    <row r="638" spans="11:26" x14ac:dyDescent="0.45">
      <c r="K638" s="39">
        <f t="shared" si="124"/>
        <v>3.88</v>
      </c>
      <c r="L638" s="40">
        <f t="shared" si="117"/>
        <v>43.88</v>
      </c>
      <c r="M638" s="41">
        <f t="shared" si="118"/>
        <v>38.880000000000003</v>
      </c>
      <c r="N638" s="49">
        <f t="shared" si="119"/>
        <v>1.7552327798075865E-2</v>
      </c>
      <c r="O638" s="50">
        <f t="shared" si="120"/>
        <v>1.1407808738566427E-2</v>
      </c>
      <c r="P638" s="50">
        <f t="shared" si="125"/>
        <v>1.7552327798075865E-2</v>
      </c>
      <c r="Q638" s="51">
        <f t="shared" si="126"/>
        <v>1.1407808738566427E-2</v>
      </c>
      <c r="R638" s="4">
        <f t="shared" si="121"/>
        <v>-1.489616456114057E-2</v>
      </c>
      <c r="S638">
        <f t="shared" si="122"/>
        <v>0</v>
      </c>
      <c r="T638">
        <f t="shared" si="123"/>
        <v>0</v>
      </c>
      <c r="U638" s="5">
        <f>0</f>
        <v>0</v>
      </c>
      <c r="V638" s="45">
        <f t="shared" si="127"/>
        <v>0.17811483860561955</v>
      </c>
      <c r="W638" s="45">
        <f t="shared" si="128"/>
        <v>0</v>
      </c>
      <c r="X638" s="45">
        <f t="shared" si="129"/>
        <v>0</v>
      </c>
      <c r="Y638" s="46">
        <f>0</f>
        <v>0</v>
      </c>
      <c r="Z638" s="11"/>
    </row>
    <row r="639" spans="11:26" x14ac:dyDescent="0.45">
      <c r="K639" s="39">
        <f t="shared" si="124"/>
        <v>3.87</v>
      </c>
      <c r="L639" s="40">
        <f t="shared" si="117"/>
        <v>43.87</v>
      </c>
      <c r="M639" s="41">
        <f t="shared" si="118"/>
        <v>38.869999999999997</v>
      </c>
      <c r="N639" s="49">
        <f t="shared" si="119"/>
        <v>1.7537208122172718E-2</v>
      </c>
      <c r="O639" s="50">
        <f t="shared" si="120"/>
        <v>1.1397981986646313E-2</v>
      </c>
      <c r="P639" s="50">
        <f t="shared" si="125"/>
        <v>1.7537208122172718E-2</v>
      </c>
      <c r="Q639" s="51">
        <f t="shared" si="126"/>
        <v>1.1397981986646313E-2</v>
      </c>
      <c r="R639" s="4">
        <f t="shared" si="121"/>
        <v>-1.4863903146467574E-2</v>
      </c>
      <c r="S639">
        <f t="shared" si="122"/>
        <v>0</v>
      </c>
      <c r="T639">
        <f t="shared" si="123"/>
        <v>0</v>
      </c>
      <c r="U639" s="5">
        <f>0</f>
        <v>0</v>
      </c>
      <c r="V639" s="45">
        <f t="shared" si="127"/>
        <v>0.17826380025123095</v>
      </c>
      <c r="W639" s="45">
        <f t="shared" si="128"/>
        <v>0</v>
      </c>
      <c r="X639" s="45">
        <f t="shared" si="129"/>
        <v>0</v>
      </c>
      <c r="Y639" s="46">
        <f>0</f>
        <v>0</v>
      </c>
      <c r="Z639" s="11"/>
    </row>
    <row r="640" spans="11:26" x14ac:dyDescent="0.45">
      <c r="K640" s="39">
        <f t="shared" si="124"/>
        <v>3.86</v>
      </c>
      <c r="L640" s="40">
        <f t="shared" si="117"/>
        <v>43.86</v>
      </c>
      <c r="M640" s="41">
        <f t="shared" si="118"/>
        <v>38.86</v>
      </c>
      <c r="N640" s="49">
        <f t="shared" si="119"/>
        <v>1.7522101470445178E-2</v>
      </c>
      <c r="O640" s="50">
        <f t="shared" si="120"/>
        <v>1.1388163699546703E-2</v>
      </c>
      <c r="P640" s="50">
        <f t="shared" si="125"/>
        <v>1.7522101470445178E-2</v>
      </c>
      <c r="Q640" s="51">
        <f t="shared" si="126"/>
        <v>1.1388163699546703E-2</v>
      </c>
      <c r="R640" s="4">
        <f t="shared" si="121"/>
        <v>-1.4831692276569297E-2</v>
      </c>
      <c r="S640">
        <f t="shared" si="122"/>
        <v>0</v>
      </c>
      <c r="T640">
        <f t="shared" si="123"/>
        <v>0</v>
      </c>
      <c r="U640" s="5">
        <f>0</f>
        <v>0</v>
      </c>
      <c r="V640" s="45">
        <f t="shared" si="127"/>
        <v>0.17841243928269562</v>
      </c>
      <c r="W640" s="45">
        <f t="shared" si="128"/>
        <v>0</v>
      </c>
      <c r="X640" s="45">
        <f t="shared" si="129"/>
        <v>0</v>
      </c>
      <c r="Y640" s="46">
        <f>0</f>
        <v>0</v>
      </c>
      <c r="Z640" s="11"/>
    </row>
    <row r="641" spans="11:26" x14ac:dyDescent="0.45">
      <c r="K641" s="39">
        <f t="shared" si="124"/>
        <v>3.85</v>
      </c>
      <c r="L641" s="40">
        <f t="shared" si="117"/>
        <v>43.85</v>
      </c>
      <c r="M641" s="41">
        <f t="shared" si="118"/>
        <v>38.85</v>
      </c>
      <c r="N641" s="49">
        <f t="shared" si="119"/>
        <v>1.7507007831674134E-2</v>
      </c>
      <c r="O641" s="50">
        <f t="shared" si="120"/>
        <v>1.1378353869975955E-2</v>
      </c>
      <c r="P641" s="50">
        <f t="shared" si="125"/>
        <v>1.7507007831674134E-2</v>
      </c>
      <c r="Q641" s="51">
        <f t="shared" si="126"/>
        <v>1.1378353869975955E-2</v>
      </c>
      <c r="R641" s="4">
        <f t="shared" si="121"/>
        <v>-1.479953186266211E-2</v>
      </c>
      <c r="S641">
        <f t="shared" si="122"/>
        <v>0</v>
      </c>
      <c r="T641">
        <f t="shared" si="123"/>
        <v>0</v>
      </c>
      <c r="U641" s="5">
        <f>0</f>
        <v>0</v>
      </c>
      <c r="V641" s="45">
        <f t="shared" si="127"/>
        <v>0.17856075620546133</v>
      </c>
      <c r="W641" s="45">
        <f t="shared" si="128"/>
        <v>0</v>
      </c>
      <c r="X641" s="45">
        <f t="shared" si="129"/>
        <v>0</v>
      </c>
      <c r="Y641" s="46">
        <f>0</f>
        <v>0</v>
      </c>
      <c r="Z641" s="11"/>
    </row>
    <row r="642" spans="11:26" x14ac:dyDescent="0.45">
      <c r="K642" s="39">
        <f t="shared" si="124"/>
        <v>3.84</v>
      </c>
      <c r="L642" s="40">
        <f t="shared" si="117"/>
        <v>43.84</v>
      </c>
      <c r="M642" s="41">
        <f t="shared" si="118"/>
        <v>38.840000000000003</v>
      </c>
      <c r="N642" s="49">
        <f t="shared" si="119"/>
        <v>1.7491927194650158E-2</v>
      </c>
      <c r="O642" s="50">
        <f t="shared" si="120"/>
        <v>1.1368552490648704E-2</v>
      </c>
      <c r="P642" s="50">
        <f t="shared" si="125"/>
        <v>1.7491927194650158E-2</v>
      </c>
      <c r="Q642" s="51">
        <f t="shared" si="126"/>
        <v>1.1368552490648704E-2</v>
      </c>
      <c r="R642" s="4">
        <f t="shared" si="121"/>
        <v>-1.4767421816148402E-2</v>
      </c>
      <c r="S642">
        <f t="shared" si="122"/>
        <v>0</v>
      </c>
      <c r="T642">
        <f t="shared" si="123"/>
        <v>0</v>
      </c>
      <c r="U642" s="5">
        <f>0</f>
        <v>0</v>
      </c>
      <c r="V642" s="45">
        <f t="shared" si="127"/>
        <v>0.17870875152408794</v>
      </c>
      <c r="W642" s="45">
        <f t="shared" si="128"/>
        <v>0</v>
      </c>
      <c r="X642" s="45">
        <f t="shared" si="129"/>
        <v>0</v>
      </c>
      <c r="Y642" s="46">
        <f>0</f>
        <v>0</v>
      </c>
      <c r="Z642" s="11"/>
    </row>
    <row r="643" spans="11:26" x14ac:dyDescent="0.45">
      <c r="K643" s="39">
        <f t="shared" si="124"/>
        <v>3.83</v>
      </c>
      <c r="L643" s="40">
        <f t="shared" si="117"/>
        <v>43.83</v>
      </c>
      <c r="M643" s="41">
        <f t="shared" si="118"/>
        <v>38.83</v>
      </c>
      <c r="N643" s="49">
        <f t="shared" si="119"/>
        <v>1.7476859548173455E-2</v>
      </c>
      <c r="O643" s="50">
        <f t="shared" si="120"/>
        <v>1.1358759554285842E-2</v>
      </c>
      <c r="P643" s="50">
        <f t="shared" si="125"/>
        <v>1.7476859548173455E-2</v>
      </c>
      <c r="Q643" s="51">
        <f t="shared" si="126"/>
        <v>1.1358759554285842E-2</v>
      </c>
      <c r="R643" s="4">
        <f t="shared" si="121"/>
        <v>-1.4735362048616028E-2</v>
      </c>
      <c r="S643">
        <f t="shared" si="122"/>
        <v>0</v>
      </c>
      <c r="T643">
        <f t="shared" si="123"/>
        <v>0</v>
      </c>
      <c r="U643" s="5">
        <f>0</f>
        <v>0</v>
      </c>
      <c r="V643" s="45">
        <f t="shared" si="127"/>
        <v>0.17885642574224941</v>
      </c>
      <c r="W643" s="45">
        <f t="shared" si="128"/>
        <v>0</v>
      </c>
      <c r="X643" s="45">
        <f t="shared" si="129"/>
        <v>0</v>
      </c>
      <c r="Y643" s="46">
        <f>0</f>
        <v>0</v>
      </c>
      <c r="Z643" s="11"/>
    </row>
    <row r="644" spans="11:26" x14ac:dyDescent="0.45">
      <c r="K644" s="39">
        <f t="shared" si="124"/>
        <v>3.82</v>
      </c>
      <c r="L644" s="40">
        <f t="shared" si="117"/>
        <v>43.82</v>
      </c>
      <c r="M644" s="41">
        <f t="shared" si="118"/>
        <v>38.82</v>
      </c>
      <c r="N644" s="49">
        <f t="shared" si="119"/>
        <v>1.7461804881053915E-2</v>
      </c>
      <c r="O644" s="50">
        <f t="shared" si="120"/>
        <v>1.1348975053614581E-2</v>
      </c>
      <c r="P644" s="50">
        <f t="shared" si="125"/>
        <v>1.7461804881053915E-2</v>
      </c>
      <c r="Q644" s="51">
        <f t="shared" si="126"/>
        <v>1.1348975053614581E-2</v>
      </c>
      <c r="R644" s="4">
        <f t="shared" si="121"/>
        <v>-1.4703352471837986E-2</v>
      </c>
      <c r="S644">
        <f t="shared" si="122"/>
        <v>0</v>
      </c>
      <c r="T644">
        <f t="shared" si="123"/>
        <v>0</v>
      </c>
      <c r="U644" s="5">
        <f>0</f>
        <v>0</v>
      </c>
      <c r="V644" s="45">
        <f t="shared" si="127"/>
        <v>0.17900377936273557</v>
      </c>
      <c r="W644" s="45">
        <f t="shared" si="128"/>
        <v>0</v>
      </c>
      <c r="X644" s="45">
        <f t="shared" si="129"/>
        <v>0</v>
      </c>
      <c r="Y644" s="46">
        <f>0</f>
        <v>0</v>
      </c>
      <c r="Z644" s="11"/>
    </row>
    <row r="645" spans="11:26" x14ac:dyDescent="0.45">
      <c r="K645" s="39">
        <f t="shared" si="124"/>
        <v>3.81</v>
      </c>
      <c r="L645" s="40">
        <f t="shared" si="117"/>
        <v>43.81</v>
      </c>
      <c r="M645" s="41">
        <f t="shared" si="118"/>
        <v>38.81</v>
      </c>
      <c r="N645" s="49">
        <f t="shared" si="119"/>
        <v>1.7446763182111035E-2</v>
      </c>
      <c r="O645" s="50">
        <f t="shared" si="120"/>
        <v>1.1339198981368356E-2</v>
      </c>
      <c r="P645" s="50">
        <f t="shared" si="125"/>
        <v>1.7446763182111035E-2</v>
      </c>
      <c r="Q645" s="51">
        <f t="shared" si="126"/>
        <v>1.1339198981368356E-2</v>
      </c>
      <c r="R645" s="4">
        <f t="shared" si="121"/>
        <v>-1.4671392997771867E-2</v>
      </c>
      <c r="S645">
        <f t="shared" si="122"/>
        <v>0</v>
      </c>
      <c r="T645">
        <f t="shared" si="123"/>
        <v>0</v>
      </c>
      <c r="U645" s="5">
        <f>0</f>
        <v>0</v>
      </c>
      <c r="V645" s="45">
        <f t="shared" si="127"/>
        <v>0.17915081288745394</v>
      </c>
      <c r="W645" s="45">
        <f t="shared" si="128"/>
        <v>0</v>
      </c>
      <c r="X645" s="45">
        <f t="shared" si="129"/>
        <v>0</v>
      </c>
      <c r="Y645" s="46">
        <f>0</f>
        <v>0</v>
      </c>
      <c r="Z645" s="11"/>
    </row>
    <row r="646" spans="11:26" x14ac:dyDescent="0.45">
      <c r="K646" s="39">
        <f t="shared" si="124"/>
        <v>3.8</v>
      </c>
      <c r="L646" s="40">
        <f t="shared" si="117"/>
        <v>43.8</v>
      </c>
      <c r="M646" s="41">
        <f t="shared" si="118"/>
        <v>38.799999999999997</v>
      </c>
      <c r="N646" s="49">
        <f t="shared" si="119"/>
        <v>1.7431734440173943E-2</v>
      </c>
      <c r="O646" s="50">
        <f t="shared" si="120"/>
        <v>1.1329431330286858E-2</v>
      </c>
      <c r="P646" s="50">
        <f t="shared" si="125"/>
        <v>1.7431734440173943E-2</v>
      </c>
      <c r="Q646" s="51">
        <f t="shared" si="126"/>
        <v>1.1329431330286858E-2</v>
      </c>
      <c r="R646" s="4">
        <f t="shared" si="121"/>
        <v>-1.4639483538559423E-2</v>
      </c>
      <c r="S646">
        <f t="shared" si="122"/>
        <v>0</v>
      </c>
      <c r="T646">
        <f t="shared" si="123"/>
        <v>0</v>
      </c>
      <c r="U646" s="5">
        <f>0</f>
        <v>0</v>
      </c>
      <c r="V646" s="45">
        <f t="shared" si="127"/>
        <v>0.17929752681743166</v>
      </c>
      <c r="W646" s="45">
        <f t="shared" si="128"/>
        <v>0</v>
      </c>
      <c r="X646" s="45">
        <f t="shared" si="129"/>
        <v>0</v>
      </c>
      <c r="Y646" s="46">
        <f>0</f>
        <v>0</v>
      </c>
      <c r="Z646" s="11"/>
    </row>
    <row r="647" spans="11:26" x14ac:dyDescent="0.45">
      <c r="K647" s="39">
        <f t="shared" si="124"/>
        <v>3.79</v>
      </c>
      <c r="L647" s="40">
        <f t="shared" si="117"/>
        <v>43.79</v>
      </c>
      <c r="M647" s="41">
        <f t="shared" si="118"/>
        <v>38.79</v>
      </c>
      <c r="N647" s="49">
        <f t="shared" si="119"/>
        <v>1.7416718644081421E-2</v>
      </c>
      <c r="O647" s="50">
        <f t="shared" si="120"/>
        <v>1.1319672093116072E-2</v>
      </c>
      <c r="P647" s="50">
        <f t="shared" si="125"/>
        <v>1.7416718644081421E-2</v>
      </c>
      <c r="Q647" s="51">
        <f t="shared" si="126"/>
        <v>1.1319672093116072E-2</v>
      </c>
      <c r="R647" s="4">
        <f t="shared" si="121"/>
        <v>-1.4607624006526222E-2</v>
      </c>
      <c r="S647">
        <f t="shared" si="122"/>
        <v>0</v>
      </c>
      <c r="T647">
        <f t="shared" si="123"/>
        <v>0</v>
      </c>
      <c r="U647" s="5">
        <f>0</f>
        <v>0</v>
      </c>
      <c r="V647" s="45">
        <f t="shared" si="127"/>
        <v>0.17944392165281725</v>
      </c>
      <c r="W647" s="45">
        <f t="shared" si="128"/>
        <v>0</v>
      </c>
      <c r="X647" s="45">
        <f t="shared" si="129"/>
        <v>0</v>
      </c>
      <c r="Y647" s="46">
        <f>0</f>
        <v>0</v>
      </c>
      <c r="Z647" s="11"/>
    </row>
    <row r="648" spans="11:26" x14ac:dyDescent="0.45">
      <c r="K648" s="39">
        <f t="shared" si="124"/>
        <v>3.78</v>
      </c>
      <c r="L648" s="40">
        <f t="shared" si="117"/>
        <v>43.78</v>
      </c>
      <c r="M648" s="41">
        <f t="shared" si="118"/>
        <v>38.78</v>
      </c>
      <c r="N648" s="49">
        <f t="shared" si="119"/>
        <v>1.7401715782681831E-2</v>
      </c>
      <c r="O648" s="50">
        <f t="shared" si="120"/>
        <v>1.1309921262608198E-2</v>
      </c>
      <c r="P648" s="50">
        <f t="shared" si="125"/>
        <v>1.7401715782681831E-2</v>
      </c>
      <c r="Q648" s="51">
        <f t="shared" si="126"/>
        <v>1.1309921262608198E-2</v>
      </c>
      <c r="R648" s="4">
        <f t="shared" si="121"/>
        <v>-1.4575814314181057E-2</v>
      </c>
      <c r="S648">
        <f t="shared" si="122"/>
        <v>0</v>
      </c>
      <c r="T648">
        <f t="shared" si="123"/>
        <v>0</v>
      </c>
      <c r="U648" s="5">
        <f>0</f>
        <v>0</v>
      </c>
      <c r="V648" s="45">
        <f t="shared" si="127"/>
        <v>0.17958999789288252</v>
      </c>
      <c r="W648" s="45">
        <f t="shared" si="128"/>
        <v>0</v>
      </c>
      <c r="X648" s="45">
        <f t="shared" si="129"/>
        <v>0</v>
      </c>
      <c r="Y648" s="46">
        <f>0</f>
        <v>0</v>
      </c>
      <c r="Z648" s="11"/>
    </row>
    <row r="649" spans="11:26" x14ac:dyDescent="0.45">
      <c r="K649" s="39">
        <f t="shared" si="124"/>
        <v>3.77</v>
      </c>
      <c r="L649" s="40">
        <f t="shared" si="117"/>
        <v>43.77</v>
      </c>
      <c r="M649" s="41">
        <f t="shared" si="118"/>
        <v>38.770000000000003</v>
      </c>
      <c r="N649" s="49">
        <f t="shared" si="119"/>
        <v>1.7386725844833157E-2</v>
      </c>
      <c r="O649" s="50">
        <f t="shared" si="120"/>
        <v>1.1300178831521684E-2</v>
      </c>
      <c r="P649" s="50">
        <f t="shared" si="125"/>
        <v>1.7386725844833157E-2</v>
      </c>
      <c r="Q649" s="51">
        <f t="shared" si="126"/>
        <v>1.1300178831521684E-2</v>
      </c>
      <c r="R649" s="4">
        <f t="shared" si="121"/>
        <v>-1.4544054374215626E-2</v>
      </c>
      <c r="S649">
        <f t="shared" si="122"/>
        <v>0</v>
      </c>
      <c r="T649">
        <f t="shared" si="123"/>
        <v>0</v>
      </c>
      <c r="U649" s="5">
        <f>0</f>
        <v>0</v>
      </c>
      <c r="V649" s="45">
        <f t="shared" si="127"/>
        <v>0.17973575603602432</v>
      </c>
      <c r="W649" s="45">
        <f t="shared" si="128"/>
        <v>0</v>
      </c>
      <c r="X649" s="45">
        <f t="shared" si="129"/>
        <v>0</v>
      </c>
      <c r="Y649" s="46">
        <f>0</f>
        <v>0</v>
      </c>
      <c r="Z649" s="11"/>
    </row>
    <row r="650" spans="11:26" x14ac:dyDescent="0.45">
      <c r="K650" s="39">
        <f t="shared" si="124"/>
        <v>3.76</v>
      </c>
      <c r="L650" s="40">
        <f t="shared" si="117"/>
        <v>43.76</v>
      </c>
      <c r="M650" s="41">
        <f t="shared" si="118"/>
        <v>38.76</v>
      </c>
      <c r="N650" s="49">
        <f t="shared" si="119"/>
        <v>1.7371748819402972E-2</v>
      </c>
      <c r="O650" s="50">
        <f t="shared" si="120"/>
        <v>1.1290444792621212E-2</v>
      </c>
      <c r="P650" s="50">
        <f t="shared" si="125"/>
        <v>1.7371748819402972E-2</v>
      </c>
      <c r="Q650" s="51">
        <f t="shared" si="126"/>
        <v>1.1290444792621212E-2</v>
      </c>
      <c r="R650" s="4">
        <f t="shared" si="121"/>
        <v>-1.4512344099504009E-2</v>
      </c>
      <c r="S650">
        <f t="shared" si="122"/>
        <v>0</v>
      </c>
      <c r="T650">
        <f t="shared" si="123"/>
        <v>0</v>
      </c>
      <c r="U650" s="5">
        <f>0</f>
        <v>0</v>
      </c>
      <c r="V650" s="45">
        <f t="shared" si="127"/>
        <v>0.17988119657976648</v>
      </c>
      <c r="W650" s="45">
        <f t="shared" si="128"/>
        <v>0</v>
      </c>
      <c r="X650" s="45">
        <f t="shared" si="129"/>
        <v>0</v>
      </c>
      <c r="Y650" s="46">
        <f>0</f>
        <v>0</v>
      </c>
      <c r="Z650" s="11"/>
    </row>
    <row r="651" spans="11:26" x14ac:dyDescent="0.45">
      <c r="K651" s="39">
        <f t="shared" si="124"/>
        <v>3.75</v>
      </c>
      <c r="L651" s="40">
        <f t="shared" si="117"/>
        <v>43.75</v>
      </c>
      <c r="M651" s="41">
        <f t="shared" si="118"/>
        <v>38.75</v>
      </c>
      <c r="N651" s="49">
        <f t="shared" si="119"/>
        <v>1.7356784695268454E-2</v>
      </c>
      <c r="O651" s="50">
        <f t="shared" si="120"/>
        <v>1.1280719138677729E-2</v>
      </c>
      <c r="P651" s="50">
        <f t="shared" si="125"/>
        <v>1.7356784695268454E-2</v>
      </c>
      <c r="Q651" s="51">
        <f t="shared" si="126"/>
        <v>1.1280719138677729E-2</v>
      </c>
      <c r="R651" s="4">
        <f t="shared" si="121"/>
        <v>-1.4480683403102329E-2</v>
      </c>
      <c r="S651">
        <f t="shared" si="122"/>
        <v>0</v>
      </c>
      <c r="T651">
        <f t="shared" si="123"/>
        <v>0</v>
      </c>
      <c r="U651" s="5">
        <f>0</f>
        <v>0</v>
      </c>
      <c r="V651" s="45">
        <f t="shared" si="127"/>
        <v>0.18002632002076152</v>
      </c>
      <c r="W651" s="45">
        <f t="shared" si="128"/>
        <v>0</v>
      </c>
      <c r="X651" s="45">
        <f t="shared" si="129"/>
        <v>0</v>
      </c>
      <c r="Y651" s="46">
        <f>0</f>
        <v>0</v>
      </c>
      <c r="Z651" s="11"/>
    </row>
    <row r="652" spans="11:26" x14ac:dyDescent="0.45">
      <c r="K652" s="39">
        <f t="shared" si="124"/>
        <v>3.74</v>
      </c>
      <c r="L652" s="40">
        <f t="shared" si="117"/>
        <v>43.74</v>
      </c>
      <c r="M652" s="41">
        <f t="shared" si="118"/>
        <v>38.74</v>
      </c>
      <c r="N652" s="49">
        <f t="shared" si="119"/>
        <v>1.7341833461316351E-2</v>
      </c>
      <c r="O652" s="50">
        <f t="shared" si="120"/>
        <v>1.1271001862468369E-2</v>
      </c>
      <c r="P652" s="50">
        <f t="shared" si="125"/>
        <v>1.7341833461316351E-2</v>
      </c>
      <c r="Q652" s="51">
        <f t="shared" si="126"/>
        <v>1.1271001862468369E-2</v>
      </c>
      <c r="R652" s="4">
        <f t="shared" si="121"/>
        <v>-1.4449072198248187E-2</v>
      </c>
      <c r="S652">
        <f t="shared" si="122"/>
        <v>0</v>
      </c>
      <c r="T652">
        <f t="shared" si="123"/>
        <v>0</v>
      </c>
      <c r="U652" s="5">
        <f>0</f>
        <v>0</v>
      </c>
      <c r="V652" s="45">
        <f t="shared" si="127"/>
        <v>0.18017112685479256</v>
      </c>
      <c r="W652" s="45">
        <f t="shared" si="128"/>
        <v>0</v>
      </c>
      <c r="X652" s="45">
        <f t="shared" si="129"/>
        <v>0</v>
      </c>
      <c r="Y652" s="46">
        <f>0</f>
        <v>0</v>
      </c>
      <c r="Z652" s="11"/>
    </row>
    <row r="653" spans="11:26" x14ac:dyDescent="0.45">
      <c r="K653" s="39">
        <f t="shared" si="124"/>
        <v>3.73</v>
      </c>
      <c r="L653" s="40">
        <f t="shared" si="117"/>
        <v>43.73</v>
      </c>
      <c r="M653" s="41">
        <f t="shared" si="118"/>
        <v>38.729999999999997</v>
      </c>
      <c r="N653" s="49">
        <f t="shared" si="119"/>
        <v>1.7326895106442974E-2</v>
      </c>
      <c r="O653" s="50">
        <f t="shared" si="120"/>
        <v>1.1261292956776494E-2</v>
      </c>
      <c r="P653" s="50">
        <f t="shared" si="125"/>
        <v>1.7326895106442974E-2</v>
      </c>
      <c r="Q653" s="51">
        <f t="shared" si="126"/>
        <v>1.1261292956776494E-2</v>
      </c>
      <c r="R653" s="4">
        <f t="shared" si="121"/>
        <v>-1.441751039836031E-2</v>
      </c>
      <c r="S653">
        <f t="shared" si="122"/>
        <v>0</v>
      </c>
      <c r="T653">
        <f t="shared" si="123"/>
        <v>0</v>
      </c>
      <c r="U653" s="5">
        <f>0</f>
        <v>0</v>
      </c>
      <c r="V653" s="45">
        <f t="shared" si="127"/>
        <v>0.18031561757677503</v>
      </c>
      <c r="W653" s="45">
        <f t="shared" si="128"/>
        <v>0</v>
      </c>
      <c r="X653" s="45">
        <f t="shared" si="129"/>
        <v>0</v>
      </c>
      <c r="Y653" s="46">
        <f>0</f>
        <v>0</v>
      </c>
      <c r="Z653" s="11"/>
    </row>
    <row r="654" spans="11:26" x14ac:dyDescent="0.45">
      <c r="K654" s="39">
        <f t="shared" si="124"/>
        <v>3.72</v>
      </c>
      <c r="L654" s="40">
        <f t="shared" si="117"/>
        <v>43.72</v>
      </c>
      <c r="M654" s="41">
        <f t="shared" si="118"/>
        <v>38.72</v>
      </c>
      <c r="N654" s="49">
        <f t="shared" si="119"/>
        <v>1.7311969619554227E-2</v>
      </c>
      <c r="O654" s="50">
        <f t="shared" si="120"/>
        <v>1.125159241439172E-2</v>
      </c>
      <c r="P654" s="50">
        <f t="shared" si="125"/>
        <v>1.7311969619554227E-2</v>
      </c>
      <c r="Q654" s="51">
        <f t="shared" si="126"/>
        <v>1.125159241439172E-2</v>
      </c>
      <c r="R654" s="4">
        <f t="shared" si="121"/>
        <v>-1.4385997917038141E-2</v>
      </c>
      <c r="S654">
        <f t="shared" si="122"/>
        <v>0</v>
      </c>
      <c r="T654">
        <f t="shared" si="123"/>
        <v>0</v>
      </c>
      <c r="U654" s="5">
        <f>0</f>
        <v>0</v>
      </c>
      <c r="V654" s="45">
        <f t="shared" si="127"/>
        <v>0.18045979268075862</v>
      </c>
      <c r="W654" s="45">
        <f t="shared" si="128"/>
        <v>0</v>
      </c>
      <c r="X654" s="45">
        <f t="shared" si="129"/>
        <v>0</v>
      </c>
      <c r="Y654" s="46">
        <f>0</f>
        <v>0</v>
      </c>
      <c r="Z654" s="11"/>
    </row>
    <row r="655" spans="11:26" x14ac:dyDescent="0.45">
      <c r="K655" s="39">
        <f t="shared" si="124"/>
        <v>3.71</v>
      </c>
      <c r="L655" s="40">
        <f t="shared" si="117"/>
        <v>43.71</v>
      </c>
      <c r="M655" s="41">
        <f t="shared" si="118"/>
        <v>38.71</v>
      </c>
      <c r="N655" s="49">
        <f t="shared" si="119"/>
        <v>1.7297056989565553E-2</v>
      </c>
      <c r="O655" s="50">
        <f t="shared" si="120"/>
        <v>1.1241900228109824E-2</v>
      </c>
      <c r="P655" s="50">
        <f t="shared" si="125"/>
        <v>1.7297056989565553E-2</v>
      </c>
      <c r="Q655" s="51">
        <f t="shared" si="126"/>
        <v>1.1241900228109824E-2</v>
      </c>
      <c r="R655" s="4">
        <f t="shared" si="121"/>
        <v>-1.4354534668061308E-2</v>
      </c>
      <c r="S655">
        <f t="shared" si="122"/>
        <v>0</v>
      </c>
      <c r="T655">
        <f t="shared" si="123"/>
        <v>0</v>
      </c>
      <c r="U655" s="5">
        <f>0</f>
        <v>0</v>
      </c>
      <c r="V655" s="45">
        <f t="shared" si="127"/>
        <v>0.180603652659929</v>
      </c>
      <c r="W655" s="45">
        <f t="shared" si="128"/>
        <v>0</v>
      </c>
      <c r="X655" s="45">
        <f t="shared" si="129"/>
        <v>0</v>
      </c>
      <c r="Y655" s="46">
        <f>0</f>
        <v>0</v>
      </c>
      <c r="Z655" s="11"/>
    </row>
    <row r="656" spans="11:26" x14ac:dyDescent="0.45">
      <c r="K656" s="39">
        <f t="shared" si="124"/>
        <v>3.7</v>
      </c>
      <c r="L656" s="40">
        <f t="shared" si="117"/>
        <v>43.7</v>
      </c>
      <c r="M656" s="41">
        <f t="shared" si="118"/>
        <v>38.700000000000003</v>
      </c>
      <c r="N656" s="49">
        <f t="shared" si="119"/>
        <v>1.7282157205401934E-2</v>
      </c>
      <c r="O656" s="50">
        <f t="shared" si="120"/>
        <v>1.1232216390732817E-2</v>
      </c>
      <c r="P656" s="50">
        <f t="shared" si="125"/>
        <v>1.7282157205401934E-2</v>
      </c>
      <c r="Q656" s="51">
        <f t="shared" si="126"/>
        <v>1.1232216390732817E-2</v>
      </c>
      <c r="R656" s="4">
        <f t="shared" si="121"/>
        <v>-1.4323120565389261E-2</v>
      </c>
      <c r="S656">
        <f t="shared" si="122"/>
        <v>0</v>
      </c>
      <c r="T656">
        <f t="shared" si="123"/>
        <v>0</v>
      </c>
      <c r="U656" s="5">
        <f>0</f>
        <v>0</v>
      </c>
      <c r="V656" s="45">
        <f t="shared" si="127"/>
        <v>0.18074719800660963</v>
      </c>
      <c r="W656" s="45">
        <f t="shared" si="128"/>
        <v>0</v>
      </c>
      <c r="X656" s="45">
        <f t="shared" si="129"/>
        <v>0</v>
      </c>
      <c r="Y656" s="46">
        <f>0</f>
        <v>0</v>
      </c>
      <c r="Z656" s="11"/>
    </row>
    <row r="657" spans="11:26" x14ac:dyDescent="0.45">
      <c r="K657" s="39">
        <f t="shared" si="124"/>
        <v>3.69</v>
      </c>
      <c r="L657" s="40">
        <f t="shared" si="117"/>
        <v>43.69</v>
      </c>
      <c r="M657" s="41">
        <f t="shared" si="118"/>
        <v>38.69</v>
      </c>
      <c r="N657" s="49">
        <f t="shared" si="119"/>
        <v>1.7267270255997905E-2</v>
      </c>
      <c r="O657" s="50">
        <f t="shared" si="120"/>
        <v>1.1222540895068902E-2</v>
      </c>
      <c r="P657" s="50">
        <f t="shared" si="125"/>
        <v>1.7267270255997905E-2</v>
      </c>
      <c r="Q657" s="51">
        <f t="shared" si="126"/>
        <v>1.1222540895068902E-2</v>
      </c>
      <c r="R657" s="4">
        <f t="shared" si="121"/>
        <v>-1.4291755523160825E-2</v>
      </c>
      <c r="S657">
        <f t="shared" si="122"/>
        <v>0</v>
      </c>
      <c r="T657">
        <f t="shared" si="123"/>
        <v>0</v>
      </c>
      <c r="U657" s="5">
        <f>0</f>
        <v>0</v>
      </c>
      <c r="V657" s="45">
        <f t="shared" si="127"/>
        <v>0.18089042921226353</v>
      </c>
      <c r="W657" s="45">
        <f t="shared" si="128"/>
        <v>0</v>
      </c>
      <c r="X657" s="45">
        <f t="shared" si="129"/>
        <v>0</v>
      </c>
      <c r="Y657" s="46">
        <f>0</f>
        <v>0</v>
      </c>
      <c r="Z657" s="11"/>
    </row>
    <row r="658" spans="11:26" x14ac:dyDescent="0.45">
      <c r="K658" s="39">
        <f t="shared" si="124"/>
        <v>3.68</v>
      </c>
      <c r="L658" s="40">
        <f t="shared" si="117"/>
        <v>43.68</v>
      </c>
      <c r="M658" s="41">
        <f t="shared" si="118"/>
        <v>38.68</v>
      </c>
      <c r="N658" s="49">
        <f t="shared" si="119"/>
        <v>1.7252396130297536E-2</v>
      </c>
      <c r="O658" s="50">
        <f t="shared" si="120"/>
        <v>1.1212873733932488E-2</v>
      </c>
      <c r="P658" s="50">
        <f t="shared" si="125"/>
        <v>1.7252396130297536E-2</v>
      </c>
      <c r="Q658" s="51">
        <f t="shared" si="126"/>
        <v>1.1212873733932488E-2</v>
      </c>
      <c r="R658" s="4">
        <f t="shared" si="121"/>
        <v>-1.4260439455693783E-2</v>
      </c>
      <c r="S658">
        <f t="shared" si="122"/>
        <v>0</v>
      </c>
      <c r="T658">
        <f t="shared" si="123"/>
        <v>0</v>
      </c>
      <c r="U658" s="5">
        <f>0</f>
        <v>0</v>
      </c>
      <c r="V658" s="45">
        <f t="shared" si="127"/>
        <v>0.18103334676749513</v>
      </c>
      <c r="W658" s="45">
        <f t="shared" si="128"/>
        <v>0</v>
      </c>
      <c r="X658" s="45">
        <f t="shared" si="129"/>
        <v>0</v>
      </c>
      <c r="Y658" s="46">
        <f>0</f>
        <v>0</v>
      </c>
      <c r="Z658" s="11"/>
    </row>
    <row r="659" spans="11:26" x14ac:dyDescent="0.45">
      <c r="K659" s="39">
        <f t="shared" si="124"/>
        <v>3.67</v>
      </c>
      <c r="L659" s="40">
        <f t="shared" si="117"/>
        <v>43.67</v>
      </c>
      <c r="M659" s="41">
        <f t="shared" si="118"/>
        <v>38.67</v>
      </c>
      <c r="N659" s="49">
        <f t="shared" si="119"/>
        <v>1.7237534817254416E-2</v>
      </c>
      <c r="O659" s="50">
        <f t="shared" si="120"/>
        <v>1.1203214900144157E-2</v>
      </c>
      <c r="P659" s="50">
        <f t="shared" si="125"/>
        <v>1.7237534817254416E-2</v>
      </c>
      <c r="Q659" s="51">
        <f t="shared" si="126"/>
        <v>1.1203214900144157E-2</v>
      </c>
      <c r="R659" s="4">
        <f t="shared" si="121"/>
        <v>-1.4229172277484417E-2</v>
      </c>
      <c r="S659">
        <f t="shared" si="122"/>
        <v>0</v>
      </c>
      <c r="T659">
        <f t="shared" si="123"/>
        <v>0</v>
      </c>
      <c r="U659" s="5">
        <f>0</f>
        <v>0</v>
      </c>
      <c r="V659" s="45">
        <f t="shared" si="127"/>
        <v>0.18117595116205207</v>
      </c>
      <c r="W659" s="45">
        <f t="shared" si="128"/>
        <v>0</v>
      </c>
      <c r="X659" s="45">
        <f t="shared" si="129"/>
        <v>0</v>
      </c>
      <c r="Y659" s="46">
        <f>0</f>
        <v>0</v>
      </c>
      <c r="Z659" s="11"/>
    </row>
    <row r="660" spans="11:26" x14ac:dyDescent="0.45">
      <c r="K660" s="39">
        <f t="shared" si="124"/>
        <v>3.66</v>
      </c>
      <c r="L660" s="40">
        <f t="shared" si="117"/>
        <v>43.66</v>
      </c>
      <c r="M660" s="41">
        <f t="shared" si="118"/>
        <v>38.659999999999997</v>
      </c>
      <c r="N660" s="49">
        <f t="shared" si="119"/>
        <v>1.7222686305831632E-2</v>
      </c>
      <c r="O660" s="50">
        <f t="shared" si="120"/>
        <v>1.1193564386530684E-2</v>
      </c>
      <c r="P660" s="50">
        <f t="shared" si="125"/>
        <v>1.7222686305831632E-2</v>
      </c>
      <c r="Q660" s="51">
        <f t="shared" si="126"/>
        <v>1.1193564386530684E-2</v>
      </c>
      <c r="R660" s="4">
        <f t="shared" si="121"/>
        <v>-1.4197953903207088E-2</v>
      </c>
      <c r="S660">
        <f t="shared" si="122"/>
        <v>0</v>
      </c>
      <c r="T660">
        <f t="shared" si="123"/>
        <v>0</v>
      </c>
      <c r="U660" s="5">
        <f>0</f>
        <v>0</v>
      </c>
      <c r="V660" s="45">
        <f t="shared" si="127"/>
        <v>0.18131824288482692</v>
      </c>
      <c r="W660" s="45">
        <f t="shared" si="128"/>
        <v>0</v>
      </c>
      <c r="X660" s="45">
        <f t="shared" si="129"/>
        <v>0</v>
      </c>
      <c r="Y660" s="46">
        <f>0</f>
        <v>0</v>
      </c>
      <c r="Z660" s="11"/>
    </row>
    <row r="661" spans="11:26" x14ac:dyDescent="0.45">
      <c r="K661" s="39">
        <f t="shared" si="124"/>
        <v>3.65</v>
      </c>
      <c r="L661" s="40">
        <f t="shared" si="117"/>
        <v>43.65</v>
      </c>
      <c r="M661" s="41">
        <f t="shared" si="118"/>
        <v>38.65</v>
      </c>
      <c r="N661" s="49">
        <f t="shared" si="119"/>
        <v>1.7207850585001818E-2</v>
      </c>
      <c r="O661" s="50">
        <f t="shared" si="120"/>
        <v>1.1183922185925026E-2</v>
      </c>
      <c r="P661" s="50">
        <f t="shared" si="125"/>
        <v>1.7207850585001818E-2</v>
      </c>
      <c r="Q661" s="51">
        <f t="shared" si="126"/>
        <v>1.1183922185925026E-2</v>
      </c>
      <c r="R661" s="4">
        <f t="shared" si="121"/>
        <v>-1.4166784247713844E-2</v>
      </c>
      <c r="S661">
        <f t="shared" si="122"/>
        <v>0</v>
      </c>
      <c r="T661">
        <f t="shared" si="123"/>
        <v>0</v>
      </c>
      <c r="U661" s="5">
        <f>0</f>
        <v>0</v>
      </c>
      <c r="V661" s="45">
        <f t="shared" si="127"/>
        <v>0.18146022242385901</v>
      </c>
      <c r="W661" s="45">
        <f t="shared" si="128"/>
        <v>0</v>
      </c>
      <c r="X661" s="45">
        <f t="shared" si="129"/>
        <v>0</v>
      </c>
      <c r="Y661" s="46">
        <f>0</f>
        <v>0</v>
      </c>
      <c r="Z661" s="11"/>
    </row>
    <row r="662" spans="11:26" x14ac:dyDescent="0.45">
      <c r="K662" s="39">
        <f t="shared" si="124"/>
        <v>3.64</v>
      </c>
      <c r="L662" s="40">
        <f t="shared" si="117"/>
        <v>43.64</v>
      </c>
      <c r="M662" s="41">
        <f t="shared" si="118"/>
        <v>38.64</v>
      </c>
      <c r="N662" s="49">
        <f t="shared" si="119"/>
        <v>1.7193027643747076E-2</v>
      </c>
      <c r="O662" s="50">
        <f t="shared" si="120"/>
        <v>1.1174288291166313E-2</v>
      </c>
      <c r="P662" s="50">
        <f t="shared" si="125"/>
        <v>1.7193027643747076E-2</v>
      </c>
      <c r="Q662" s="51">
        <f t="shared" si="126"/>
        <v>1.1174288291166313E-2</v>
      </c>
      <c r="R662" s="4">
        <f t="shared" si="121"/>
        <v>-1.413566322603395E-2</v>
      </c>
      <c r="S662">
        <f t="shared" si="122"/>
        <v>0</v>
      </c>
      <c r="T662">
        <f t="shared" si="123"/>
        <v>0</v>
      </c>
      <c r="U662" s="5">
        <f>0</f>
        <v>0</v>
      </c>
      <c r="V662" s="45">
        <f t="shared" si="127"/>
        <v>0.18160189026633614</v>
      </c>
      <c r="W662" s="45">
        <f t="shared" si="128"/>
        <v>0</v>
      </c>
      <c r="X662" s="45">
        <f t="shared" si="129"/>
        <v>0</v>
      </c>
      <c r="Y662" s="46">
        <f>0</f>
        <v>0</v>
      </c>
      <c r="Z662" s="11"/>
    </row>
    <row r="663" spans="11:26" x14ac:dyDescent="0.45">
      <c r="K663" s="39">
        <f t="shared" si="124"/>
        <v>3.63</v>
      </c>
      <c r="L663" s="40">
        <f t="shared" si="117"/>
        <v>43.63</v>
      </c>
      <c r="M663" s="41">
        <f t="shared" si="118"/>
        <v>38.630000000000003</v>
      </c>
      <c r="N663" s="49">
        <f t="shared" si="119"/>
        <v>1.717821747105901E-2</v>
      </c>
      <c r="O663" s="50">
        <f t="shared" si="120"/>
        <v>1.1164662695099834E-2</v>
      </c>
      <c r="P663" s="50">
        <f t="shared" si="125"/>
        <v>1.717821747105901E-2</v>
      </c>
      <c r="Q663" s="51">
        <f t="shared" si="126"/>
        <v>1.1164662695099834E-2</v>
      </c>
      <c r="R663" s="4">
        <f t="shared" si="121"/>
        <v>-1.4104590753373482E-2</v>
      </c>
      <c r="S663">
        <f t="shared" si="122"/>
        <v>0</v>
      </c>
      <c r="T663">
        <f t="shared" si="123"/>
        <v>0</v>
      </c>
      <c r="U663" s="5">
        <f>0</f>
        <v>0</v>
      </c>
      <c r="V663" s="45">
        <f t="shared" si="127"/>
        <v>0.18174324689859647</v>
      </c>
      <c r="W663" s="45">
        <f t="shared" si="128"/>
        <v>0</v>
      </c>
      <c r="X663" s="45">
        <f t="shared" si="129"/>
        <v>0</v>
      </c>
      <c r="Y663" s="46">
        <f>0</f>
        <v>0</v>
      </c>
      <c r="Z663" s="11"/>
    </row>
    <row r="664" spans="11:26" x14ac:dyDescent="0.45">
      <c r="K664" s="39">
        <f t="shared" si="124"/>
        <v>3.62</v>
      </c>
      <c r="L664" s="40">
        <f t="shared" si="117"/>
        <v>43.62</v>
      </c>
      <c r="M664" s="41">
        <f t="shared" si="118"/>
        <v>38.619999999999997</v>
      </c>
      <c r="N664" s="49">
        <f t="shared" si="119"/>
        <v>1.7163420055938673E-2</v>
      </c>
      <c r="O664" s="50">
        <f t="shared" si="120"/>
        <v>1.1155045390577047E-2</v>
      </c>
      <c r="P664" s="50">
        <f t="shared" si="125"/>
        <v>1.7163420055938673E-2</v>
      </c>
      <c r="Q664" s="51">
        <f t="shared" si="126"/>
        <v>1.1155045390577047E-2</v>
      </c>
      <c r="R664" s="4">
        <f t="shared" si="121"/>
        <v>-1.4073566745114863E-2</v>
      </c>
      <c r="S664">
        <f t="shared" si="122"/>
        <v>0</v>
      </c>
      <c r="T664">
        <f t="shared" si="123"/>
        <v>0</v>
      </c>
      <c r="U664" s="5">
        <f>0</f>
        <v>0</v>
      </c>
      <c r="V664" s="45">
        <f t="shared" si="127"/>
        <v>0.18188429280613019</v>
      </c>
      <c r="W664" s="45">
        <f t="shared" si="128"/>
        <v>0</v>
      </c>
      <c r="X664" s="45">
        <f t="shared" si="129"/>
        <v>0</v>
      </c>
      <c r="Y664" s="46">
        <f>0</f>
        <v>0</v>
      </c>
      <c r="Z664" s="11"/>
    </row>
    <row r="665" spans="11:26" x14ac:dyDescent="0.45">
      <c r="K665" s="39">
        <f t="shared" si="124"/>
        <v>3.61</v>
      </c>
      <c r="L665" s="40">
        <f t="shared" si="117"/>
        <v>43.61</v>
      </c>
      <c r="M665" s="41">
        <f t="shared" si="118"/>
        <v>38.61</v>
      </c>
      <c r="N665" s="49">
        <f t="shared" si="119"/>
        <v>1.7148635387396666E-2</v>
      </c>
      <c r="O665" s="50">
        <f t="shared" si="120"/>
        <v>1.1145436370455576E-2</v>
      </c>
      <c r="P665" s="50">
        <f t="shared" si="125"/>
        <v>1.7148635387396666E-2</v>
      </c>
      <c r="Q665" s="51">
        <f t="shared" si="126"/>
        <v>1.1145436370455576E-2</v>
      </c>
      <c r="R665" s="4">
        <f t="shared" si="121"/>
        <v>-1.4042591116816565E-2</v>
      </c>
      <c r="S665">
        <f t="shared" si="122"/>
        <v>0</v>
      </c>
      <c r="T665">
        <f t="shared" si="123"/>
        <v>0</v>
      </c>
      <c r="U665" s="5">
        <f>0</f>
        <v>0</v>
      </c>
      <c r="V665" s="45">
        <f t="shared" si="127"/>
        <v>0.18202502847358135</v>
      </c>
      <c r="W665" s="45">
        <f t="shared" si="128"/>
        <v>0</v>
      </c>
      <c r="X665" s="45">
        <f t="shared" si="129"/>
        <v>0</v>
      </c>
      <c r="Y665" s="46">
        <f>0</f>
        <v>0</v>
      </c>
      <c r="Z665" s="11"/>
    </row>
    <row r="666" spans="11:26" x14ac:dyDescent="0.45">
      <c r="K666" s="39">
        <f t="shared" si="124"/>
        <v>3.6</v>
      </c>
      <c r="L666" s="40">
        <f t="shared" ref="L666:L729" si="130">InitialAge_x+K666</f>
        <v>43.6</v>
      </c>
      <c r="M666" s="41">
        <f t="shared" ref="M666:M729" si="131">InitialAge_y+K666</f>
        <v>38.6</v>
      </c>
      <c r="N666" s="49">
        <f t="shared" ref="N666:N729" si="132">muParameter_B*muParameter_c^L666</f>
        <v>1.7133863454452995E-2</v>
      </c>
      <c r="O666" s="50">
        <f t="shared" ref="O666:O729" si="133">muParameter_B*muParameter_c^M666</f>
        <v>1.1135835627599188E-2</v>
      </c>
      <c r="P666" s="50">
        <f t="shared" si="125"/>
        <v>1.7133863454452995E-2</v>
      </c>
      <c r="Q666" s="51">
        <f t="shared" si="126"/>
        <v>1.1135835627599188E-2</v>
      </c>
      <c r="R666" s="4">
        <f t="shared" ref="R666:R729" si="134">V666*Delta-Constant_b1-(O666*(Constant_b12+W666-V666)+N666*(Constant_b13+X666-V666))</f>
        <v>-1.4011663784212536E-2</v>
      </c>
      <c r="S666">
        <f t="shared" ref="S666:S729" si="135">W666*Delta-Constant_b2-(P666*(Constant_b24+Y666-W666)+Q666*(Constant_b34+Y666-X666))</f>
        <v>0</v>
      </c>
      <c r="T666">
        <f t="shared" ref="T666:T729" si="136">X666*Delta-Constant_b3-(Q666*(Constant_b34+Y666-X666))</f>
        <v>0</v>
      </c>
      <c r="U666" s="5">
        <f>0</f>
        <v>0</v>
      </c>
      <c r="V666" s="45">
        <f t="shared" si="127"/>
        <v>0.18216545438474951</v>
      </c>
      <c r="W666" s="45">
        <f t="shared" si="128"/>
        <v>0</v>
      </c>
      <c r="X666" s="45">
        <f t="shared" si="129"/>
        <v>0</v>
      </c>
      <c r="Y666" s="46">
        <f>0</f>
        <v>0</v>
      </c>
      <c r="Z666" s="11"/>
    </row>
    <row r="667" spans="11:26" x14ac:dyDescent="0.45">
      <c r="K667" s="39">
        <f t="shared" ref="K667:K730" si="137">ROUND(K666-StepSize,2)</f>
        <v>3.59</v>
      </c>
      <c r="L667" s="40">
        <f t="shared" si="130"/>
        <v>43.59</v>
      </c>
      <c r="M667" s="41">
        <f t="shared" si="131"/>
        <v>38.590000000000003</v>
      </c>
      <c r="N667" s="49">
        <f t="shared" si="132"/>
        <v>1.7119104246137141E-2</v>
      </c>
      <c r="O667" s="50">
        <f t="shared" si="133"/>
        <v>1.1126243154877799E-2</v>
      </c>
      <c r="P667" s="50">
        <f t="shared" ref="P667:P730" si="138">N667</f>
        <v>1.7119104246137141E-2</v>
      </c>
      <c r="Q667" s="51">
        <f t="shared" ref="Q667:Q730" si="139">O667</f>
        <v>1.1126243154877799E-2</v>
      </c>
      <c r="R667" s="4">
        <f t="shared" si="134"/>
        <v>-1.3980784663211858E-2</v>
      </c>
      <c r="S667">
        <f t="shared" si="135"/>
        <v>0</v>
      </c>
      <c r="T667">
        <f t="shared" si="136"/>
        <v>0</v>
      </c>
      <c r="U667" s="5">
        <f>0</f>
        <v>0</v>
      </c>
      <c r="V667" s="45">
        <f t="shared" ref="V667:V730" si="140">V666-StepSize*(R666)</f>
        <v>0.18230557102259165</v>
      </c>
      <c r="W667" s="45">
        <f t="shared" ref="W667:W730" si="141">W666-StepSize*(S666)</f>
        <v>0</v>
      </c>
      <c r="X667" s="45">
        <f t="shared" ref="X667:X730" si="142">X666-StepSize*(T666)</f>
        <v>0</v>
      </c>
      <c r="Y667" s="46">
        <f>0</f>
        <v>0</v>
      </c>
      <c r="Z667" s="11"/>
    </row>
    <row r="668" spans="11:26" x14ac:dyDescent="0.45">
      <c r="K668" s="39">
        <f t="shared" si="137"/>
        <v>3.58</v>
      </c>
      <c r="L668" s="40">
        <f t="shared" si="130"/>
        <v>43.58</v>
      </c>
      <c r="M668" s="41">
        <f t="shared" si="131"/>
        <v>38.58</v>
      </c>
      <c r="N668" s="49">
        <f t="shared" si="132"/>
        <v>1.7104357751488018E-2</v>
      </c>
      <c r="O668" s="50">
        <f t="shared" si="133"/>
        <v>1.1116658945167458E-2</v>
      </c>
      <c r="P668" s="50">
        <f t="shared" si="138"/>
        <v>1.7104357751488018E-2</v>
      </c>
      <c r="Q668" s="51">
        <f t="shared" si="139"/>
        <v>1.1116658945167458E-2</v>
      </c>
      <c r="R668" s="4">
        <f t="shared" si="134"/>
        <v>-1.3949953669898289E-2</v>
      </c>
      <c r="S668">
        <f t="shared" si="135"/>
        <v>0</v>
      </c>
      <c r="T668">
        <f t="shared" si="136"/>
        <v>0</v>
      </c>
      <c r="U668" s="5">
        <f>0</f>
        <v>0</v>
      </c>
      <c r="V668" s="45">
        <f t="shared" si="140"/>
        <v>0.18244537886922377</v>
      </c>
      <c r="W668" s="45">
        <f t="shared" si="141"/>
        <v>0</v>
      </c>
      <c r="X668" s="45">
        <f t="shared" si="142"/>
        <v>0</v>
      </c>
      <c r="Y668" s="46">
        <f>0</f>
        <v>0</v>
      </c>
      <c r="Z668" s="11"/>
    </row>
    <row r="669" spans="11:26" x14ac:dyDescent="0.45">
      <c r="K669" s="39">
        <f t="shared" si="137"/>
        <v>3.57</v>
      </c>
      <c r="L669" s="40">
        <f t="shared" si="130"/>
        <v>43.57</v>
      </c>
      <c r="M669" s="41">
        <f t="shared" si="131"/>
        <v>38.57</v>
      </c>
      <c r="N669" s="49">
        <f t="shared" si="132"/>
        <v>1.7089623959554046E-2</v>
      </c>
      <c r="O669" s="50">
        <f t="shared" si="133"/>
        <v>1.1107082991350376E-2</v>
      </c>
      <c r="P669" s="50">
        <f t="shared" si="138"/>
        <v>1.7089623959554046E-2</v>
      </c>
      <c r="Q669" s="51">
        <f t="shared" si="139"/>
        <v>1.1107082991350376E-2</v>
      </c>
      <c r="R669" s="4">
        <f t="shared" si="134"/>
        <v>-1.3919170720529965E-2</v>
      </c>
      <c r="S669">
        <f t="shared" si="135"/>
        <v>0</v>
      </c>
      <c r="T669">
        <f t="shared" si="136"/>
        <v>0</v>
      </c>
      <c r="U669" s="5">
        <f>0</f>
        <v>0</v>
      </c>
      <c r="V669" s="45">
        <f t="shared" si="140"/>
        <v>0.18258487840592275</v>
      </c>
      <c r="W669" s="45">
        <f t="shared" si="141"/>
        <v>0</v>
      </c>
      <c r="X669" s="45">
        <f t="shared" si="142"/>
        <v>0</v>
      </c>
      <c r="Y669" s="46">
        <f>0</f>
        <v>0</v>
      </c>
      <c r="Z669" s="11"/>
    </row>
    <row r="670" spans="11:26" x14ac:dyDescent="0.45">
      <c r="K670" s="39">
        <f t="shared" si="137"/>
        <v>3.56</v>
      </c>
      <c r="L670" s="40">
        <f t="shared" si="130"/>
        <v>43.56</v>
      </c>
      <c r="M670" s="41">
        <f t="shared" si="131"/>
        <v>38.56</v>
      </c>
      <c r="N670" s="49">
        <f t="shared" si="132"/>
        <v>1.7074902859393001E-2</v>
      </c>
      <c r="O670" s="50">
        <f t="shared" si="133"/>
        <v>1.109751528631487E-2</v>
      </c>
      <c r="P670" s="50">
        <f t="shared" si="138"/>
        <v>1.7074902859393001E-2</v>
      </c>
      <c r="Q670" s="51">
        <f t="shared" si="139"/>
        <v>1.109751528631487E-2</v>
      </c>
      <c r="R670" s="4">
        <f t="shared" si="134"/>
        <v>-1.388843573153878E-2</v>
      </c>
      <c r="S670">
        <f t="shared" si="135"/>
        <v>0</v>
      </c>
      <c r="T670">
        <f t="shared" si="136"/>
        <v>0</v>
      </c>
      <c r="U670" s="5">
        <f>0</f>
        <v>0</v>
      </c>
      <c r="V670" s="45">
        <f t="shared" si="140"/>
        <v>0.18272407011312805</v>
      </c>
      <c r="W670" s="45">
        <f t="shared" si="141"/>
        <v>0</v>
      </c>
      <c r="X670" s="45">
        <f t="shared" si="142"/>
        <v>0</v>
      </c>
      <c r="Y670" s="46">
        <f>0</f>
        <v>0</v>
      </c>
      <c r="Z670" s="11"/>
    </row>
    <row r="671" spans="11:26" x14ac:dyDescent="0.45">
      <c r="K671" s="39">
        <f t="shared" si="137"/>
        <v>3.55</v>
      </c>
      <c r="L671" s="40">
        <f t="shared" si="130"/>
        <v>43.55</v>
      </c>
      <c r="M671" s="41">
        <f t="shared" si="131"/>
        <v>38.549999999999997</v>
      </c>
      <c r="N671" s="49">
        <f t="shared" si="132"/>
        <v>1.7060194440072111E-2</v>
      </c>
      <c r="O671" s="50">
        <f t="shared" si="133"/>
        <v>1.1087955822955388E-2</v>
      </c>
      <c r="P671" s="50">
        <f t="shared" si="138"/>
        <v>1.7060194440072111E-2</v>
      </c>
      <c r="Q671" s="51">
        <f t="shared" si="139"/>
        <v>1.1087955822955388E-2</v>
      </c>
      <c r="R671" s="4">
        <f t="shared" si="134"/>
        <v>-1.385774861953013E-2</v>
      </c>
      <c r="S671">
        <f t="shared" si="135"/>
        <v>0</v>
      </c>
      <c r="T671">
        <f t="shared" si="136"/>
        <v>0</v>
      </c>
      <c r="U671" s="5">
        <f>0</f>
        <v>0</v>
      </c>
      <c r="V671" s="45">
        <f t="shared" si="140"/>
        <v>0.18286295447044343</v>
      </c>
      <c r="W671" s="45">
        <f t="shared" si="141"/>
        <v>0</v>
      </c>
      <c r="X671" s="45">
        <f t="shared" si="142"/>
        <v>0</v>
      </c>
      <c r="Y671" s="46">
        <f>0</f>
        <v>0</v>
      </c>
      <c r="Z671" s="11"/>
    </row>
    <row r="672" spans="11:26" x14ac:dyDescent="0.45">
      <c r="K672" s="39">
        <f t="shared" si="137"/>
        <v>3.54</v>
      </c>
      <c r="L672" s="40">
        <f t="shared" si="130"/>
        <v>43.54</v>
      </c>
      <c r="M672" s="41">
        <f t="shared" si="131"/>
        <v>38.54</v>
      </c>
      <c r="N672" s="49">
        <f t="shared" si="132"/>
        <v>1.7045498690668053E-2</v>
      </c>
      <c r="O672" s="50">
        <f t="shared" si="133"/>
        <v>1.1078404594172515E-2</v>
      </c>
      <c r="P672" s="50">
        <f t="shared" si="138"/>
        <v>1.7045498690668053E-2</v>
      </c>
      <c r="Q672" s="51">
        <f t="shared" si="139"/>
        <v>1.1078404594172515E-2</v>
      </c>
      <c r="R672" s="4">
        <f t="shared" si="134"/>
        <v>-1.3827109301282465E-2</v>
      </c>
      <c r="S672">
        <f t="shared" si="135"/>
        <v>0</v>
      </c>
      <c r="T672">
        <f t="shared" si="136"/>
        <v>0</v>
      </c>
      <c r="U672" s="5">
        <f>0</f>
        <v>0</v>
      </c>
      <c r="V672" s="45">
        <f t="shared" si="140"/>
        <v>0.18300153195663874</v>
      </c>
      <c r="W672" s="45">
        <f t="shared" si="141"/>
        <v>0</v>
      </c>
      <c r="X672" s="45">
        <f t="shared" si="142"/>
        <v>0</v>
      </c>
      <c r="Y672" s="46">
        <f>0</f>
        <v>0</v>
      </c>
      <c r="Z672" s="11"/>
    </row>
    <row r="673" spans="11:26" x14ac:dyDescent="0.45">
      <c r="K673" s="39">
        <f t="shared" si="137"/>
        <v>3.53</v>
      </c>
      <c r="L673" s="40">
        <f t="shared" si="130"/>
        <v>43.53</v>
      </c>
      <c r="M673" s="41">
        <f t="shared" si="131"/>
        <v>38.53</v>
      </c>
      <c r="N673" s="49">
        <f t="shared" si="132"/>
        <v>1.7030815600266872E-2</v>
      </c>
      <c r="O673" s="50">
        <f t="shared" si="133"/>
        <v>1.1068861592872931E-2</v>
      </c>
      <c r="P673" s="50">
        <f t="shared" si="138"/>
        <v>1.7030815600266872E-2</v>
      </c>
      <c r="Q673" s="51">
        <f t="shared" si="139"/>
        <v>1.1068861592872931E-2</v>
      </c>
      <c r="R673" s="4">
        <f t="shared" si="134"/>
        <v>-1.3796517693746813E-2</v>
      </c>
      <c r="S673">
        <f t="shared" si="135"/>
        <v>0</v>
      </c>
      <c r="T673">
        <f t="shared" si="136"/>
        <v>0</v>
      </c>
      <c r="U673" s="5">
        <f>0</f>
        <v>0</v>
      </c>
      <c r="V673" s="45">
        <f t="shared" si="140"/>
        <v>0.18313980304965155</v>
      </c>
      <c r="W673" s="45">
        <f t="shared" si="141"/>
        <v>0</v>
      </c>
      <c r="X673" s="45">
        <f t="shared" si="142"/>
        <v>0</v>
      </c>
      <c r="Y673" s="46">
        <f>0</f>
        <v>0</v>
      </c>
      <c r="Z673" s="11"/>
    </row>
    <row r="674" spans="11:26" x14ac:dyDescent="0.45">
      <c r="K674" s="39">
        <f t="shared" si="137"/>
        <v>3.52</v>
      </c>
      <c r="L674" s="40">
        <f t="shared" si="130"/>
        <v>43.52</v>
      </c>
      <c r="M674" s="41">
        <f t="shared" si="131"/>
        <v>38.520000000000003</v>
      </c>
      <c r="N674" s="49">
        <f t="shared" si="132"/>
        <v>1.7016145157964034E-2</v>
      </c>
      <c r="O674" s="50">
        <f t="shared" si="133"/>
        <v>1.1059326811969437E-2</v>
      </c>
      <c r="P674" s="50">
        <f t="shared" si="138"/>
        <v>1.7016145157964034E-2</v>
      </c>
      <c r="Q674" s="51">
        <f t="shared" si="139"/>
        <v>1.1059326811969437E-2</v>
      </c>
      <c r="R674" s="4">
        <f t="shared" si="134"/>
        <v>-1.3765973714046456E-2</v>
      </c>
      <c r="S674">
        <f t="shared" si="135"/>
        <v>0</v>
      </c>
      <c r="T674">
        <f t="shared" si="136"/>
        <v>0</v>
      </c>
      <c r="U674" s="5">
        <f>0</f>
        <v>0</v>
      </c>
      <c r="V674" s="45">
        <f t="shared" si="140"/>
        <v>0.18327776822658901</v>
      </c>
      <c r="W674" s="45">
        <f t="shared" si="141"/>
        <v>0</v>
      </c>
      <c r="X674" s="45">
        <f t="shared" si="142"/>
        <v>0</v>
      </c>
      <c r="Y674" s="46">
        <f>0</f>
        <v>0</v>
      </c>
      <c r="Z674" s="11"/>
    </row>
    <row r="675" spans="11:26" x14ac:dyDescent="0.45">
      <c r="K675" s="39">
        <f t="shared" si="137"/>
        <v>3.51</v>
      </c>
      <c r="L675" s="40">
        <f t="shared" si="130"/>
        <v>43.51</v>
      </c>
      <c r="M675" s="41">
        <f t="shared" si="131"/>
        <v>38.51</v>
      </c>
      <c r="N675" s="49">
        <f t="shared" si="132"/>
        <v>1.7001487352864386E-2</v>
      </c>
      <c r="O675" s="50">
        <f t="shared" si="133"/>
        <v>1.1049800244380932E-2</v>
      </c>
      <c r="P675" s="50">
        <f t="shared" si="138"/>
        <v>1.7001487352864386E-2</v>
      </c>
      <c r="Q675" s="51">
        <f t="shared" si="139"/>
        <v>1.1049800244380932E-2</v>
      </c>
      <c r="R675" s="4">
        <f t="shared" si="134"/>
        <v>-1.3735477279476438E-2</v>
      </c>
      <c r="S675">
        <f t="shared" si="135"/>
        <v>0</v>
      </c>
      <c r="T675">
        <f t="shared" si="136"/>
        <v>0</v>
      </c>
      <c r="U675" s="5">
        <f>0</f>
        <v>0</v>
      </c>
      <c r="V675" s="45">
        <f t="shared" si="140"/>
        <v>0.18341542796372948</v>
      </c>
      <c r="W675" s="45">
        <f t="shared" si="141"/>
        <v>0</v>
      </c>
      <c r="X675" s="45">
        <f t="shared" si="142"/>
        <v>0</v>
      </c>
      <c r="Y675" s="46">
        <f>0</f>
        <v>0</v>
      </c>
      <c r="Z675" s="11"/>
    </row>
    <row r="676" spans="11:26" x14ac:dyDescent="0.45">
      <c r="K676" s="39">
        <f t="shared" si="137"/>
        <v>3.5</v>
      </c>
      <c r="L676" s="40">
        <f t="shared" si="130"/>
        <v>43.5</v>
      </c>
      <c r="M676" s="41">
        <f t="shared" si="131"/>
        <v>38.5</v>
      </c>
      <c r="N676" s="49">
        <f t="shared" si="132"/>
        <v>1.6986842174082181E-2</v>
      </c>
      <c r="O676" s="50">
        <f t="shared" si="133"/>
        <v>1.1040281883032427E-2</v>
      </c>
      <c r="P676" s="50">
        <f t="shared" si="138"/>
        <v>1.6986842174082181E-2</v>
      </c>
      <c r="Q676" s="51">
        <f t="shared" si="139"/>
        <v>1.1040281883032427E-2</v>
      </c>
      <c r="R676" s="4">
        <f t="shared" si="134"/>
        <v>-1.3705028307503229E-2</v>
      </c>
      <c r="S676">
        <f t="shared" si="135"/>
        <v>0</v>
      </c>
      <c r="T676">
        <f t="shared" si="136"/>
        <v>0</v>
      </c>
      <c r="U676" s="5">
        <f>0</f>
        <v>0</v>
      </c>
      <c r="V676" s="45">
        <f t="shared" si="140"/>
        <v>0.18355278273652423</v>
      </c>
      <c r="W676" s="45">
        <f t="shared" si="141"/>
        <v>0</v>
      </c>
      <c r="X676" s="45">
        <f t="shared" si="142"/>
        <v>0</v>
      </c>
      <c r="Y676" s="46">
        <f>0</f>
        <v>0</v>
      </c>
      <c r="Z676" s="11"/>
    </row>
    <row r="677" spans="11:26" x14ac:dyDescent="0.45">
      <c r="K677" s="39">
        <f t="shared" si="137"/>
        <v>3.49</v>
      </c>
      <c r="L677" s="40">
        <f t="shared" si="130"/>
        <v>43.49</v>
      </c>
      <c r="M677" s="41">
        <f t="shared" si="131"/>
        <v>38.49</v>
      </c>
      <c r="N677" s="49">
        <f t="shared" si="132"/>
        <v>1.6972209610741036E-2</v>
      </c>
      <c r="O677" s="50">
        <f t="shared" si="133"/>
        <v>1.1030771720855018E-2</v>
      </c>
      <c r="P677" s="50">
        <f t="shared" si="138"/>
        <v>1.6972209610741036E-2</v>
      </c>
      <c r="Q677" s="51">
        <f t="shared" si="139"/>
        <v>1.1030771720855018E-2</v>
      </c>
      <c r="R677" s="4">
        <f t="shared" si="134"/>
        <v>-1.3674626715764252E-2</v>
      </c>
      <c r="S677">
        <f t="shared" si="135"/>
        <v>0</v>
      </c>
      <c r="T677">
        <f t="shared" si="136"/>
        <v>0</v>
      </c>
      <c r="U677" s="5">
        <f>0</f>
        <v>0</v>
      </c>
      <c r="V677" s="45">
        <f t="shared" si="140"/>
        <v>0.18368983301959926</v>
      </c>
      <c r="W677" s="45">
        <f t="shared" si="141"/>
        <v>0</v>
      </c>
      <c r="X677" s="45">
        <f t="shared" si="142"/>
        <v>0</v>
      </c>
      <c r="Y677" s="46">
        <f>0</f>
        <v>0</v>
      </c>
      <c r="Z677" s="11"/>
    </row>
    <row r="678" spans="11:26" x14ac:dyDescent="0.45">
      <c r="K678" s="39">
        <f t="shared" si="137"/>
        <v>3.48</v>
      </c>
      <c r="L678" s="40">
        <f t="shared" si="130"/>
        <v>43.48</v>
      </c>
      <c r="M678" s="41">
        <f t="shared" si="131"/>
        <v>38.479999999999997</v>
      </c>
      <c r="N678" s="49">
        <f t="shared" si="132"/>
        <v>1.6957589651973921E-2</v>
      </c>
      <c r="O678" s="50">
        <f t="shared" si="133"/>
        <v>1.1021269750785883E-2</v>
      </c>
      <c r="P678" s="50">
        <f t="shared" si="138"/>
        <v>1.6957589651973921E-2</v>
      </c>
      <c r="Q678" s="51">
        <f t="shared" si="139"/>
        <v>1.1021269750785883E-2</v>
      </c>
      <c r="R678" s="4">
        <f t="shared" si="134"/>
        <v>-1.364427242206751E-2</v>
      </c>
      <c r="S678">
        <f t="shared" si="135"/>
        <v>0</v>
      </c>
      <c r="T678">
        <f t="shared" si="136"/>
        <v>0</v>
      </c>
      <c r="U678" s="5">
        <f>0</f>
        <v>0</v>
      </c>
      <c r="V678" s="45">
        <f t="shared" si="140"/>
        <v>0.18382657928675691</v>
      </c>
      <c r="W678" s="45">
        <f t="shared" si="141"/>
        <v>0</v>
      </c>
      <c r="X678" s="45">
        <f t="shared" si="142"/>
        <v>0</v>
      </c>
      <c r="Y678" s="46">
        <f>0</f>
        <v>0</v>
      </c>
      <c r="Z678" s="11"/>
    </row>
    <row r="679" spans="11:26" x14ac:dyDescent="0.45">
      <c r="K679" s="39">
        <f t="shared" si="137"/>
        <v>3.47</v>
      </c>
      <c r="L679" s="40">
        <f t="shared" si="130"/>
        <v>43.47</v>
      </c>
      <c r="M679" s="41">
        <f t="shared" si="131"/>
        <v>38.47</v>
      </c>
      <c r="N679" s="49">
        <f t="shared" si="132"/>
        <v>1.694298228692321E-2</v>
      </c>
      <c r="O679" s="50">
        <f t="shared" si="133"/>
        <v>1.1011775965768307E-2</v>
      </c>
      <c r="P679" s="50">
        <f t="shared" si="138"/>
        <v>1.694298228692321E-2</v>
      </c>
      <c r="Q679" s="51">
        <f t="shared" si="139"/>
        <v>1.1011775965768307E-2</v>
      </c>
      <c r="R679" s="4">
        <f t="shared" si="134"/>
        <v>-1.3613965344391191E-2</v>
      </c>
      <c r="S679">
        <f t="shared" si="135"/>
        <v>0</v>
      </c>
      <c r="T679">
        <f t="shared" si="136"/>
        <v>0</v>
      </c>
      <c r="U679" s="5">
        <f>0</f>
        <v>0</v>
      </c>
      <c r="V679" s="45">
        <f t="shared" si="140"/>
        <v>0.18396302201097758</v>
      </c>
      <c r="W679" s="45">
        <f t="shared" si="141"/>
        <v>0</v>
      </c>
      <c r="X679" s="45">
        <f t="shared" si="142"/>
        <v>0</v>
      </c>
      <c r="Y679" s="46">
        <f>0</f>
        <v>0</v>
      </c>
      <c r="Z679" s="11"/>
    </row>
    <row r="680" spans="11:26" x14ac:dyDescent="0.45">
      <c r="K680" s="39">
        <f t="shared" si="137"/>
        <v>3.46</v>
      </c>
      <c r="L680" s="40">
        <f t="shared" si="130"/>
        <v>43.46</v>
      </c>
      <c r="M680" s="41">
        <f t="shared" si="131"/>
        <v>38.46</v>
      </c>
      <c r="N680" s="49">
        <f t="shared" si="132"/>
        <v>1.6928387504740586E-2</v>
      </c>
      <c r="O680" s="50">
        <f t="shared" si="133"/>
        <v>1.1002290358751632E-2</v>
      </c>
      <c r="P680" s="50">
        <f t="shared" si="138"/>
        <v>1.6928387504740586E-2</v>
      </c>
      <c r="Q680" s="51">
        <f t="shared" si="139"/>
        <v>1.1002290358751632E-2</v>
      </c>
      <c r="R680" s="4">
        <f t="shared" si="134"/>
        <v>-1.358370540088321E-2</v>
      </c>
      <c r="S680">
        <f t="shared" si="135"/>
        <v>0</v>
      </c>
      <c r="T680">
        <f t="shared" si="136"/>
        <v>0</v>
      </c>
      <c r="U680" s="5">
        <f>0</f>
        <v>0</v>
      </c>
      <c r="V680" s="45">
        <f t="shared" si="140"/>
        <v>0.1840991616644215</v>
      </c>
      <c r="W680" s="45">
        <f t="shared" si="141"/>
        <v>0</v>
      </c>
      <c r="X680" s="45">
        <f t="shared" si="142"/>
        <v>0</v>
      </c>
      <c r="Y680" s="46">
        <f>0</f>
        <v>0</v>
      </c>
      <c r="Z680" s="11"/>
    </row>
    <row r="681" spans="11:26" x14ac:dyDescent="0.45">
      <c r="K681" s="39">
        <f t="shared" si="137"/>
        <v>3.45</v>
      </c>
      <c r="L681" s="40">
        <f t="shared" si="130"/>
        <v>43.45</v>
      </c>
      <c r="M681" s="41">
        <f t="shared" si="131"/>
        <v>38.450000000000003</v>
      </c>
      <c r="N681" s="49">
        <f t="shared" si="132"/>
        <v>1.6913805294587098E-2</v>
      </c>
      <c r="O681" s="50">
        <f t="shared" si="133"/>
        <v>1.0992812922691282E-2</v>
      </c>
      <c r="P681" s="50">
        <f t="shared" si="138"/>
        <v>1.6913805294587098E-2</v>
      </c>
      <c r="Q681" s="51">
        <f t="shared" si="139"/>
        <v>1.0992812922691282E-2</v>
      </c>
      <c r="R681" s="4">
        <f t="shared" si="134"/>
        <v>-1.3553492509860857E-2</v>
      </c>
      <c r="S681">
        <f t="shared" si="135"/>
        <v>0</v>
      </c>
      <c r="T681">
        <f t="shared" si="136"/>
        <v>0</v>
      </c>
      <c r="U681" s="5">
        <f>0</f>
        <v>0</v>
      </c>
      <c r="V681" s="45">
        <f t="shared" si="140"/>
        <v>0.18423499871843033</v>
      </c>
      <c r="W681" s="45">
        <f t="shared" si="141"/>
        <v>0</v>
      </c>
      <c r="X681" s="45">
        <f t="shared" si="142"/>
        <v>0</v>
      </c>
      <c r="Y681" s="46">
        <f>0</f>
        <v>0</v>
      </c>
      <c r="Z681" s="11"/>
    </row>
    <row r="682" spans="11:26" x14ac:dyDescent="0.45">
      <c r="K682" s="39">
        <f t="shared" si="137"/>
        <v>3.44</v>
      </c>
      <c r="L682" s="40">
        <f t="shared" si="130"/>
        <v>43.44</v>
      </c>
      <c r="M682" s="41">
        <f t="shared" si="131"/>
        <v>38.44</v>
      </c>
      <c r="N682" s="49">
        <f t="shared" si="132"/>
        <v>1.6899235645633118E-2</v>
      </c>
      <c r="O682" s="50">
        <f t="shared" si="133"/>
        <v>1.0983343650548743E-2</v>
      </c>
      <c r="P682" s="50">
        <f t="shared" si="138"/>
        <v>1.6899235645633118E-2</v>
      </c>
      <c r="Q682" s="51">
        <f t="shared" si="139"/>
        <v>1.0983343650548743E-2</v>
      </c>
      <c r="R682" s="4">
        <f t="shared" si="134"/>
        <v>-1.3523326589810354E-2</v>
      </c>
      <c r="S682">
        <f t="shared" si="135"/>
        <v>0</v>
      </c>
      <c r="T682">
        <f t="shared" si="136"/>
        <v>0</v>
      </c>
      <c r="U682" s="5">
        <f>0</f>
        <v>0</v>
      </c>
      <c r="V682" s="45">
        <f t="shared" si="140"/>
        <v>0.18437053364352893</v>
      </c>
      <c r="W682" s="45">
        <f t="shared" si="141"/>
        <v>0</v>
      </c>
      <c r="X682" s="45">
        <f t="shared" si="142"/>
        <v>0</v>
      </c>
      <c r="Y682" s="46">
        <f>0</f>
        <v>0</v>
      </c>
      <c r="Z682" s="11"/>
    </row>
    <row r="683" spans="11:26" x14ac:dyDescent="0.45">
      <c r="K683" s="39">
        <f t="shared" si="137"/>
        <v>3.43</v>
      </c>
      <c r="L683" s="40">
        <f t="shared" si="130"/>
        <v>43.43</v>
      </c>
      <c r="M683" s="41">
        <f t="shared" si="131"/>
        <v>38.43</v>
      </c>
      <c r="N683" s="49">
        <f t="shared" si="132"/>
        <v>1.6884678547058378E-2</v>
      </c>
      <c r="O683" s="50">
        <f t="shared" si="133"/>
        <v>1.0973882535291579E-2</v>
      </c>
      <c r="P683" s="50">
        <f t="shared" si="138"/>
        <v>1.6884678547058378E-2</v>
      </c>
      <c r="Q683" s="51">
        <f t="shared" si="139"/>
        <v>1.0973882535291579E-2</v>
      </c>
      <c r="R683" s="4">
        <f t="shared" si="134"/>
        <v>-1.3493207559386509E-2</v>
      </c>
      <c r="S683">
        <f t="shared" si="135"/>
        <v>0</v>
      </c>
      <c r="T683">
        <f t="shared" si="136"/>
        <v>0</v>
      </c>
      <c r="U683" s="5">
        <f>0</f>
        <v>0</v>
      </c>
      <c r="V683" s="45">
        <f t="shared" si="140"/>
        <v>0.18450576690942702</v>
      </c>
      <c r="W683" s="45">
        <f t="shared" si="141"/>
        <v>0</v>
      </c>
      <c r="X683" s="45">
        <f t="shared" si="142"/>
        <v>0</v>
      </c>
      <c r="Y683" s="46">
        <f>0</f>
        <v>0</v>
      </c>
      <c r="Z683" s="11"/>
    </row>
    <row r="684" spans="11:26" x14ac:dyDescent="0.45">
      <c r="K684" s="39">
        <f t="shared" si="137"/>
        <v>3.42</v>
      </c>
      <c r="L684" s="40">
        <f t="shared" si="130"/>
        <v>43.42</v>
      </c>
      <c r="M684" s="41">
        <f t="shared" si="131"/>
        <v>38.42</v>
      </c>
      <c r="N684" s="49">
        <f t="shared" si="132"/>
        <v>1.6870133988051896E-2</v>
      </c>
      <c r="O684" s="50">
        <f t="shared" si="133"/>
        <v>1.0964429569893398E-2</v>
      </c>
      <c r="P684" s="50">
        <f t="shared" si="138"/>
        <v>1.6870133988051896E-2</v>
      </c>
      <c r="Q684" s="51">
        <f t="shared" si="139"/>
        <v>1.0964429569893398E-2</v>
      </c>
      <c r="R684" s="4">
        <f t="shared" si="134"/>
        <v>-1.346313533741224E-2</v>
      </c>
      <c r="S684">
        <f t="shared" si="135"/>
        <v>0</v>
      </c>
      <c r="T684">
        <f t="shared" si="136"/>
        <v>0</v>
      </c>
      <c r="U684" s="5">
        <f>0</f>
        <v>0</v>
      </c>
      <c r="V684" s="45">
        <f t="shared" si="140"/>
        <v>0.18464069898502089</v>
      </c>
      <c r="W684" s="45">
        <f t="shared" si="141"/>
        <v>0</v>
      </c>
      <c r="X684" s="45">
        <f t="shared" si="142"/>
        <v>0</v>
      </c>
      <c r="Y684" s="46">
        <f>0</f>
        <v>0</v>
      </c>
      <c r="Z684" s="11"/>
    </row>
    <row r="685" spans="11:26" x14ac:dyDescent="0.45">
      <c r="K685" s="39">
        <f t="shared" si="137"/>
        <v>3.41</v>
      </c>
      <c r="L685" s="40">
        <f t="shared" si="130"/>
        <v>43.41</v>
      </c>
      <c r="M685" s="41">
        <f t="shared" si="131"/>
        <v>38.409999999999997</v>
      </c>
      <c r="N685" s="49">
        <f t="shared" si="132"/>
        <v>1.6855601957812012E-2</v>
      </c>
      <c r="O685" s="50">
        <f t="shared" si="133"/>
        <v>1.0954984747333859E-2</v>
      </c>
      <c r="P685" s="50">
        <f t="shared" si="138"/>
        <v>1.6855601957812012E-2</v>
      </c>
      <c r="Q685" s="51">
        <f t="shared" si="139"/>
        <v>1.0954984747333859E-2</v>
      </c>
      <c r="R685" s="4">
        <f t="shared" si="134"/>
        <v>-1.3433109842878216E-2</v>
      </c>
      <c r="S685">
        <f t="shared" si="135"/>
        <v>0</v>
      </c>
      <c r="T685">
        <f t="shared" si="136"/>
        <v>0</v>
      </c>
      <c r="U685" s="5">
        <f>0</f>
        <v>0</v>
      </c>
      <c r="V685" s="45">
        <f t="shared" si="140"/>
        <v>0.18477533033839502</v>
      </c>
      <c r="W685" s="45">
        <f t="shared" si="141"/>
        <v>0</v>
      </c>
      <c r="X685" s="45">
        <f t="shared" si="142"/>
        <v>0</v>
      </c>
      <c r="Y685" s="46">
        <f>0</f>
        <v>0</v>
      </c>
      <c r="Z685" s="11"/>
    </row>
    <row r="686" spans="11:26" x14ac:dyDescent="0.45">
      <c r="K686" s="39">
        <f t="shared" si="137"/>
        <v>3.4</v>
      </c>
      <c r="L686" s="40">
        <f t="shared" si="130"/>
        <v>43.4</v>
      </c>
      <c r="M686" s="41">
        <f t="shared" si="131"/>
        <v>38.4</v>
      </c>
      <c r="N686" s="49">
        <f t="shared" si="132"/>
        <v>1.6841082445546385E-2</v>
      </c>
      <c r="O686" s="50">
        <f t="shared" si="133"/>
        <v>1.0945548060598685E-2</v>
      </c>
      <c r="P686" s="50">
        <f t="shared" si="138"/>
        <v>1.6841082445546385E-2</v>
      </c>
      <c r="Q686" s="51">
        <f t="shared" si="139"/>
        <v>1.0945548060598685E-2</v>
      </c>
      <c r="R686" s="4">
        <f t="shared" si="134"/>
        <v>-1.3403130994942477E-2</v>
      </c>
      <c r="S686">
        <f t="shared" si="135"/>
        <v>0</v>
      </c>
      <c r="T686">
        <f t="shared" si="136"/>
        <v>0</v>
      </c>
      <c r="U686" s="5">
        <f>0</f>
        <v>0</v>
      </c>
      <c r="V686" s="45">
        <f t="shared" si="140"/>
        <v>0.1849096614368238</v>
      </c>
      <c r="W686" s="45">
        <f t="shared" si="141"/>
        <v>0</v>
      </c>
      <c r="X686" s="45">
        <f t="shared" si="142"/>
        <v>0</v>
      </c>
      <c r="Y686" s="46">
        <f>0</f>
        <v>0</v>
      </c>
      <c r="Z686" s="11"/>
    </row>
    <row r="687" spans="11:26" x14ac:dyDescent="0.45">
      <c r="K687" s="39">
        <f t="shared" si="137"/>
        <v>3.39</v>
      </c>
      <c r="L687" s="40">
        <f t="shared" si="130"/>
        <v>43.39</v>
      </c>
      <c r="M687" s="41">
        <f t="shared" si="131"/>
        <v>38.39</v>
      </c>
      <c r="N687" s="49">
        <f t="shared" si="132"/>
        <v>1.6826575440471954E-2</v>
      </c>
      <c r="O687" s="50">
        <f t="shared" si="133"/>
        <v>1.0936119502679625E-2</v>
      </c>
      <c r="P687" s="50">
        <f t="shared" si="138"/>
        <v>1.6826575440471954E-2</v>
      </c>
      <c r="Q687" s="51">
        <f t="shared" si="139"/>
        <v>1.0936119502679625E-2</v>
      </c>
      <c r="R687" s="4">
        <f t="shared" si="134"/>
        <v>-1.337319871292998E-2</v>
      </c>
      <c r="S687">
        <f t="shared" si="135"/>
        <v>0</v>
      </c>
      <c r="T687">
        <f t="shared" si="136"/>
        <v>0</v>
      </c>
      <c r="U687" s="5">
        <f>0</f>
        <v>0</v>
      </c>
      <c r="V687" s="45">
        <f t="shared" si="140"/>
        <v>0.18504369274677324</v>
      </c>
      <c r="W687" s="45">
        <f t="shared" si="141"/>
        <v>0</v>
      </c>
      <c r="X687" s="45">
        <f t="shared" si="142"/>
        <v>0</v>
      </c>
      <c r="Y687" s="46">
        <f>0</f>
        <v>0</v>
      </c>
      <c r="Z687" s="11"/>
    </row>
    <row r="688" spans="11:26" x14ac:dyDescent="0.45">
      <c r="K688" s="39">
        <f t="shared" si="137"/>
        <v>3.38</v>
      </c>
      <c r="L688" s="40">
        <f t="shared" si="130"/>
        <v>43.38</v>
      </c>
      <c r="M688" s="41">
        <f t="shared" si="131"/>
        <v>38.380000000000003</v>
      </c>
      <c r="N688" s="49">
        <f t="shared" si="132"/>
        <v>1.6812080931814955E-2</v>
      </c>
      <c r="O688" s="50">
        <f t="shared" si="133"/>
        <v>1.0926699066574473E-2</v>
      </c>
      <c r="P688" s="50">
        <f t="shared" si="138"/>
        <v>1.6812080931814955E-2</v>
      </c>
      <c r="Q688" s="51">
        <f t="shared" si="139"/>
        <v>1.0926699066574473E-2</v>
      </c>
      <c r="R688" s="4">
        <f t="shared" si="134"/>
        <v>-1.334331291633226E-2</v>
      </c>
      <c r="S688">
        <f t="shared" si="135"/>
        <v>0</v>
      </c>
      <c r="T688">
        <f t="shared" si="136"/>
        <v>0</v>
      </c>
      <c r="U688" s="5">
        <f>0</f>
        <v>0</v>
      </c>
      <c r="V688" s="45">
        <f t="shared" si="140"/>
        <v>0.18517742473390253</v>
      </c>
      <c r="W688" s="45">
        <f t="shared" si="141"/>
        <v>0</v>
      </c>
      <c r="X688" s="45">
        <f t="shared" si="142"/>
        <v>0</v>
      </c>
      <c r="Y688" s="46">
        <f>0</f>
        <v>0</v>
      </c>
      <c r="Z688" s="11"/>
    </row>
    <row r="689" spans="11:26" x14ac:dyDescent="0.45">
      <c r="K689" s="39">
        <f t="shared" si="137"/>
        <v>3.37</v>
      </c>
      <c r="L689" s="40">
        <f t="shared" si="130"/>
        <v>43.37</v>
      </c>
      <c r="M689" s="41">
        <f t="shared" si="131"/>
        <v>38.369999999999997</v>
      </c>
      <c r="N689" s="49">
        <f t="shared" si="132"/>
        <v>1.6797598908810895E-2</v>
      </c>
      <c r="O689" s="50">
        <f t="shared" si="133"/>
        <v>1.0917286745287035E-2</v>
      </c>
      <c r="P689" s="50">
        <f t="shared" si="138"/>
        <v>1.6797598908810895E-2</v>
      </c>
      <c r="Q689" s="51">
        <f t="shared" si="139"/>
        <v>1.0917286745287035E-2</v>
      </c>
      <c r="R689" s="4">
        <f t="shared" si="134"/>
        <v>-1.331347352480697E-2</v>
      </c>
      <c r="S689">
        <f t="shared" si="135"/>
        <v>0</v>
      </c>
      <c r="T689">
        <f t="shared" si="136"/>
        <v>0</v>
      </c>
      <c r="U689" s="5">
        <f>0</f>
        <v>0</v>
      </c>
      <c r="V689" s="45">
        <f t="shared" si="140"/>
        <v>0.18531085786306586</v>
      </c>
      <c r="W689" s="45">
        <f t="shared" si="141"/>
        <v>0</v>
      </c>
      <c r="X689" s="45">
        <f t="shared" si="142"/>
        <v>0</v>
      </c>
      <c r="Y689" s="46">
        <f>0</f>
        <v>0</v>
      </c>
      <c r="Z689" s="11"/>
    </row>
    <row r="690" spans="11:26" x14ac:dyDescent="0.45">
      <c r="K690" s="39">
        <f t="shared" si="137"/>
        <v>3.36</v>
      </c>
      <c r="L690" s="40">
        <f t="shared" si="130"/>
        <v>43.36</v>
      </c>
      <c r="M690" s="41">
        <f t="shared" si="131"/>
        <v>38.36</v>
      </c>
      <c r="N690" s="49">
        <f t="shared" si="132"/>
        <v>1.6783129360704575E-2</v>
      </c>
      <c r="O690" s="50">
        <f t="shared" si="133"/>
        <v>1.0907882531827184E-2</v>
      </c>
      <c r="P690" s="50">
        <f t="shared" si="138"/>
        <v>1.6783129360704575E-2</v>
      </c>
      <c r="Q690" s="51">
        <f t="shared" si="139"/>
        <v>1.0907882531827184E-2</v>
      </c>
      <c r="R690" s="4">
        <f t="shared" si="134"/>
        <v>-1.328368045817758E-2</v>
      </c>
      <c r="S690">
        <f t="shared" si="135"/>
        <v>0</v>
      </c>
      <c r="T690">
        <f t="shared" si="136"/>
        <v>0</v>
      </c>
      <c r="U690" s="5">
        <f>0</f>
        <v>0</v>
      </c>
      <c r="V690" s="45">
        <f t="shared" si="140"/>
        <v>0.18544399259831393</v>
      </c>
      <c r="W690" s="45">
        <f t="shared" si="141"/>
        <v>0</v>
      </c>
      <c r="X690" s="45">
        <f t="shared" si="142"/>
        <v>0</v>
      </c>
      <c r="Y690" s="46">
        <f>0</f>
        <v>0</v>
      </c>
      <c r="Z690" s="11"/>
    </row>
    <row r="691" spans="11:26" x14ac:dyDescent="0.45">
      <c r="K691" s="39">
        <f t="shared" si="137"/>
        <v>3.35</v>
      </c>
      <c r="L691" s="40">
        <f t="shared" si="130"/>
        <v>43.35</v>
      </c>
      <c r="M691" s="41">
        <f t="shared" si="131"/>
        <v>38.35</v>
      </c>
      <c r="N691" s="49">
        <f t="shared" si="132"/>
        <v>1.6768672276750038E-2</v>
      </c>
      <c r="O691" s="50">
        <f t="shared" si="133"/>
        <v>1.0898486419210785E-2</v>
      </c>
      <c r="P691" s="50">
        <f t="shared" si="138"/>
        <v>1.6768672276750038E-2</v>
      </c>
      <c r="Q691" s="51">
        <f t="shared" si="139"/>
        <v>1.0898486419210785E-2</v>
      </c>
      <c r="R691" s="4">
        <f t="shared" si="134"/>
        <v>-1.3253933636432876E-2</v>
      </c>
      <c r="S691">
        <f t="shared" si="135"/>
        <v>0</v>
      </c>
      <c r="T691">
        <f t="shared" si="136"/>
        <v>0</v>
      </c>
      <c r="U691" s="5">
        <f>0</f>
        <v>0</v>
      </c>
      <c r="V691" s="45">
        <f t="shared" si="140"/>
        <v>0.18557682940289572</v>
      </c>
      <c r="W691" s="45">
        <f t="shared" si="141"/>
        <v>0</v>
      </c>
      <c r="X691" s="45">
        <f t="shared" si="142"/>
        <v>0</v>
      </c>
      <c r="Y691" s="46">
        <f>0</f>
        <v>0</v>
      </c>
      <c r="Z691" s="11"/>
    </row>
    <row r="692" spans="11:26" x14ac:dyDescent="0.45">
      <c r="K692" s="39">
        <f t="shared" si="137"/>
        <v>3.34</v>
      </c>
      <c r="L692" s="40">
        <f t="shared" si="130"/>
        <v>43.34</v>
      </c>
      <c r="M692" s="41">
        <f t="shared" si="131"/>
        <v>38.340000000000003</v>
      </c>
      <c r="N692" s="49">
        <f t="shared" si="132"/>
        <v>1.6754227646210592E-2</v>
      </c>
      <c r="O692" s="50">
        <f t="shared" si="133"/>
        <v>1.0889098400459716E-2</v>
      </c>
      <c r="P692" s="50">
        <f t="shared" si="138"/>
        <v>1.6754227646210592E-2</v>
      </c>
      <c r="Q692" s="51">
        <f t="shared" si="139"/>
        <v>1.0889098400459716E-2</v>
      </c>
      <c r="R692" s="4">
        <f t="shared" si="134"/>
        <v>-1.3224232979726617E-2</v>
      </c>
      <c r="S692">
        <f t="shared" si="135"/>
        <v>0</v>
      </c>
      <c r="T692">
        <f t="shared" si="136"/>
        <v>0</v>
      </c>
      <c r="U692" s="5">
        <f>0</f>
        <v>0</v>
      </c>
      <c r="V692" s="45">
        <f t="shared" si="140"/>
        <v>0.18570936873926006</v>
      </c>
      <c r="W692" s="45">
        <f t="shared" si="141"/>
        <v>0</v>
      </c>
      <c r="X692" s="45">
        <f t="shared" si="142"/>
        <v>0</v>
      </c>
      <c r="Y692" s="46">
        <f>0</f>
        <v>0</v>
      </c>
      <c r="Z692" s="11"/>
    </row>
    <row r="693" spans="11:26" x14ac:dyDescent="0.45">
      <c r="K693" s="39">
        <f t="shared" si="137"/>
        <v>3.33</v>
      </c>
      <c r="L693" s="40">
        <f t="shared" si="130"/>
        <v>43.33</v>
      </c>
      <c r="M693" s="41">
        <f t="shared" si="131"/>
        <v>38.33</v>
      </c>
      <c r="N693" s="49">
        <f t="shared" si="132"/>
        <v>1.6739795458358787E-2</v>
      </c>
      <c r="O693" s="50">
        <f t="shared" si="133"/>
        <v>1.0879718468601871E-2</v>
      </c>
      <c r="P693" s="50">
        <f t="shared" si="138"/>
        <v>1.6739795458358787E-2</v>
      </c>
      <c r="Q693" s="51">
        <f t="shared" si="139"/>
        <v>1.0879718468601871E-2</v>
      </c>
      <c r="R693" s="4">
        <f t="shared" si="134"/>
        <v>-1.3194578408377159E-2</v>
      </c>
      <c r="S693">
        <f t="shared" si="135"/>
        <v>0</v>
      </c>
      <c r="T693">
        <f t="shared" si="136"/>
        <v>0</v>
      </c>
      <c r="U693" s="5">
        <f>0</f>
        <v>0</v>
      </c>
      <c r="V693" s="45">
        <f t="shared" si="140"/>
        <v>0.18584161106905733</v>
      </c>
      <c r="W693" s="45">
        <f t="shared" si="141"/>
        <v>0</v>
      </c>
      <c r="X693" s="45">
        <f t="shared" si="142"/>
        <v>0</v>
      </c>
      <c r="Y693" s="46">
        <f>0</f>
        <v>0</v>
      </c>
      <c r="Z693" s="11"/>
    </row>
    <row r="694" spans="11:26" x14ac:dyDescent="0.45">
      <c r="K694" s="39">
        <f t="shared" si="137"/>
        <v>3.32</v>
      </c>
      <c r="L694" s="40">
        <f t="shared" si="130"/>
        <v>43.32</v>
      </c>
      <c r="M694" s="41">
        <f t="shared" si="131"/>
        <v>38.32</v>
      </c>
      <c r="N694" s="49">
        <f t="shared" si="132"/>
        <v>1.6725375702476439E-2</v>
      </c>
      <c r="O694" s="50">
        <f t="shared" si="133"/>
        <v>1.0870346616671174E-2</v>
      </c>
      <c r="P694" s="50">
        <f t="shared" si="138"/>
        <v>1.6725375702476439E-2</v>
      </c>
      <c r="Q694" s="51">
        <f t="shared" si="139"/>
        <v>1.0870346616671174E-2</v>
      </c>
      <c r="R694" s="4">
        <f t="shared" si="134"/>
        <v>-1.3164969842867065E-2</v>
      </c>
      <c r="S694">
        <f t="shared" si="135"/>
        <v>0</v>
      </c>
      <c r="T694">
        <f t="shared" si="136"/>
        <v>0</v>
      </c>
      <c r="U694" s="5">
        <f>0</f>
        <v>0</v>
      </c>
      <c r="V694" s="45">
        <f t="shared" si="140"/>
        <v>0.1859735568531411</v>
      </c>
      <c r="W694" s="45">
        <f t="shared" si="141"/>
        <v>0</v>
      </c>
      <c r="X694" s="45">
        <f t="shared" si="142"/>
        <v>0</v>
      </c>
      <c r="Y694" s="46">
        <f>0</f>
        <v>0</v>
      </c>
      <c r="Z694" s="11"/>
    </row>
    <row r="695" spans="11:26" x14ac:dyDescent="0.45">
      <c r="K695" s="39">
        <f t="shared" si="137"/>
        <v>3.31</v>
      </c>
      <c r="L695" s="40">
        <f t="shared" si="130"/>
        <v>43.31</v>
      </c>
      <c r="M695" s="41">
        <f t="shared" si="131"/>
        <v>38.31</v>
      </c>
      <c r="N695" s="49">
        <f t="shared" si="132"/>
        <v>1.6710968367854566E-2</v>
      </c>
      <c r="O695" s="50">
        <f t="shared" si="133"/>
        <v>1.0860982837707514E-2</v>
      </c>
      <c r="P695" s="50">
        <f t="shared" si="138"/>
        <v>1.6710968367854566E-2</v>
      </c>
      <c r="Q695" s="51">
        <f t="shared" si="139"/>
        <v>1.0860982837707514E-2</v>
      </c>
      <c r="R695" s="4">
        <f t="shared" si="134"/>
        <v>-1.313540720384266E-2</v>
      </c>
      <c r="S695">
        <f t="shared" si="135"/>
        <v>0</v>
      </c>
      <c r="T695">
        <f t="shared" si="136"/>
        <v>0</v>
      </c>
      <c r="U695" s="5">
        <f>0</f>
        <v>0</v>
      </c>
      <c r="V695" s="45">
        <f t="shared" si="140"/>
        <v>0.18610520655156976</v>
      </c>
      <c r="W695" s="45">
        <f t="shared" si="141"/>
        <v>0</v>
      </c>
      <c r="X695" s="45">
        <f t="shared" si="142"/>
        <v>0</v>
      </c>
      <c r="Y695" s="46">
        <f>0</f>
        <v>0</v>
      </c>
      <c r="Z695" s="11"/>
    </row>
    <row r="696" spans="11:26" x14ac:dyDescent="0.45">
      <c r="K696" s="39">
        <f t="shared" si="137"/>
        <v>3.3</v>
      </c>
      <c r="L696" s="40">
        <f t="shared" si="130"/>
        <v>43.3</v>
      </c>
      <c r="M696" s="41">
        <f t="shared" si="131"/>
        <v>38.299999999999997</v>
      </c>
      <c r="N696" s="49">
        <f t="shared" si="132"/>
        <v>1.6696573443793414E-2</v>
      </c>
      <c r="O696" s="50">
        <f t="shared" si="133"/>
        <v>1.0851627124756787E-2</v>
      </c>
      <c r="P696" s="50">
        <f t="shared" si="138"/>
        <v>1.6696573443793414E-2</v>
      </c>
      <c r="Q696" s="51">
        <f t="shared" si="139"/>
        <v>1.0851627124756787E-2</v>
      </c>
      <c r="R696" s="4">
        <f t="shared" si="134"/>
        <v>-1.3105890412113675E-2</v>
      </c>
      <c r="S696">
        <f t="shared" si="135"/>
        <v>0</v>
      </c>
      <c r="T696">
        <f t="shared" si="136"/>
        <v>0</v>
      </c>
      <c r="U696" s="5">
        <f>0</f>
        <v>0</v>
      </c>
      <c r="V696" s="45">
        <f t="shared" si="140"/>
        <v>0.18623656062360819</v>
      </c>
      <c r="W696" s="45">
        <f t="shared" si="141"/>
        <v>0</v>
      </c>
      <c r="X696" s="45">
        <f t="shared" si="142"/>
        <v>0</v>
      </c>
      <c r="Y696" s="46">
        <f>0</f>
        <v>0</v>
      </c>
      <c r="Z696" s="11"/>
    </row>
    <row r="697" spans="11:26" x14ac:dyDescent="0.45">
      <c r="K697" s="39">
        <f t="shared" si="137"/>
        <v>3.29</v>
      </c>
      <c r="L697" s="40">
        <f t="shared" si="130"/>
        <v>43.29</v>
      </c>
      <c r="M697" s="41">
        <f t="shared" si="131"/>
        <v>38.29</v>
      </c>
      <c r="N697" s="49">
        <f t="shared" si="132"/>
        <v>1.6682190919602474E-2</v>
      </c>
      <c r="O697" s="50">
        <f t="shared" si="133"/>
        <v>1.0842279470870905E-2</v>
      </c>
      <c r="P697" s="50">
        <f t="shared" si="138"/>
        <v>1.6682190919602474E-2</v>
      </c>
      <c r="Q697" s="51">
        <f t="shared" si="139"/>
        <v>1.0842279470870905E-2</v>
      </c>
      <c r="R697" s="4">
        <f t="shared" si="134"/>
        <v>-1.3076419388652921E-2</v>
      </c>
      <c r="S697">
        <f t="shared" si="135"/>
        <v>0</v>
      </c>
      <c r="T697">
        <f t="shared" si="136"/>
        <v>0</v>
      </c>
      <c r="U697" s="5">
        <f>0</f>
        <v>0</v>
      </c>
      <c r="V697" s="45">
        <f t="shared" si="140"/>
        <v>0.18636761952772932</v>
      </c>
      <c r="W697" s="45">
        <f t="shared" si="141"/>
        <v>0</v>
      </c>
      <c r="X697" s="45">
        <f t="shared" si="142"/>
        <v>0</v>
      </c>
      <c r="Y697" s="46">
        <f>0</f>
        <v>0</v>
      </c>
      <c r="Z697" s="11"/>
    </row>
    <row r="698" spans="11:26" x14ac:dyDescent="0.45">
      <c r="K698" s="39">
        <f t="shared" si="137"/>
        <v>3.28</v>
      </c>
      <c r="L698" s="40">
        <f t="shared" si="130"/>
        <v>43.28</v>
      </c>
      <c r="M698" s="41">
        <f t="shared" si="131"/>
        <v>38.28</v>
      </c>
      <c r="N698" s="49">
        <f t="shared" si="132"/>
        <v>1.6667820784600419E-2</v>
      </c>
      <c r="O698" s="50">
        <f t="shared" si="133"/>
        <v>1.0832939869107725E-2</v>
      </c>
      <c r="P698" s="50">
        <f t="shared" si="138"/>
        <v>1.6667820784600419E-2</v>
      </c>
      <c r="Q698" s="51">
        <f t="shared" si="139"/>
        <v>1.0832939869107725E-2</v>
      </c>
      <c r="R698" s="4">
        <f t="shared" si="134"/>
        <v>-1.3046994054595773E-2</v>
      </c>
      <c r="S698">
        <f t="shared" si="135"/>
        <v>0</v>
      </c>
      <c r="T698">
        <f t="shared" si="136"/>
        <v>0</v>
      </c>
      <c r="U698" s="5">
        <f>0</f>
        <v>0</v>
      </c>
      <c r="V698" s="45">
        <f t="shared" si="140"/>
        <v>0.18649838372161584</v>
      </c>
      <c r="W698" s="45">
        <f t="shared" si="141"/>
        <v>0</v>
      </c>
      <c r="X698" s="45">
        <f t="shared" si="142"/>
        <v>0</v>
      </c>
      <c r="Y698" s="46">
        <f>0</f>
        <v>0</v>
      </c>
      <c r="Z698" s="11"/>
    </row>
    <row r="699" spans="11:26" x14ac:dyDescent="0.45">
      <c r="K699" s="39">
        <f t="shared" si="137"/>
        <v>3.27</v>
      </c>
      <c r="L699" s="40">
        <f t="shared" si="130"/>
        <v>43.27</v>
      </c>
      <c r="M699" s="41">
        <f t="shared" si="131"/>
        <v>38.270000000000003</v>
      </c>
      <c r="N699" s="49">
        <f t="shared" si="132"/>
        <v>1.6653463028115129E-2</v>
      </c>
      <c r="O699" s="50">
        <f t="shared" si="133"/>
        <v>1.0823608312531105E-2</v>
      </c>
      <c r="P699" s="50">
        <f t="shared" si="138"/>
        <v>1.6653463028115129E-2</v>
      </c>
      <c r="Q699" s="51">
        <f t="shared" si="139"/>
        <v>1.0823608312531105E-2</v>
      </c>
      <c r="R699" s="4">
        <f t="shared" si="134"/>
        <v>-1.3017614331239895E-2</v>
      </c>
      <c r="S699">
        <f t="shared" si="135"/>
        <v>0</v>
      </c>
      <c r="T699">
        <f t="shared" si="136"/>
        <v>0</v>
      </c>
      <c r="U699" s="5">
        <f>0</f>
        <v>0</v>
      </c>
      <c r="V699" s="45">
        <f t="shared" si="140"/>
        <v>0.18662885366216181</v>
      </c>
      <c r="W699" s="45">
        <f t="shared" si="141"/>
        <v>0</v>
      </c>
      <c r="X699" s="45">
        <f t="shared" si="142"/>
        <v>0</v>
      </c>
      <c r="Y699" s="46">
        <f>0</f>
        <v>0</v>
      </c>
      <c r="Z699" s="11"/>
    </row>
    <row r="700" spans="11:26" x14ac:dyDescent="0.45">
      <c r="K700" s="39">
        <f t="shared" si="137"/>
        <v>3.26</v>
      </c>
      <c r="L700" s="40">
        <f t="shared" si="130"/>
        <v>43.26</v>
      </c>
      <c r="M700" s="41">
        <f t="shared" si="131"/>
        <v>38.26</v>
      </c>
      <c r="N700" s="49">
        <f t="shared" si="132"/>
        <v>1.6639117639483666E-2</v>
      </c>
      <c r="O700" s="50">
        <f t="shared" si="133"/>
        <v>1.0814284794210873E-2</v>
      </c>
      <c r="P700" s="50">
        <f t="shared" si="138"/>
        <v>1.6639117639483666E-2</v>
      </c>
      <c r="Q700" s="51">
        <f t="shared" si="139"/>
        <v>1.0814284794210873E-2</v>
      </c>
      <c r="R700" s="4">
        <f t="shared" si="134"/>
        <v>-1.298828014004479E-2</v>
      </c>
      <c r="S700">
        <f t="shared" si="135"/>
        <v>0</v>
      </c>
      <c r="T700">
        <f t="shared" si="136"/>
        <v>0</v>
      </c>
      <c r="U700" s="5">
        <f>0</f>
        <v>0</v>
      </c>
      <c r="V700" s="45">
        <f t="shared" si="140"/>
        <v>0.18675902980547421</v>
      </c>
      <c r="W700" s="45">
        <f t="shared" si="141"/>
        <v>0</v>
      </c>
      <c r="X700" s="45">
        <f t="shared" si="142"/>
        <v>0</v>
      </c>
      <c r="Y700" s="46">
        <f>0</f>
        <v>0</v>
      </c>
      <c r="Z700" s="11"/>
    </row>
    <row r="701" spans="11:26" x14ac:dyDescent="0.45">
      <c r="K701" s="39">
        <f t="shared" si="137"/>
        <v>3.25</v>
      </c>
      <c r="L701" s="40">
        <f t="shared" si="130"/>
        <v>43.25</v>
      </c>
      <c r="M701" s="41">
        <f t="shared" si="131"/>
        <v>38.25</v>
      </c>
      <c r="N701" s="49">
        <f t="shared" si="132"/>
        <v>1.6624784608052317E-2</v>
      </c>
      <c r="O701" s="50">
        <f t="shared" si="133"/>
        <v>1.0804969307222835E-2</v>
      </c>
      <c r="P701" s="50">
        <f t="shared" si="138"/>
        <v>1.6624784608052317E-2</v>
      </c>
      <c r="Q701" s="51">
        <f t="shared" si="139"/>
        <v>1.0804969307222835E-2</v>
      </c>
      <c r="R701" s="4">
        <f t="shared" si="134"/>
        <v>-1.2958991402631482E-2</v>
      </c>
      <c r="S701">
        <f t="shared" si="135"/>
        <v>0</v>
      </c>
      <c r="T701">
        <f t="shared" si="136"/>
        <v>0</v>
      </c>
      <c r="U701" s="5">
        <f>0</f>
        <v>0</v>
      </c>
      <c r="V701" s="45">
        <f t="shared" si="140"/>
        <v>0.18688891260687465</v>
      </c>
      <c r="W701" s="45">
        <f t="shared" si="141"/>
        <v>0</v>
      </c>
      <c r="X701" s="45">
        <f t="shared" si="142"/>
        <v>0</v>
      </c>
      <c r="Y701" s="46">
        <f>0</f>
        <v>0</v>
      </c>
      <c r="Z701" s="11"/>
    </row>
    <row r="702" spans="11:26" x14ac:dyDescent="0.45">
      <c r="K702" s="39">
        <f t="shared" si="137"/>
        <v>3.24</v>
      </c>
      <c r="L702" s="40">
        <f t="shared" si="130"/>
        <v>43.24</v>
      </c>
      <c r="M702" s="41">
        <f t="shared" si="131"/>
        <v>38.24</v>
      </c>
      <c r="N702" s="49">
        <f t="shared" si="132"/>
        <v>1.6610463923176499E-2</v>
      </c>
      <c r="O702" s="50">
        <f t="shared" si="133"/>
        <v>1.0795661844648755E-2</v>
      </c>
      <c r="P702" s="50">
        <f t="shared" si="138"/>
        <v>1.6610463923176499E-2</v>
      </c>
      <c r="Q702" s="51">
        <f t="shared" si="139"/>
        <v>1.0795661844648755E-2</v>
      </c>
      <c r="R702" s="4">
        <f t="shared" si="134"/>
        <v>-1.2929748040782049E-2</v>
      </c>
      <c r="S702">
        <f t="shared" si="135"/>
        <v>0</v>
      </c>
      <c r="T702">
        <f t="shared" si="136"/>
        <v>0</v>
      </c>
      <c r="U702" s="5">
        <f>0</f>
        <v>0</v>
      </c>
      <c r="V702" s="45">
        <f t="shared" si="140"/>
        <v>0.18701850252090096</v>
      </c>
      <c r="W702" s="45">
        <f t="shared" si="141"/>
        <v>0</v>
      </c>
      <c r="X702" s="45">
        <f t="shared" si="142"/>
        <v>0</v>
      </c>
      <c r="Y702" s="46">
        <f>0</f>
        <v>0</v>
      </c>
      <c r="Z702" s="11"/>
    </row>
    <row r="703" spans="11:26" x14ac:dyDescent="0.45">
      <c r="K703" s="39">
        <f t="shared" si="137"/>
        <v>3.23</v>
      </c>
      <c r="L703" s="40">
        <f t="shared" si="130"/>
        <v>43.23</v>
      </c>
      <c r="M703" s="41">
        <f t="shared" si="131"/>
        <v>38.229999999999997</v>
      </c>
      <c r="N703" s="49">
        <f t="shared" si="132"/>
        <v>1.6596155574220818E-2</v>
      </c>
      <c r="O703" s="50">
        <f t="shared" si="133"/>
        <v>1.0786362399576348E-2</v>
      </c>
      <c r="P703" s="50">
        <f t="shared" si="138"/>
        <v>1.6596155574220818E-2</v>
      </c>
      <c r="Q703" s="51">
        <f t="shared" si="139"/>
        <v>1.0786362399576348E-2</v>
      </c>
      <c r="R703" s="4">
        <f t="shared" si="134"/>
        <v>-1.290054997643929E-2</v>
      </c>
      <c r="S703">
        <f t="shared" si="135"/>
        <v>0</v>
      </c>
      <c r="T703">
        <f t="shared" si="136"/>
        <v>0</v>
      </c>
      <c r="U703" s="5">
        <f>0</f>
        <v>0</v>
      </c>
      <c r="V703" s="45">
        <f t="shared" si="140"/>
        <v>0.18714780000130879</v>
      </c>
      <c r="W703" s="45">
        <f t="shared" si="141"/>
        <v>0</v>
      </c>
      <c r="X703" s="45">
        <f t="shared" si="142"/>
        <v>0</v>
      </c>
      <c r="Y703" s="46">
        <f>0</f>
        <v>0</v>
      </c>
      <c r="Z703" s="11"/>
    </row>
    <row r="704" spans="11:26" x14ac:dyDescent="0.45">
      <c r="K704" s="39">
        <f t="shared" si="137"/>
        <v>3.22</v>
      </c>
      <c r="L704" s="40">
        <f t="shared" si="130"/>
        <v>43.22</v>
      </c>
      <c r="M704" s="41">
        <f t="shared" si="131"/>
        <v>38.22</v>
      </c>
      <c r="N704" s="49">
        <f t="shared" si="132"/>
        <v>1.6581859550559054E-2</v>
      </c>
      <c r="O704" s="50">
        <f t="shared" si="133"/>
        <v>1.0777070965099304E-2</v>
      </c>
      <c r="P704" s="50">
        <f t="shared" si="138"/>
        <v>1.6581859550559054E-2</v>
      </c>
      <c r="Q704" s="51">
        <f t="shared" si="139"/>
        <v>1.0777070965099304E-2</v>
      </c>
      <c r="R704" s="4">
        <f t="shared" si="134"/>
        <v>-1.2871397131706375E-2</v>
      </c>
      <c r="S704">
        <f t="shared" si="135"/>
        <v>0</v>
      </c>
      <c r="T704">
        <f t="shared" si="136"/>
        <v>0</v>
      </c>
      <c r="U704" s="5">
        <f>0</f>
        <v>0</v>
      </c>
      <c r="V704" s="45">
        <f t="shared" si="140"/>
        <v>0.18727680550107317</v>
      </c>
      <c r="W704" s="45">
        <f t="shared" si="141"/>
        <v>0</v>
      </c>
      <c r="X704" s="45">
        <f t="shared" si="142"/>
        <v>0</v>
      </c>
      <c r="Y704" s="46">
        <f>0</f>
        <v>0</v>
      </c>
      <c r="Z704" s="11"/>
    </row>
    <row r="705" spans="11:26" x14ac:dyDescent="0.45">
      <c r="K705" s="39">
        <f t="shared" si="137"/>
        <v>3.21</v>
      </c>
      <c r="L705" s="40">
        <f t="shared" si="130"/>
        <v>43.21</v>
      </c>
      <c r="M705" s="41">
        <f t="shared" si="131"/>
        <v>38.21</v>
      </c>
      <c r="N705" s="49">
        <f t="shared" si="132"/>
        <v>1.6567575841574124E-2</v>
      </c>
      <c r="O705" s="50">
        <f t="shared" si="133"/>
        <v>1.0767787534317246E-2</v>
      </c>
      <c r="P705" s="50">
        <f t="shared" si="138"/>
        <v>1.6567575841574124E-2</v>
      </c>
      <c r="Q705" s="51">
        <f t="shared" si="139"/>
        <v>1.0767787534317246E-2</v>
      </c>
      <c r="R705" s="4">
        <f t="shared" si="134"/>
        <v>-1.2842289428846385E-2</v>
      </c>
      <c r="S705">
        <f t="shared" si="135"/>
        <v>0</v>
      </c>
      <c r="T705">
        <f t="shared" si="136"/>
        <v>0</v>
      </c>
      <c r="U705" s="5">
        <f>0</f>
        <v>0</v>
      </c>
      <c r="V705" s="45">
        <f t="shared" si="140"/>
        <v>0.18740551947239023</v>
      </c>
      <c r="W705" s="45">
        <f t="shared" si="141"/>
        <v>0</v>
      </c>
      <c r="X705" s="45">
        <f t="shared" si="142"/>
        <v>0</v>
      </c>
      <c r="Y705" s="46">
        <f>0</f>
        <v>0</v>
      </c>
      <c r="Z705" s="11"/>
    </row>
    <row r="706" spans="11:26" x14ac:dyDescent="0.45">
      <c r="K706" s="39">
        <f t="shared" si="137"/>
        <v>3.2</v>
      </c>
      <c r="L706" s="40">
        <f t="shared" si="130"/>
        <v>43.2</v>
      </c>
      <c r="M706" s="41">
        <f t="shared" si="131"/>
        <v>38.200000000000003</v>
      </c>
      <c r="N706" s="49">
        <f t="shared" si="132"/>
        <v>1.6553304436658096E-2</v>
      </c>
      <c r="O706" s="50">
        <f t="shared" si="133"/>
        <v>1.0758512100335743E-2</v>
      </c>
      <c r="P706" s="50">
        <f t="shared" si="138"/>
        <v>1.6553304436658096E-2</v>
      </c>
      <c r="Q706" s="51">
        <f t="shared" si="139"/>
        <v>1.0758512100335743E-2</v>
      </c>
      <c r="R706" s="4">
        <f t="shared" si="134"/>
        <v>-1.2813226790282E-2</v>
      </c>
      <c r="S706">
        <f t="shared" si="135"/>
        <v>0</v>
      </c>
      <c r="T706">
        <f t="shared" si="136"/>
        <v>0</v>
      </c>
      <c r="U706" s="5">
        <f>0</f>
        <v>0</v>
      </c>
      <c r="V706" s="45">
        <f t="shared" si="140"/>
        <v>0.1875339423666787</v>
      </c>
      <c r="W706" s="45">
        <f t="shared" si="141"/>
        <v>0</v>
      </c>
      <c r="X706" s="45">
        <f t="shared" si="142"/>
        <v>0</v>
      </c>
      <c r="Y706" s="46">
        <f>0</f>
        <v>0</v>
      </c>
      <c r="Z706" s="11"/>
    </row>
    <row r="707" spans="11:26" x14ac:dyDescent="0.45">
      <c r="K707" s="39">
        <f t="shared" si="137"/>
        <v>3.19</v>
      </c>
      <c r="L707" s="40">
        <f t="shared" si="130"/>
        <v>43.19</v>
      </c>
      <c r="M707" s="41">
        <f t="shared" si="131"/>
        <v>38.19</v>
      </c>
      <c r="N707" s="49">
        <f t="shared" si="132"/>
        <v>1.6539045325212151E-2</v>
      </c>
      <c r="O707" s="50">
        <f t="shared" si="133"/>
        <v>1.0749244656266302E-2</v>
      </c>
      <c r="P707" s="50">
        <f t="shared" si="138"/>
        <v>1.6539045325212151E-2</v>
      </c>
      <c r="Q707" s="51">
        <f t="shared" si="139"/>
        <v>1.0749244656266302E-2</v>
      </c>
      <c r="R707" s="4">
        <f t="shared" si="134"/>
        <v>-1.2784209138595064E-2</v>
      </c>
      <c r="S707">
        <f t="shared" si="135"/>
        <v>0</v>
      </c>
      <c r="T707">
        <f t="shared" si="136"/>
        <v>0</v>
      </c>
      <c r="U707" s="5">
        <f>0</f>
        <v>0</v>
      </c>
      <c r="V707" s="45">
        <f t="shared" si="140"/>
        <v>0.18766207463458151</v>
      </c>
      <c r="W707" s="45">
        <f t="shared" si="141"/>
        <v>0</v>
      </c>
      <c r="X707" s="45">
        <f t="shared" si="142"/>
        <v>0</v>
      </c>
      <c r="Y707" s="46">
        <f>0</f>
        <v>0</v>
      </c>
      <c r="Z707" s="11"/>
    </row>
    <row r="708" spans="11:26" x14ac:dyDescent="0.45">
      <c r="K708" s="39">
        <f t="shared" si="137"/>
        <v>3.18</v>
      </c>
      <c r="L708" s="40">
        <f t="shared" si="130"/>
        <v>43.18</v>
      </c>
      <c r="M708" s="41">
        <f t="shared" si="131"/>
        <v>38.18</v>
      </c>
      <c r="N708" s="49">
        <f t="shared" si="132"/>
        <v>1.6524798496646655E-2</v>
      </c>
      <c r="O708" s="50">
        <f t="shared" si="133"/>
        <v>1.0739985195226374E-2</v>
      </c>
      <c r="P708" s="50">
        <f t="shared" si="138"/>
        <v>1.6524798496646655E-2</v>
      </c>
      <c r="Q708" s="51">
        <f t="shared" si="139"/>
        <v>1.0739985195226374E-2</v>
      </c>
      <c r="R708" s="4">
        <f t="shared" si="134"/>
        <v>-1.2755236396526303E-2</v>
      </c>
      <c r="S708">
        <f t="shared" si="135"/>
        <v>0</v>
      </c>
      <c r="T708">
        <f t="shared" si="136"/>
        <v>0</v>
      </c>
      <c r="U708" s="5">
        <f>0</f>
        <v>0</v>
      </c>
      <c r="V708" s="45">
        <f t="shared" si="140"/>
        <v>0.18778991672596745</v>
      </c>
      <c r="W708" s="45">
        <f t="shared" si="141"/>
        <v>0</v>
      </c>
      <c r="X708" s="45">
        <f t="shared" si="142"/>
        <v>0</v>
      </c>
      <c r="Y708" s="46">
        <f>0</f>
        <v>0</v>
      </c>
      <c r="Z708" s="11"/>
    </row>
    <row r="709" spans="11:26" x14ac:dyDescent="0.45">
      <c r="K709" s="39">
        <f t="shared" si="137"/>
        <v>3.17</v>
      </c>
      <c r="L709" s="40">
        <f t="shared" si="130"/>
        <v>43.17</v>
      </c>
      <c r="M709" s="41">
        <f t="shared" si="131"/>
        <v>38.17</v>
      </c>
      <c r="N709" s="49">
        <f t="shared" si="132"/>
        <v>1.651056394038106E-2</v>
      </c>
      <c r="O709" s="50">
        <f t="shared" si="133"/>
        <v>1.073073371033933E-2</v>
      </c>
      <c r="P709" s="50">
        <f t="shared" si="138"/>
        <v>1.651056394038106E-2</v>
      </c>
      <c r="Q709" s="51">
        <f t="shared" si="139"/>
        <v>1.073073371033933E-2</v>
      </c>
      <c r="R709" s="4">
        <f t="shared" si="134"/>
        <v>-1.272630848697485E-2</v>
      </c>
      <c r="S709">
        <f t="shared" si="135"/>
        <v>0</v>
      </c>
      <c r="T709">
        <f t="shared" si="136"/>
        <v>0</v>
      </c>
      <c r="U709" s="5">
        <f>0</f>
        <v>0</v>
      </c>
      <c r="V709" s="45">
        <f t="shared" si="140"/>
        <v>0.1879174690899327</v>
      </c>
      <c r="W709" s="45">
        <f t="shared" si="141"/>
        <v>0</v>
      </c>
      <c r="X709" s="45">
        <f t="shared" si="142"/>
        <v>0</v>
      </c>
      <c r="Y709" s="46">
        <f>0</f>
        <v>0</v>
      </c>
      <c r="Z709" s="11"/>
    </row>
    <row r="710" spans="11:26" x14ac:dyDescent="0.45">
      <c r="K710" s="39">
        <f t="shared" si="137"/>
        <v>3.16</v>
      </c>
      <c r="L710" s="40">
        <f t="shared" si="130"/>
        <v>43.16</v>
      </c>
      <c r="M710" s="41">
        <f t="shared" si="131"/>
        <v>38.159999999999997</v>
      </c>
      <c r="N710" s="49">
        <f t="shared" si="132"/>
        <v>1.6496341645843907E-2</v>
      </c>
      <c r="O710" s="50">
        <f t="shared" si="133"/>
        <v>1.072149019473446E-2</v>
      </c>
      <c r="P710" s="50">
        <f t="shared" si="138"/>
        <v>1.6496341645843907E-2</v>
      </c>
      <c r="Q710" s="51">
        <f t="shared" si="139"/>
        <v>1.072149019473446E-2</v>
      </c>
      <c r="R710" s="4">
        <f t="shared" si="134"/>
        <v>-1.2697425332997878E-2</v>
      </c>
      <c r="S710">
        <f t="shared" si="135"/>
        <v>0</v>
      </c>
      <c r="T710">
        <f t="shared" si="136"/>
        <v>0</v>
      </c>
      <c r="U710" s="5">
        <f>0</f>
        <v>0</v>
      </c>
      <c r="V710" s="45">
        <f t="shared" si="140"/>
        <v>0.18804473217480244</v>
      </c>
      <c r="W710" s="45">
        <f t="shared" si="141"/>
        <v>0</v>
      </c>
      <c r="X710" s="45">
        <f t="shared" si="142"/>
        <v>0</v>
      </c>
      <c r="Y710" s="46">
        <f>0</f>
        <v>0</v>
      </c>
      <c r="Z710" s="11"/>
    </row>
    <row r="711" spans="11:26" x14ac:dyDescent="0.45">
      <c r="K711" s="39">
        <f t="shared" si="137"/>
        <v>3.15</v>
      </c>
      <c r="L711" s="40">
        <f t="shared" si="130"/>
        <v>43.15</v>
      </c>
      <c r="M711" s="41">
        <f t="shared" si="131"/>
        <v>38.15</v>
      </c>
      <c r="N711" s="49">
        <f t="shared" si="132"/>
        <v>1.6482131602472909E-2</v>
      </c>
      <c r="O711" s="50">
        <f t="shared" si="133"/>
        <v>1.0712254641546987E-2</v>
      </c>
      <c r="P711" s="50">
        <f t="shared" si="138"/>
        <v>1.6482131602472909E-2</v>
      </c>
      <c r="Q711" s="51">
        <f t="shared" si="139"/>
        <v>1.0712254641546987E-2</v>
      </c>
      <c r="R711" s="4">
        <f t="shared" si="134"/>
        <v>-1.2668586857810318E-2</v>
      </c>
      <c r="S711">
        <f t="shared" si="135"/>
        <v>0</v>
      </c>
      <c r="T711">
        <f t="shared" si="136"/>
        <v>0</v>
      </c>
      <c r="U711" s="5">
        <f>0</f>
        <v>0</v>
      </c>
      <c r="V711" s="45">
        <f t="shared" si="140"/>
        <v>0.18817170642813241</v>
      </c>
      <c r="W711" s="45">
        <f t="shared" si="141"/>
        <v>0</v>
      </c>
      <c r="X711" s="45">
        <f t="shared" si="142"/>
        <v>0</v>
      </c>
      <c r="Y711" s="46">
        <f>0</f>
        <v>0</v>
      </c>
      <c r="Z711" s="11"/>
    </row>
    <row r="712" spans="11:26" x14ac:dyDescent="0.45">
      <c r="K712" s="39">
        <f t="shared" si="137"/>
        <v>3.14</v>
      </c>
      <c r="L712" s="40">
        <f t="shared" si="130"/>
        <v>43.14</v>
      </c>
      <c r="M712" s="41">
        <f t="shared" si="131"/>
        <v>38.14</v>
      </c>
      <c r="N712" s="49">
        <f t="shared" si="132"/>
        <v>1.6467933799714833E-2</v>
      </c>
      <c r="O712" s="50">
        <f t="shared" si="133"/>
        <v>1.0703027043918035E-2</v>
      </c>
      <c r="P712" s="50">
        <f t="shared" si="138"/>
        <v>1.6467933799714833E-2</v>
      </c>
      <c r="Q712" s="51">
        <f t="shared" si="139"/>
        <v>1.0703027043918035E-2</v>
      </c>
      <c r="R712" s="4">
        <f t="shared" si="134"/>
        <v>-1.26397929847844E-2</v>
      </c>
      <c r="S712">
        <f t="shared" si="135"/>
        <v>0</v>
      </c>
      <c r="T712">
        <f t="shared" si="136"/>
        <v>0</v>
      </c>
      <c r="U712" s="5">
        <f>0</f>
        <v>0</v>
      </c>
      <c r="V712" s="45">
        <f t="shared" si="140"/>
        <v>0.18829839229671053</v>
      </c>
      <c r="W712" s="45">
        <f t="shared" si="141"/>
        <v>0</v>
      </c>
      <c r="X712" s="45">
        <f t="shared" si="142"/>
        <v>0</v>
      </c>
      <c r="Y712" s="46">
        <f>0</f>
        <v>0</v>
      </c>
      <c r="Z712" s="11"/>
    </row>
    <row r="713" spans="11:26" x14ac:dyDescent="0.45">
      <c r="K713" s="39">
        <f t="shared" si="137"/>
        <v>3.13</v>
      </c>
      <c r="L713" s="40">
        <f t="shared" si="130"/>
        <v>43.13</v>
      </c>
      <c r="M713" s="41">
        <f t="shared" si="131"/>
        <v>38.130000000000003</v>
      </c>
      <c r="N713" s="49">
        <f t="shared" si="132"/>
        <v>1.6453748227025531E-2</v>
      </c>
      <c r="O713" s="50">
        <f t="shared" si="133"/>
        <v>1.0693807394994643E-2</v>
      </c>
      <c r="P713" s="50">
        <f t="shared" si="138"/>
        <v>1.6453748227025531E-2</v>
      </c>
      <c r="Q713" s="51">
        <f t="shared" si="139"/>
        <v>1.0693807394994643E-2</v>
      </c>
      <c r="R713" s="4">
        <f t="shared" si="134"/>
        <v>-1.261104363744928E-2</v>
      </c>
      <c r="S713">
        <f t="shared" si="135"/>
        <v>0</v>
      </c>
      <c r="T713">
        <f t="shared" si="136"/>
        <v>0</v>
      </c>
      <c r="U713" s="5">
        <f>0</f>
        <v>0</v>
      </c>
      <c r="V713" s="45">
        <f t="shared" si="140"/>
        <v>0.18842479022655836</v>
      </c>
      <c r="W713" s="45">
        <f t="shared" si="141"/>
        <v>0</v>
      </c>
      <c r="X713" s="45">
        <f t="shared" si="142"/>
        <v>0</v>
      </c>
      <c r="Y713" s="46">
        <f>0</f>
        <v>0</v>
      </c>
      <c r="Z713" s="11"/>
    </row>
    <row r="714" spans="11:26" x14ac:dyDescent="0.45">
      <c r="K714" s="39">
        <f t="shared" si="137"/>
        <v>3.12</v>
      </c>
      <c r="L714" s="40">
        <f t="shared" si="130"/>
        <v>43.12</v>
      </c>
      <c r="M714" s="41">
        <f t="shared" si="131"/>
        <v>38.119999999999997</v>
      </c>
      <c r="N714" s="49">
        <f t="shared" si="132"/>
        <v>1.6439574873869944E-2</v>
      </c>
      <c r="O714" s="50">
        <f t="shared" si="133"/>
        <v>1.0684595687929739E-2</v>
      </c>
      <c r="P714" s="50">
        <f t="shared" si="138"/>
        <v>1.6439574873869944E-2</v>
      </c>
      <c r="Q714" s="51">
        <f t="shared" si="139"/>
        <v>1.0684595687929739E-2</v>
      </c>
      <c r="R714" s="4">
        <f t="shared" si="134"/>
        <v>-1.25823387394907E-2</v>
      </c>
      <c r="S714">
        <f t="shared" si="135"/>
        <v>0</v>
      </c>
      <c r="T714">
        <f t="shared" si="136"/>
        <v>0</v>
      </c>
      <c r="U714" s="5">
        <f>0</f>
        <v>0</v>
      </c>
      <c r="V714" s="45">
        <f t="shared" si="140"/>
        <v>0.18855090066293287</v>
      </c>
      <c r="W714" s="45">
        <f t="shared" si="141"/>
        <v>0</v>
      </c>
      <c r="X714" s="45">
        <f t="shared" si="142"/>
        <v>0</v>
      </c>
      <c r="Y714" s="46">
        <f>0</f>
        <v>0</v>
      </c>
      <c r="Z714" s="11"/>
    </row>
    <row r="715" spans="11:26" x14ac:dyDescent="0.45">
      <c r="K715" s="39">
        <f t="shared" si="137"/>
        <v>3.11</v>
      </c>
      <c r="L715" s="40">
        <f t="shared" si="130"/>
        <v>43.11</v>
      </c>
      <c r="M715" s="41">
        <f t="shared" si="131"/>
        <v>38.11</v>
      </c>
      <c r="N715" s="49">
        <f t="shared" si="132"/>
        <v>1.6425413729722133E-2</v>
      </c>
      <c r="O715" s="50">
        <f t="shared" si="133"/>
        <v>1.0675391915882177E-2</v>
      </c>
      <c r="P715" s="50">
        <f t="shared" si="138"/>
        <v>1.6425413729722133E-2</v>
      </c>
      <c r="Q715" s="51">
        <f t="shared" si="139"/>
        <v>1.0675391915882177E-2</v>
      </c>
      <c r="R715" s="4">
        <f t="shared" si="134"/>
        <v>-1.2553678214750671E-2</v>
      </c>
      <c r="S715">
        <f t="shared" si="135"/>
        <v>0</v>
      </c>
      <c r="T715">
        <f t="shared" si="136"/>
        <v>0</v>
      </c>
      <c r="U715" s="5">
        <f>0</f>
        <v>0</v>
      </c>
      <c r="V715" s="45">
        <f t="shared" si="140"/>
        <v>0.18867672405032779</v>
      </c>
      <c r="W715" s="45">
        <f t="shared" si="141"/>
        <v>0</v>
      </c>
      <c r="X715" s="45">
        <f t="shared" si="142"/>
        <v>0</v>
      </c>
      <c r="Y715" s="46">
        <f>0</f>
        <v>0</v>
      </c>
      <c r="Z715" s="11"/>
    </row>
    <row r="716" spans="11:26" x14ac:dyDescent="0.45">
      <c r="K716" s="39">
        <f t="shared" si="137"/>
        <v>3.1</v>
      </c>
      <c r="L716" s="40">
        <f t="shared" si="130"/>
        <v>43.1</v>
      </c>
      <c r="M716" s="41">
        <f t="shared" si="131"/>
        <v>38.1</v>
      </c>
      <c r="N716" s="49">
        <f t="shared" si="132"/>
        <v>1.6411264784065158E-2</v>
      </c>
      <c r="O716" s="50">
        <f t="shared" si="133"/>
        <v>1.066619607201668E-2</v>
      </c>
      <c r="P716" s="50">
        <f t="shared" si="138"/>
        <v>1.6411264784065158E-2</v>
      </c>
      <c r="Q716" s="51">
        <f t="shared" si="139"/>
        <v>1.066619607201668E-2</v>
      </c>
      <c r="R716" s="4">
        <f t="shared" si="134"/>
        <v>-1.2525061987226969E-2</v>
      </c>
      <c r="S716">
        <f t="shared" si="135"/>
        <v>0</v>
      </c>
      <c r="T716">
        <f t="shared" si="136"/>
        <v>0</v>
      </c>
      <c r="U716" s="5">
        <f>0</f>
        <v>0</v>
      </c>
      <c r="V716" s="45">
        <f t="shared" si="140"/>
        <v>0.18880226083247528</v>
      </c>
      <c r="W716" s="45">
        <f t="shared" si="141"/>
        <v>0</v>
      </c>
      <c r="X716" s="45">
        <f t="shared" si="142"/>
        <v>0</v>
      </c>
      <c r="Y716" s="46">
        <f>0</f>
        <v>0</v>
      </c>
      <c r="Z716" s="11"/>
    </row>
    <row r="717" spans="11:26" x14ac:dyDescent="0.45">
      <c r="K717" s="39">
        <f t="shared" si="137"/>
        <v>3.09</v>
      </c>
      <c r="L717" s="40">
        <f t="shared" si="130"/>
        <v>43.09</v>
      </c>
      <c r="M717" s="41">
        <f t="shared" si="131"/>
        <v>38.090000000000003</v>
      </c>
      <c r="N717" s="49">
        <f t="shared" si="132"/>
        <v>1.6397128026391174E-2</v>
      </c>
      <c r="O717" s="50">
        <f t="shared" si="133"/>
        <v>1.0657008149503865E-2</v>
      </c>
      <c r="P717" s="50">
        <f t="shared" si="138"/>
        <v>1.6397128026391174E-2</v>
      </c>
      <c r="Q717" s="51">
        <f t="shared" si="139"/>
        <v>1.0657008149503865E-2</v>
      </c>
      <c r="R717" s="4">
        <f t="shared" si="134"/>
        <v>-1.2496489981072882E-2</v>
      </c>
      <c r="S717">
        <f t="shared" si="135"/>
        <v>0</v>
      </c>
      <c r="T717">
        <f t="shared" si="136"/>
        <v>0</v>
      </c>
      <c r="U717" s="5">
        <f>0</f>
        <v>0</v>
      </c>
      <c r="V717" s="45">
        <f t="shared" si="140"/>
        <v>0.18892751145234754</v>
      </c>
      <c r="W717" s="45">
        <f t="shared" si="141"/>
        <v>0</v>
      </c>
      <c r="X717" s="45">
        <f t="shared" si="142"/>
        <v>0</v>
      </c>
      <c r="Y717" s="46">
        <f>0</f>
        <v>0</v>
      </c>
      <c r="Z717" s="11"/>
    </row>
    <row r="718" spans="11:26" x14ac:dyDescent="0.45">
      <c r="K718" s="39">
        <f t="shared" si="137"/>
        <v>3.08</v>
      </c>
      <c r="L718" s="40">
        <f t="shared" si="130"/>
        <v>43.08</v>
      </c>
      <c r="M718" s="41">
        <f t="shared" si="131"/>
        <v>38.08</v>
      </c>
      <c r="N718" s="49">
        <f t="shared" si="132"/>
        <v>1.6383003446201382E-2</v>
      </c>
      <c r="O718" s="50">
        <f t="shared" si="133"/>
        <v>1.0647828141520229E-2</v>
      </c>
      <c r="P718" s="50">
        <f t="shared" si="138"/>
        <v>1.6383003446201382E-2</v>
      </c>
      <c r="Q718" s="51">
        <f t="shared" si="139"/>
        <v>1.0647828141520229E-2</v>
      </c>
      <c r="R718" s="4">
        <f t="shared" si="134"/>
        <v>-1.2467962120596783E-2</v>
      </c>
      <c r="S718">
        <f t="shared" si="135"/>
        <v>0</v>
      </c>
      <c r="T718">
        <f t="shared" si="136"/>
        <v>0</v>
      </c>
      <c r="U718" s="5">
        <f>0</f>
        <v>0</v>
      </c>
      <c r="V718" s="45">
        <f t="shared" si="140"/>
        <v>0.18905247635215827</v>
      </c>
      <c r="W718" s="45">
        <f t="shared" si="141"/>
        <v>0</v>
      </c>
      <c r="X718" s="45">
        <f t="shared" si="142"/>
        <v>0</v>
      </c>
      <c r="Y718" s="46">
        <f>0</f>
        <v>0</v>
      </c>
      <c r="Z718" s="11"/>
    </row>
    <row r="719" spans="11:26" x14ac:dyDescent="0.45">
      <c r="K719" s="39">
        <f t="shared" si="137"/>
        <v>3.07</v>
      </c>
      <c r="L719" s="40">
        <f t="shared" si="130"/>
        <v>43.07</v>
      </c>
      <c r="M719" s="41">
        <f t="shared" si="131"/>
        <v>38.07</v>
      </c>
      <c r="N719" s="49">
        <f t="shared" si="132"/>
        <v>1.6368891033006039E-2</v>
      </c>
      <c r="O719" s="50">
        <f t="shared" si="133"/>
        <v>1.0638656041248163E-2</v>
      </c>
      <c r="P719" s="50">
        <f t="shared" si="138"/>
        <v>1.6368891033006039E-2</v>
      </c>
      <c r="Q719" s="51">
        <f t="shared" si="139"/>
        <v>1.0638656041248163E-2</v>
      </c>
      <c r="R719" s="4">
        <f t="shared" si="134"/>
        <v>-1.2439478330261825E-2</v>
      </c>
      <c r="S719">
        <f t="shared" si="135"/>
        <v>0</v>
      </c>
      <c r="T719">
        <f t="shared" si="136"/>
        <v>0</v>
      </c>
      <c r="U719" s="5">
        <f>0</f>
        <v>0</v>
      </c>
      <c r="V719" s="45">
        <f t="shared" si="140"/>
        <v>0.18917715597336424</v>
      </c>
      <c r="W719" s="45">
        <f t="shared" si="141"/>
        <v>0</v>
      </c>
      <c r="X719" s="45">
        <f t="shared" si="142"/>
        <v>0</v>
      </c>
      <c r="Y719" s="46">
        <f>0</f>
        <v>0</v>
      </c>
      <c r="Z719" s="11"/>
    </row>
    <row r="720" spans="11:26" x14ac:dyDescent="0.45">
      <c r="K720" s="39">
        <f t="shared" si="137"/>
        <v>3.06</v>
      </c>
      <c r="L720" s="40">
        <f t="shared" si="130"/>
        <v>43.06</v>
      </c>
      <c r="M720" s="41">
        <f t="shared" si="131"/>
        <v>38.06</v>
      </c>
      <c r="N720" s="49">
        <f t="shared" si="132"/>
        <v>1.6354790776324412E-2</v>
      </c>
      <c r="O720" s="50">
        <f t="shared" si="133"/>
        <v>1.0629491841875912E-2</v>
      </c>
      <c r="P720" s="50">
        <f t="shared" si="138"/>
        <v>1.6354790776324412E-2</v>
      </c>
      <c r="Q720" s="51">
        <f t="shared" si="139"/>
        <v>1.0629491841875912E-2</v>
      </c>
      <c r="R720" s="4">
        <f t="shared" si="134"/>
        <v>-1.241103853468549E-2</v>
      </c>
      <c r="S720">
        <f t="shared" si="135"/>
        <v>0</v>
      </c>
      <c r="T720">
        <f t="shared" si="136"/>
        <v>0</v>
      </c>
      <c r="U720" s="5">
        <f>0</f>
        <v>0</v>
      </c>
      <c r="V720" s="45">
        <f t="shared" si="140"/>
        <v>0.18930155075666685</v>
      </c>
      <c r="W720" s="45">
        <f t="shared" si="141"/>
        <v>0</v>
      </c>
      <c r="X720" s="45">
        <f t="shared" si="142"/>
        <v>0</v>
      </c>
      <c r="Y720" s="46">
        <f>0</f>
        <v>0</v>
      </c>
      <c r="Z720" s="11"/>
    </row>
    <row r="721" spans="11:26" x14ac:dyDescent="0.45">
      <c r="K721" s="39">
        <f t="shared" si="137"/>
        <v>3.05</v>
      </c>
      <c r="L721" s="40">
        <f t="shared" si="130"/>
        <v>43.05</v>
      </c>
      <c r="M721" s="41">
        <f t="shared" si="131"/>
        <v>38.049999999999997</v>
      </c>
      <c r="N721" s="49">
        <f t="shared" si="132"/>
        <v>1.6340702665684811E-2</v>
      </c>
      <c r="O721" s="50">
        <f t="shared" si="133"/>
        <v>1.0620335536597593E-2</v>
      </c>
      <c r="P721" s="50">
        <f t="shared" si="138"/>
        <v>1.6340702665684811E-2</v>
      </c>
      <c r="Q721" s="51">
        <f t="shared" si="139"/>
        <v>1.0620335536597593E-2</v>
      </c>
      <c r="R721" s="4">
        <f t="shared" si="134"/>
        <v>-1.2382642658639285E-2</v>
      </c>
      <c r="S721">
        <f t="shared" si="135"/>
        <v>0</v>
      </c>
      <c r="T721">
        <f t="shared" si="136"/>
        <v>0</v>
      </c>
      <c r="U721" s="5">
        <f>0</f>
        <v>0</v>
      </c>
      <c r="V721" s="45">
        <f t="shared" si="140"/>
        <v>0.1894256611420137</v>
      </c>
      <c r="W721" s="45">
        <f t="shared" si="141"/>
        <v>0</v>
      </c>
      <c r="X721" s="45">
        <f t="shared" si="142"/>
        <v>0</v>
      </c>
      <c r="Y721" s="46">
        <f>0</f>
        <v>0</v>
      </c>
      <c r="Z721" s="11"/>
    </row>
    <row r="722" spans="11:26" x14ac:dyDescent="0.45">
      <c r="K722" s="39">
        <f t="shared" si="137"/>
        <v>3.04</v>
      </c>
      <c r="L722" s="40">
        <f t="shared" si="130"/>
        <v>43.04</v>
      </c>
      <c r="M722" s="41">
        <f t="shared" si="131"/>
        <v>38.04</v>
      </c>
      <c r="N722" s="49">
        <f t="shared" si="132"/>
        <v>1.6326626690624579E-2</v>
      </c>
      <c r="O722" s="50">
        <f t="shared" si="133"/>
        <v>1.0611187118613195E-2</v>
      </c>
      <c r="P722" s="50">
        <f t="shared" si="138"/>
        <v>1.6326626690624579E-2</v>
      </c>
      <c r="Q722" s="51">
        <f t="shared" si="139"/>
        <v>1.0611187118613195E-2</v>
      </c>
      <c r="R722" s="4">
        <f t="shared" si="134"/>
        <v>-1.2354290627048386E-2</v>
      </c>
      <c r="S722">
        <f t="shared" si="135"/>
        <v>0</v>
      </c>
      <c r="T722">
        <f t="shared" si="136"/>
        <v>0</v>
      </c>
      <c r="U722" s="5">
        <f>0</f>
        <v>0</v>
      </c>
      <c r="V722" s="45">
        <f t="shared" si="140"/>
        <v>0.1895494875686001</v>
      </c>
      <c r="W722" s="45">
        <f t="shared" si="141"/>
        <v>0</v>
      </c>
      <c r="X722" s="45">
        <f t="shared" si="142"/>
        <v>0</v>
      </c>
      <c r="Y722" s="46">
        <f>0</f>
        <v>0</v>
      </c>
      <c r="Z722" s="11"/>
    </row>
    <row r="723" spans="11:26" x14ac:dyDescent="0.45">
      <c r="K723" s="39">
        <f t="shared" si="137"/>
        <v>3.03</v>
      </c>
      <c r="L723" s="40">
        <f t="shared" si="130"/>
        <v>43.03</v>
      </c>
      <c r="M723" s="41">
        <f t="shared" si="131"/>
        <v>38.03</v>
      </c>
      <c r="N723" s="49">
        <f t="shared" si="132"/>
        <v>1.6312562840690048E-2</v>
      </c>
      <c r="O723" s="50">
        <f t="shared" si="133"/>
        <v>1.0602046581128555E-2</v>
      </c>
      <c r="P723" s="50">
        <f t="shared" si="138"/>
        <v>1.6312562840690048E-2</v>
      </c>
      <c r="Q723" s="51">
        <f t="shared" si="139"/>
        <v>1.0602046581128555E-2</v>
      </c>
      <c r="R723" s="4">
        <f t="shared" si="134"/>
        <v>-1.2325982364991234E-2</v>
      </c>
      <c r="S723">
        <f t="shared" si="135"/>
        <v>0</v>
      </c>
      <c r="T723">
        <f t="shared" si="136"/>
        <v>0</v>
      </c>
      <c r="U723" s="5">
        <f>0</f>
        <v>0</v>
      </c>
      <c r="V723" s="45">
        <f t="shared" si="140"/>
        <v>0.18967303047487058</v>
      </c>
      <c r="W723" s="45">
        <f t="shared" si="141"/>
        <v>0</v>
      </c>
      <c r="X723" s="45">
        <f t="shared" si="142"/>
        <v>0</v>
      </c>
      <c r="Y723" s="46">
        <f>0</f>
        <v>0</v>
      </c>
      <c r="Z723" s="11"/>
    </row>
    <row r="724" spans="11:26" x14ac:dyDescent="0.45">
      <c r="K724" s="39">
        <f t="shared" si="137"/>
        <v>3.02</v>
      </c>
      <c r="L724" s="40">
        <f t="shared" si="130"/>
        <v>43.02</v>
      </c>
      <c r="M724" s="41">
        <f t="shared" si="131"/>
        <v>38.020000000000003</v>
      </c>
      <c r="N724" s="49">
        <f t="shared" si="132"/>
        <v>1.6298511105436571E-2</v>
      </c>
      <c r="O724" s="50">
        <f t="shared" si="133"/>
        <v>1.0592913917355364E-2</v>
      </c>
      <c r="P724" s="50">
        <f t="shared" si="138"/>
        <v>1.6298511105436571E-2</v>
      </c>
      <c r="Q724" s="51">
        <f t="shared" si="139"/>
        <v>1.0592913917355364E-2</v>
      </c>
      <c r="R724" s="4">
        <f t="shared" si="134"/>
        <v>-1.2297717797699195E-2</v>
      </c>
      <c r="S724">
        <f t="shared" si="135"/>
        <v>0</v>
      </c>
      <c r="T724">
        <f t="shared" si="136"/>
        <v>0</v>
      </c>
      <c r="U724" s="5">
        <f>0</f>
        <v>0</v>
      </c>
      <c r="V724" s="45">
        <f t="shared" si="140"/>
        <v>0.18979629029852049</v>
      </c>
      <c r="W724" s="45">
        <f t="shared" si="141"/>
        <v>0</v>
      </c>
      <c r="X724" s="45">
        <f t="shared" si="142"/>
        <v>0</v>
      </c>
      <c r="Y724" s="46">
        <f>0</f>
        <v>0</v>
      </c>
      <c r="Z724" s="11"/>
    </row>
    <row r="725" spans="11:26" x14ac:dyDescent="0.45">
      <c r="K725" s="39">
        <f t="shared" si="137"/>
        <v>3.01</v>
      </c>
      <c r="L725" s="40">
        <f t="shared" si="130"/>
        <v>43.01</v>
      </c>
      <c r="M725" s="41">
        <f t="shared" si="131"/>
        <v>38.01</v>
      </c>
      <c r="N725" s="49">
        <f t="shared" si="132"/>
        <v>1.6284471474428477E-2</v>
      </c>
      <c r="O725" s="50">
        <f t="shared" si="133"/>
        <v>1.0583789120511158E-2</v>
      </c>
      <c r="P725" s="50">
        <f t="shared" si="138"/>
        <v>1.6284471474428477E-2</v>
      </c>
      <c r="Q725" s="51">
        <f t="shared" si="139"/>
        <v>1.0583789120511158E-2</v>
      </c>
      <c r="R725" s="4">
        <f t="shared" si="134"/>
        <v>-1.2269496850556184E-2</v>
      </c>
      <c r="S725">
        <f t="shared" si="135"/>
        <v>0</v>
      </c>
      <c r="T725">
        <f t="shared" si="136"/>
        <v>0</v>
      </c>
      <c r="U725" s="5">
        <f>0</f>
        <v>0</v>
      </c>
      <c r="V725" s="45">
        <f t="shared" si="140"/>
        <v>0.18991926747649748</v>
      </c>
      <c r="W725" s="45">
        <f t="shared" si="141"/>
        <v>0</v>
      </c>
      <c r="X725" s="45">
        <f t="shared" si="142"/>
        <v>0</v>
      </c>
      <c r="Y725" s="46">
        <f>0</f>
        <v>0</v>
      </c>
      <c r="Z725" s="11"/>
    </row>
    <row r="726" spans="11:26" x14ac:dyDescent="0.45">
      <c r="K726" s="39">
        <f t="shared" si="137"/>
        <v>3</v>
      </c>
      <c r="L726" s="40">
        <f t="shared" si="130"/>
        <v>43</v>
      </c>
      <c r="M726" s="41">
        <f t="shared" si="131"/>
        <v>38</v>
      </c>
      <c r="N726" s="49">
        <f t="shared" si="132"/>
        <v>1.6270443937239101E-2</v>
      </c>
      <c r="O726" s="50">
        <f t="shared" si="133"/>
        <v>1.0574672183819319E-2</v>
      </c>
      <c r="P726" s="50">
        <f t="shared" si="138"/>
        <v>1.6270443937239101E-2</v>
      </c>
      <c r="Q726" s="51">
        <f t="shared" si="139"/>
        <v>1.0574672183819319E-2</v>
      </c>
      <c r="R726" s="4">
        <f t="shared" si="134"/>
        <v>-1.2241319449098337E-2</v>
      </c>
      <c r="S726">
        <f t="shared" si="135"/>
        <v>0</v>
      </c>
      <c r="T726">
        <f t="shared" si="136"/>
        <v>0</v>
      </c>
      <c r="U726" s="5">
        <f>0</f>
        <v>0</v>
      </c>
      <c r="V726" s="45">
        <f t="shared" si="140"/>
        <v>0.19004196244500304</v>
      </c>
      <c r="W726" s="45">
        <f t="shared" si="141"/>
        <v>0</v>
      </c>
      <c r="X726" s="45">
        <f t="shared" si="142"/>
        <v>0</v>
      </c>
      <c r="Y726" s="46">
        <f>0</f>
        <v>0</v>
      </c>
      <c r="Z726" s="11"/>
    </row>
    <row r="727" spans="11:26" x14ac:dyDescent="0.45">
      <c r="K727" s="39">
        <f t="shared" si="137"/>
        <v>2.99</v>
      </c>
      <c r="L727" s="40">
        <f t="shared" si="130"/>
        <v>42.99</v>
      </c>
      <c r="M727" s="41">
        <f t="shared" si="131"/>
        <v>37.99</v>
      </c>
      <c r="N727" s="49">
        <f t="shared" si="132"/>
        <v>1.6256428483450807E-2</v>
      </c>
      <c r="O727" s="50">
        <f t="shared" si="133"/>
        <v>1.0565563100509087E-2</v>
      </c>
      <c r="P727" s="50">
        <f t="shared" si="138"/>
        <v>1.6256428483450807E-2</v>
      </c>
      <c r="Q727" s="51">
        <f t="shared" si="139"/>
        <v>1.0565563100509087E-2</v>
      </c>
      <c r="R727" s="4">
        <f t="shared" si="134"/>
        <v>-1.2213185519013695E-2</v>
      </c>
      <c r="S727">
        <f t="shared" si="135"/>
        <v>0</v>
      </c>
      <c r="T727">
        <f t="shared" si="136"/>
        <v>0</v>
      </c>
      <c r="U727" s="5">
        <f>0</f>
        <v>0</v>
      </c>
      <c r="V727" s="45">
        <f t="shared" si="140"/>
        <v>0.19016437563949404</v>
      </c>
      <c r="W727" s="45">
        <f t="shared" si="141"/>
        <v>0</v>
      </c>
      <c r="X727" s="45">
        <f t="shared" si="142"/>
        <v>0</v>
      </c>
      <c r="Y727" s="46">
        <f>0</f>
        <v>0</v>
      </c>
      <c r="Z727" s="11"/>
    </row>
    <row r="728" spans="11:26" x14ac:dyDescent="0.45">
      <c r="K728" s="39">
        <f t="shared" si="137"/>
        <v>2.98</v>
      </c>
      <c r="L728" s="40">
        <f t="shared" si="130"/>
        <v>42.98</v>
      </c>
      <c r="M728" s="41">
        <f t="shared" si="131"/>
        <v>37.979999999999997</v>
      </c>
      <c r="N728" s="49">
        <f t="shared" si="132"/>
        <v>1.624242510265482E-2</v>
      </c>
      <c r="O728" s="50">
        <f t="shared" si="133"/>
        <v>1.0556461863815488E-2</v>
      </c>
      <c r="P728" s="50">
        <f t="shared" si="138"/>
        <v>1.624242510265482E-2</v>
      </c>
      <c r="Q728" s="51">
        <f t="shared" si="139"/>
        <v>1.0556461863815488E-2</v>
      </c>
      <c r="R728" s="4">
        <f t="shared" si="134"/>
        <v>-1.2185094986141651E-2</v>
      </c>
      <c r="S728">
        <f t="shared" si="135"/>
        <v>0</v>
      </c>
      <c r="T728">
        <f t="shared" si="136"/>
        <v>0</v>
      </c>
      <c r="U728" s="5">
        <f>0</f>
        <v>0</v>
      </c>
      <c r="V728" s="45">
        <f t="shared" si="140"/>
        <v>0.19028650749468418</v>
      </c>
      <c r="W728" s="45">
        <f t="shared" si="141"/>
        <v>0</v>
      </c>
      <c r="X728" s="45">
        <f t="shared" si="142"/>
        <v>0</v>
      </c>
      <c r="Y728" s="46">
        <f>0</f>
        <v>0</v>
      </c>
      <c r="Z728" s="11"/>
    </row>
    <row r="729" spans="11:26" x14ac:dyDescent="0.45">
      <c r="K729" s="39">
        <f t="shared" si="137"/>
        <v>2.97</v>
      </c>
      <c r="L729" s="40">
        <f t="shared" si="130"/>
        <v>42.97</v>
      </c>
      <c r="M729" s="41">
        <f t="shared" si="131"/>
        <v>37.97</v>
      </c>
      <c r="N729" s="49">
        <f t="shared" si="132"/>
        <v>1.6228433784451424E-2</v>
      </c>
      <c r="O729" s="50">
        <f t="shared" si="133"/>
        <v>1.0547368466979413E-2</v>
      </c>
      <c r="P729" s="50">
        <f t="shared" si="138"/>
        <v>1.6228433784451424E-2</v>
      </c>
      <c r="Q729" s="51">
        <f t="shared" si="139"/>
        <v>1.0547368466979413E-2</v>
      </c>
      <c r="R729" s="4">
        <f t="shared" si="134"/>
        <v>-1.2157047776472842E-2</v>
      </c>
      <c r="S729">
        <f t="shared" si="135"/>
        <v>0</v>
      </c>
      <c r="T729">
        <f t="shared" si="136"/>
        <v>0</v>
      </c>
      <c r="U729" s="5">
        <f>0</f>
        <v>0</v>
      </c>
      <c r="V729" s="45">
        <f t="shared" si="140"/>
        <v>0.19040835844454559</v>
      </c>
      <c r="W729" s="45">
        <f t="shared" si="141"/>
        <v>0</v>
      </c>
      <c r="X729" s="45">
        <f t="shared" si="142"/>
        <v>0</v>
      </c>
      <c r="Y729" s="46">
        <f>0</f>
        <v>0</v>
      </c>
      <c r="Z729" s="11"/>
    </row>
    <row r="730" spans="11:26" x14ac:dyDescent="0.45">
      <c r="K730" s="39">
        <f t="shared" si="137"/>
        <v>2.96</v>
      </c>
      <c r="L730" s="40">
        <f t="shared" ref="L730:L793" si="143">InitialAge_x+K730</f>
        <v>42.96</v>
      </c>
      <c r="M730" s="41">
        <f t="shared" ref="M730:M793" si="144">InitialAge_y+K730</f>
        <v>37.96</v>
      </c>
      <c r="N730" s="49">
        <f t="shared" ref="N730:N793" si="145">muParameter_B*muParameter_c^L730</f>
        <v>1.6214454518449831E-2</v>
      </c>
      <c r="O730" s="50">
        <f t="shared" ref="O730:O793" si="146">muParameter_B*muParameter_c^M730</f>
        <v>1.0538282903247563E-2</v>
      </c>
      <c r="P730" s="50">
        <f t="shared" si="138"/>
        <v>1.6214454518449831E-2</v>
      </c>
      <c r="Q730" s="51">
        <f t="shared" si="139"/>
        <v>1.0538282903247563E-2</v>
      </c>
      <c r="R730" s="4">
        <f t="shared" ref="R730:R793" si="147">V730*Delta-Constant_b1-(O730*(Constant_b12+W730-V730)+N730*(Constant_b13+X730-V730))</f>
        <v>-1.2129043816148639E-2</v>
      </c>
      <c r="S730">
        <f t="shared" ref="S730:S793" si="148">W730*Delta-Constant_b2-(P730*(Constant_b24+Y730-W730)+Q730*(Constant_b34+Y730-X730))</f>
        <v>0</v>
      </c>
      <c r="T730">
        <f t="shared" ref="T730:T793" si="149">X730*Delta-Constant_b3-(Q730*(Constant_b34+Y730-X730))</f>
        <v>0</v>
      </c>
      <c r="U730" s="5">
        <f>0</f>
        <v>0</v>
      </c>
      <c r="V730" s="45">
        <f t="shared" si="140"/>
        <v>0.19052992892231033</v>
      </c>
      <c r="W730" s="45">
        <f t="shared" si="141"/>
        <v>0</v>
      </c>
      <c r="X730" s="45">
        <f t="shared" si="142"/>
        <v>0</v>
      </c>
      <c r="Y730" s="46">
        <f>0</f>
        <v>0</v>
      </c>
      <c r="Z730" s="11"/>
    </row>
    <row r="731" spans="11:26" x14ac:dyDescent="0.45">
      <c r="K731" s="39">
        <f t="shared" ref="K731:K794" si="150">ROUND(K730-StepSize,2)</f>
        <v>2.95</v>
      </c>
      <c r="L731" s="40">
        <f t="shared" si="143"/>
        <v>42.95</v>
      </c>
      <c r="M731" s="41">
        <f t="shared" si="144"/>
        <v>37.950000000000003</v>
      </c>
      <c r="N731" s="49">
        <f t="shared" si="145"/>
        <v>1.62004872942682E-2</v>
      </c>
      <c r="O731" s="50">
        <f t="shared" si="146"/>
        <v>1.0529205165872461E-2</v>
      </c>
      <c r="P731" s="50">
        <f t="shared" ref="P731:P794" si="151">N731</f>
        <v>1.62004872942682E-2</v>
      </c>
      <c r="Q731" s="51">
        <f t="shared" ref="Q731:Q794" si="152">O731</f>
        <v>1.0529205165872461E-2</v>
      </c>
      <c r="R731" s="4">
        <f t="shared" si="147"/>
        <v>-1.2101083031460843E-2</v>
      </c>
      <c r="S731">
        <f t="shared" si="148"/>
        <v>0</v>
      </c>
      <c r="T731">
        <f t="shared" si="149"/>
        <v>0</v>
      </c>
      <c r="U731" s="5">
        <f>0</f>
        <v>0</v>
      </c>
      <c r="V731" s="45">
        <f t="shared" ref="V731:V794" si="153">V730-StepSize*(R730)</f>
        <v>0.1906512193604718</v>
      </c>
      <c r="W731" s="45">
        <f t="shared" ref="W731:W794" si="154">W730-StepSize*(S730)</f>
        <v>0</v>
      </c>
      <c r="X731" s="45">
        <f t="shared" ref="X731:X794" si="155">X730-StepSize*(T730)</f>
        <v>0</v>
      </c>
      <c r="Y731" s="46">
        <f>0</f>
        <v>0</v>
      </c>
      <c r="Z731" s="11"/>
    </row>
    <row r="732" spans="11:26" x14ac:dyDescent="0.45">
      <c r="K732" s="39">
        <f t="shared" si="150"/>
        <v>2.94</v>
      </c>
      <c r="L732" s="40">
        <f t="shared" si="143"/>
        <v>42.94</v>
      </c>
      <c r="M732" s="41">
        <f t="shared" si="144"/>
        <v>37.94</v>
      </c>
      <c r="N732" s="49">
        <f t="shared" si="145"/>
        <v>1.6186532101533636E-2</v>
      </c>
      <c r="O732" s="50">
        <f t="shared" si="146"/>
        <v>1.0520135248112421E-2</v>
      </c>
      <c r="P732" s="50">
        <f t="shared" si="151"/>
        <v>1.6186532101533636E-2</v>
      </c>
      <c r="Q732" s="51">
        <f t="shared" si="152"/>
        <v>1.0520135248112421E-2</v>
      </c>
      <c r="R732" s="4">
        <f t="shared" si="147"/>
        <v>-1.2073165348851301E-2</v>
      </c>
      <c r="S732">
        <f t="shared" si="148"/>
        <v>0</v>
      </c>
      <c r="T732">
        <f t="shared" si="149"/>
        <v>0</v>
      </c>
      <c r="U732" s="5">
        <f>0</f>
        <v>0</v>
      </c>
      <c r="V732" s="45">
        <f t="shared" si="153"/>
        <v>0.1907722301907864</v>
      </c>
      <c r="W732" s="45">
        <f t="shared" si="154"/>
        <v>0</v>
      </c>
      <c r="X732" s="45">
        <f t="shared" si="155"/>
        <v>0</v>
      </c>
      <c r="Y732" s="46">
        <f>0</f>
        <v>0</v>
      </c>
      <c r="Z732" s="11"/>
    </row>
    <row r="733" spans="11:26" x14ac:dyDescent="0.45">
      <c r="K733" s="39">
        <f t="shared" si="150"/>
        <v>2.93</v>
      </c>
      <c r="L733" s="40">
        <f t="shared" si="143"/>
        <v>42.93</v>
      </c>
      <c r="M733" s="41">
        <f t="shared" si="144"/>
        <v>37.93</v>
      </c>
      <c r="N733" s="49">
        <f t="shared" si="145"/>
        <v>1.6172588929882194E-2</v>
      </c>
      <c r="O733" s="50">
        <f t="shared" si="146"/>
        <v>1.0511073143231603E-2</v>
      </c>
      <c r="P733" s="50">
        <f t="shared" si="151"/>
        <v>1.6172588929882194E-2</v>
      </c>
      <c r="Q733" s="51">
        <f t="shared" si="152"/>
        <v>1.0511073143231603E-2</v>
      </c>
      <c r="R733" s="4">
        <f t="shared" si="147"/>
        <v>-1.2045290694911611E-2</v>
      </c>
      <c r="S733">
        <f t="shared" si="148"/>
        <v>0</v>
      </c>
      <c r="T733">
        <f t="shared" si="149"/>
        <v>0</v>
      </c>
      <c r="U733" s="5">
        <f>0</f>
        <v>0</v>
      </c>
      <c r="V733" s="45">
        <f t="shared" si="153"/>
        <v>0.19089296184427493</v>
      </c>
      <c r="W733" s="45">
        <f t="shared" si="154"/>
        <v>0</v>
      </c>
      <c r="X733" s="45">
        <f t="shared" si="155"/>
        <v>0</v>
      </c>
      <c r="Y733" s="46">
        <f>0</f>
        <v>0</v>
      </c>
      <c r="Z733" s="11"/>
    </row>
    <row r="734" spans="11:26" x14ac:dyDescent="0.45">
      <c r="K734" s="39">
        <f t="shared" si="150"/>
        <v>2.92</v>
      </c>
      <c r="L734" s="40">
        <f t="shared" si="143"/>
        <v>42.92</v>
      </c>
      <c r="M734" s="41">
        <f t="shared" si="144"/>
        <v>37.92</v>
      </c>
      <c r="N734" s="49">
        <f t="shared" si="145"/>
        <v>1.6158657768958834E-2</v>
      </c>
      <c r="O734" s="50">
        <f t="shared" si="146"/>
        <v>1.0502018844499944E-2</v>
      </c>
      <c r="P734" s="50">
        <f t="shared" si="151"/>
        <v>1.6158657768958834E-2</v>
      </c>
      <c r="Q734" s="51">
        <f t="shared" si="152"/>
        <v>1.0502018844499944E-2</v>
      </c>
      <c r="R734" s="4">
        <f t="shared" si="147"/>
        <v>-1.2017458996382714E-2</v>
      </c>
      <c r="S734">
        <f t="shared" si="148"/>
        <v>0</v>
      </c>
      <c r="T734">
        <f t="shared" si="149"/>
        <v>0</v>
      </c>
      <c r="U734" s="5">
        <f>0</f>
        <v>0</v>
      </c>
      <c r="V734" s="45">
        <f t="shared" si="153"/>
        <v>0.19101341475122405</v>
      </c>
      <c r="W734" s="45">
        <f t="shared" si="154"/>
        <v>0</v>
      </c>
      <c r="X734" s="45">
        <f t="shared" si="155"/>
        <v>0</v>
      </c>
      <c r="Y734" s="46">
        <f>0</f>
        <v>0</v>
      </c>
      <c r="Z734" s="11"/>
    </row>
    <row r="735" spans="11:26" x14ac:dyDescent="0.45">
      <c r="K735" s="39">
        <f t="shared" si="150"/>
        <v>2.91</v>
      </c>
      <c r="L735" s="40">
        <f t="shared" si="143"/>
        <v>42.91</v>
      </c>
      <c r="M735" s="41">
        <f t="shared" si="144"/>
        <v>37.909999999999997</v>
      </c>
      <c r="N735" s="49">
        <f t="shared" si="145"/>
        <v>1.614473860841744E-2</v>
      </c>
      <c r="O735" s="50">
        <f t="shared" si="146"/>
        <v>1.0492972345193162E-2</v>
      </c>
      <c r="P735" s="50">
        <f t="shared" si="151"/>
        <v>1.614473860841744E-2</v>
      </c>
      <c r="Q735" s="51">
        <f t="shared" si="152"/>
        <v>1.0492972345193162E-2</v>
      </c>
      <c r="R735" s="4">
        <f t="shared" si="147"/>
        <v>-1.1989670180154536E-2</v>
      </c>
      <c r="S735">
        <f t="shared" si="148"/>
        <v>0</v>
      </c>
      <c r="T735">
        <f t="shared" si="149"/>
        <v>0</v>
      </c>
      <c r="U735" s="5">
        <f>0</f>
        <v>0</v>
      </c>
      <c r="V735" s="45">
        <f t="shared" si="153"/>
        <v>0.19113358934118788</v>
      </c>
      <c r="W735" s="45">
        <f t="shared" si="154"/>
        <v>0</v>
      </c>
      <c r="X735" s="45">
        <f t="shared" si="155"/>
        <v>0</v>
      </c>
      <c r="Y735" s="46">
        <f>0</f>
        <v>0</v>
      </c>
      <c r="Z735" s="11"/>
    </row>
    <row r="736" spans="11:26" x14ac:dyDescent="0.45">
      <c r="K736" s="39">
        <f t="shared" si="150"/>
        <v>2.9</v>
      </c>
      <c r="L736" s="40">
        <f t="shared" si="143"/>
        <v>42.9</v>
      </c>
      <c r="M736" s="41">
        <f t="shared" si="144"/>
        <v>37.9</v>
      </c>
      <c r="N736" s="49">
        <f t="shared" si="145"/>
        <v>1.6130831437920833E-2</v>
      </c>
      <c r="O736" s="50">
        <f t="shared" si="146"/>
        <v>1.0483933638592815E-2</v>
      </c>
      <c r="P736" s="50">
        <f t="shared" si="151"/>
        <v>1.6130831437920833E-2</v>
      </c>
      <c r="Q736" s="51">
        <f t="shared" si="152"/>
        <v>1.0483933638592815E-2</v>
      </c>
      <c r="R736" s="4">
        <f t="shared" si="147"/>
        <v>-1.196192417326573E-2</v>
      </c>
      <c r="S736">
        <f t="shared" si="148"/>
        <v>0</v>
      </c>
      <c r="T736">
        <f t="shared" si="149"/>
        <v>0</v>
      </c>
      <c r="U736" s="5">
        <f>0</f>
        <v>0</v>
      </c>
      <c r="V736" s="45">
        <f t="shared" si="153"/>
        <v>0.19125348604298942</v>
      </c>
      <c r="W736" s="45">
        <f t="shared" si="154"/>
        <v>0</v>
      </c>
      <c r="X736" s="45">
        <f t="shared" si="155"/>
        <v>0</v>
      </c>
      <c r="Y736" s="46">
        <f>0</f>
        <v>0</v>
      </c>
      <c r="Z736" s="11"/>
    </row>
    <row r="737" spans="11:26" x14ac:dyDescent="0.45">
      <c r="K737" s="39">
        <f t="shared" si="150"/>
        <v>2.89</v>
      </c>
      <c r="L737" s="40">
        <f t="shared" si="143"/>
        <v>42.89</v>
      </c>
      <c r="M737" s="41">
        <f t="shared" si="144"/>
        <v>37.89</v>
      </c>
      <c r="N737" s="49">
        <f t="shared" si="145"/>
        <v>1.6116936247140709E-2</v>
      </c>
      <c r="O737" s="50">
        <f t="shared" si="146"/>
        <v>1.0474902717986213E-2</v>
      </c>
      <c r="P737" s="50">
        <f t="shared" si="151"/>
        <v>1.6116936247140709E-2</v>
      </c>
      <c r="Q737" s="51">
        <f t="shared" si="152"/>
        <v>1.0474902717986213E-2</v>
      </c>
      <c r="R737" s="4">
        <f t="shared" si="147"/>
        <v>-1.1934220902903209E-2</v>
      </c>
      <c r="S737">
        <f t="shared" si="148"/>
        <v>0</v>
      </c>
      <c r="T737">
        <f t="shared" si="149"/>
        <v>0</v>
      </c>
      <c r="U737" s="5">
        <f>0</f>
        <v>0</v>
      </c>
      <c r="V737" s="45">
        <f t="shared" si="153"/>
        <v>0.19137310528472207</v>
      </c>
      <c r="W737" s="45">
        <f t="shared" si="154"/>
        <v>0</v>
      </c>
      <c r="X737" s="45">
        <f t="shared" si="155"/>
        <v>0</v>
      </c>
      <c r="Y737" s="46">
        <f>0</f>
        <v>0</v>
      </c>
      <c r="Z737" s="11"/>
    </row>
    <row r="738" spans="11:26" x14ac:dyDescent="0.45">
      <c r="K738" s="39">
        <f t="shared" si="150"/>
        <v>2.88</v>
      </c>
      <c r="L738" s="40">
        <f t="shared" si="143"/>
        <v>42.88</v>
      </c>
      <c r="M738" s="41">
        <f t="shared" si="144"/>
        <v>37.880000000000003</v>
      </c>
      <c r="N738" s="49">
        <f t="shared" si="145"/>
        <v>1.6103053025757673E-2</v>
      </c>
      <c r="O738" s="50">
        <f t="shared" si="146"/>
        <v>1.0465879576666448E-2</v>
      </c>
      <c r="P738" s="50">
        <f t="shared" si="151"/>
        <v>1.6103053025757673E-2</v>
      </c>
      <c r="Q738" s="51">
        <f t="shared" si="152"/>
        <v>1.0465879576666448E-2</v>
      </c>
      <c r="R738" s="4">
        <f t="shared" si="147"/>
        <v>-1.1906560296401851E-2</v>
      </c>
      <c r="S738">
        <f t="shared" si="148"/>
        <v>0</v>
      </c>
      <c r="T738">
        <f t="shared" si="149"/>
        <v>0</v>
      </c>
      <c r="U738" s="5">
        <f>0</f>
        <v>0</v>
      </c>
      <c r="V738" s="45">
        <f t="shared" si="153"/>
        <v>0.19149244749375111</v>
      </c>
      <c r="W738" s="45">
        <f t="shared" si="154"/>
        <v>0</v>
      </c>
      <c r="X738" s="45">
        <f t="shared" si="155"/>
        <v>0</v>
      </c>
      <c r="Y738" s="46">
        <f>0</f>
        <v>0</v>
      </c>
      <c r="Z738" s="11"/>
    </row>
    <row r="739" spans="11:26" x14ac:dyDescent="0.45">
      <c r="K739" s="39">
        <f t="shared" si="150"/>
        <v>2.87</v>
      </c>
      <c r="L739" s="40">
        <f t="shared" si="143"/>
        <v>42.87</v>
      </c>
      <c r="M739" s="41">
        <f t="shared" si="144"/>
        <v>37.869999999999997</v>
      </c>
      <c r="N739" s="49">
        <f t="shared" si="145"/>
        <v>1.6089181763461205E-2</v>
      </c>
      <c r="O739" s="50">
        <f t="shared" si="146"/>
        <v>1.0456864207932395E-2</v>
      </c>
      <c r="P739" s="50">
        <f t="shared" si="151"/>
        <v>1.6089181763461205E-2</v>
      </c>
      <c r="Q739" s="51">
        <f t="shared" si="152"/>
        <v>1.0456864207932395E-2</v>
      </c>
      <c r="R739" s="4">
        <f t="shared" si="147"/>
        <v>-1.1878942281244156E-2</v>
      </c>
      <c r="S739">
        <f t="shared" si="148"/>
        <v>0</v>
      </c>
      <c r="T739">
        <f t="shared" si="149"/>
        <v>0</v>
      </c>
      <c r="U739" s="5">
        <f>0</f>
        <v>0</v>
      </c>
      <c r="V739" s="45">
        <f t="shared" si="153"/>
        <v>0.19161151309671512</v>
      </c>
      <c r="W739" s="45">
        <f t="shared" si="154"/>
        <v>0</v>
      </c>
      <c r="X739" s="45">
        <f t="shared" si="155"/>
        <v>0</v>
      </c>
      <c r="Y739" s="46">
        <f>0</f>
        <v>0</v>
      </c>
      <c r="Z739" s="11"/>
    </row>
    <row r="740" spans="11:26" x14ac:dyDescent="0.45">
      <c r="K740" s="39">
        <f t="shared" si="150"/>
        <v>2.86</v>
      </c>
      <c r="L740" s="40">
        <f t="shared" si="143"/>
        <v>42.86</v>
      </c>
      <c r="M740" s="41">
        <f t="shared" si="144"/>
        <v>37.86</v>
      </c>
      <c r="N740" s="49">
        <f t="shared" si="145"/>
        <v>1.6075322449949699E-2</v>
      </c>
      <c r="O740" s="50">
        <f t="shared" si="146"/>
        <v>1.0447856605088722E-2</v>
      </c>
      <c r="P740" s="50">
        <f t="shared" si="151"/>
        <v>1.6075322449949699E-2</v>
      </c>
      <c r="Q740" s="51">
        <f t="shared" si="152"/>
        <v>1.0447856605088722E-2</v>
      </c>
      <c r="R740" s="4">
        <f t="shared" si="147"/>
        <v>-1.1851366785059929E-2</v>
      </c>
      <c r="S740">
        <f t="shared" si="148"/>
        <v>0</v>
      </c>
      <c r="T740">
        <f t="shared" si="149"/>
        <v>0</v>
      </c>
      <c r="U740" s="5">
        <f>0</f>
        <v>0</v>
      </c>
      <c r="V740" s="45">
        <f t="shared" si="153"/>
        <v>0.19173030251952755</v>
      </c>
      <c r="W740" s="45">
        <f t="shared" si="154"/>
        <v>0</v>
      </c>
      <c r="X740" s="45">
        <f t="shared" si="155"/>
        <v>0</v>
      </c>
      <c r="Y740" s="46">
        <f>0</f>
        <v>0</v>
      </c>
      <c r="Z740" s="11"/>
    </row>
    <row r="741" spans="11:26" x14ac:dyDescent="0.45">
      <c r="K741" s="39">
        <f t="shared" si="150"/>
        <v>2.85</v>
      </c>
      <c r="L741" s="40">
        <f t="shared" si="143"/>
        <v>42.85</v>
      </c>
      <c r="M741" s="41">
        <f t="shared" si="144"/>
        <v>37.85</v>
      </c>
      <c r="N741" s="49">
        <f t="shared" si="145"/>
        <v>1.6061475074930394E-2</v>
      </c>
      <c r="O741" s="50">
        <f t="shared" si="146"/>
        <v>1.0438856761445833E-2</v>
      </c>
      <c r="P741" s="50">
        <f t="shared" si="151"/>
        <v>1.6061475074930394E-2</v>
      </c>
      <c r="Q741" s="51">
        <f t="shared" si="152"/>
        <v>1.0438856761445833E-2</v>
      </c>
      <c r="R741" s="4">
        <f t="shared" si="147"/>
        <v>-1.1823833735625849E-2</v>
      </c>
      <c r="S741">
        <f t="shared" si="148"/>
        <v>0</v>
      </c>
      <c r="T741">
        <f t="shared" si="149"/>
        <v>0</v>
      </c>
      <c r="U741" s="5">
        <f>0</f>
        <v>0</v>
      </c>
      <c r="V741" s="45">
        <f t="shared" si="153"/>
        <v>0.19184881618737815</v>
      </c>
      <c r="W741" s="45">
        <f t="shared" si="154"/>
        <v>0</v>
      </c>
      <c r="X741" s="45">
        <f t="shared" si="155"/>
        <v>0</v>
      </c>
      <c r="Y741" s="46">
        <f>0</f>
        <v>0</v>
      </c>
      <c r="Z741" s="11"/>
    </row>
    <row r="742" spans="11:26" x14ac:dyDescent="0.45">
      <c r="K742" s="39">
        <f t="shared" si="150"/>
        <v>2.84</v>
      </c>
      <c r="L742" s="40">
        <f t="shared" si="143"/>
        <v>42.84</v>
      </c>
      <c r="M742" s="41">
        <f t="shared" si="144"/>
        <v>37.840000000000003</v>
      </c>
      <c r="N742" s="49">
        <f t="shared" si="145"/>
        <v>1.6047639628119406E-2</v>
      </c>
      <c r="O742" s="50">
        <f t="shared" si="146"/>
        <v>1.0429864670319909E-2</v>
      </c>
      <c r="P742" s="50">
        <f t="shared" si="151"/>
        <v>1.6047639628119406E-2</v>
      </c>
      <c r="Q742" s="51">
        <f t="shared" si="152"/>
        <v>1.0429864670319909E-2</v>
      </c>
      <c r="R742" s="4">
        <f t="shared" si="147"/>
        <v>-1.1796343060865203E-2</v>
      </c>
      <c r="S742">
        <f t="shared" si="148"/>
        <v>0</v>
      </c>
      <c r="T742">
        <f t="shared" si="149"/>
        <v>0</v>
      </c>
      <c r="U742" s="5">
        <f>0</f>
        <v>0</v>
      </c>
      <c r="V742" s="45">
        <f t="shared" si="153"/>
        <v>0.19196705452473439</v>
      </c>
      <c r="W742" s="45">
        <f t="shared" si="154"/>
        <v>0</v>
      </c>
      <c r="X742" s="45">
        <f t="shared" si="155"/>
        <v>0</v>
      </c>
      <c r="Y742" s="46">
        <f>0</f>
        <v>0</v>
      </c>
      <c r="Z742" s="11"/>
    </row>
    <row r="743" spans="11:26" x14ac:dyDescent="0.45">
      <c r="K743" s="39">
        <f t="shared" si="150"/>
        <v>2.83</v>
      </c>
      <c r="L743" s="40">
        <f t="shared" si="143"/>
        <v>42.83</v>
      </c>
      <c r="M743" s="41">
        <f t="shared" si="144"/>
        <v>37.83</v>
      </c>
      <c r="N743" s="49">
        <f t="shared" si="145"/>
        <v>1.6033816099241701E-2</v>
      </c>
      <c r="O743" s="50">
        <f t="shared" si="146"/>
        <v>1.0420880325032886E-2</v>
      </c>
      <c r="P743" s="50">
        <f t="shared" si="151"/>
        <v>1.6033816099241701E-2</v>
      </c>
      <c r="Q743" s="51">
        <f t="shared" si="152"/>
        <v>1.0420880325032886E-2</v>
      </c>
      <c r="R743" s="4">
        <f t="shared" si="147"/>
        <v>-1.1768894688847498E-2</v>
      </c>
      <c r="S743">
        <f t="shared" si="148"/>
        <v>0</v>
      </c>
      <c r="T743">
        <f t="shared" si="149"/>
        <v>0</v>
      </c>
      <c r="U743" s="5">
        <f>0</f>
        <v>0</v>
      </c>
      <c r="V743" s="45">
        <f t="shared" si="153"/>
        <v>0.19208501795534305</v>
      </c>
      <c r="W743" s="45">
        <f t="shared" si="154"/>
        <v>0</v>
      </c>
      <c r="X743" s="45">
        <f t="shared" si="155"/>
        <v>0</v>
      </c>
      <c r="Y743" s="46">
        <f>0</f>
        <v>0</v>
      </c>
      <c r="Z743" s="11"/>
    </row>
    <row r="744" spans="11:26" x14ac:dyDescent="0.45">
      <c r="K744" s="39">
        <f t="shared" si="150"/>
        <v>2.82</v>
      </c>
      <c r="L744" s="40">
        <f t="shared" si="143"/>
        <v>42.82</v>
      </c>
      <c r="M744" s="41">
        <f t="shared" si="144"/>
        <v>37.82</v>
      </c>
      <c r="N744" s="49">
        <f t="shared" si="145"/>
        <v>1.6020004478031112E-2</v>
      </c>
      <c r="O744" s="50">
        <f t="shared" si="146"/>
        <v>1.0411903718912461E-2</v>
      </c>
      <c r="P744" s="50">
        <f t="shared" si="151"/>
        <v>1.6020004478031112E-2</v>
      </c>
      <c r="Q744" s="51">
        <f t="shared" si="152"/>
        <v>1.0411903718912461E-2</v>
      </c>
      <c r="R744" s="4">
        <f t="shared" si="147"/>
        <v>-1.174148854778816E-2</v>
      </c>
      <c r="S744">
        <f t="shared" si="148"/>
        <v>0</v>
      </c>
      <c r="T744">
        <f t="shared" si="149"/>
        <v>0</v>
      </c>
      <c r="U744" s="5">
        <f>0</f>
        <v>0</v>
      </c>
      <c r="V744" s="45">
        <f t="shared" si="153"/>
        <v>0.19220270690223151</v>
      </c>
      <c r="W744" s="45">
        <f t="shared" si="154"/>
        <v>0</v>
      </c>
      <c r="X744" s="45">
        <f t="shared" si="155"/>
        <v>0</v>
      </c>
      <c r="Y744" s="46">
        <f>0</f>
        <v>0</v>
      </c>
      <c r="Z744" s="11"/>
    </row>
    <row r="745" spans="11:26" x14ac:dyDescent="0.45">
      <c r="K745" s="39">
        <f t="shared" si="150"/>
        <v>2.81</v>
      </c>
      <c r="L745" s="40">
        <f t="shared" si="143"/>
        <v>42.81</v>
      </c>
      <c r="M745" s="41">
        <f t="shared" si="144"/>
        <v>37.81</v>
      </c>
      <c r="N745" s="49">
        <f t="shared" si="145"/>
        <v>1.6006204754230303E-2</v>
      </c>
      <c r="O745" s="50">
        <f t="shared" si="146"/>
        <v>1.0402934845292068E-2</v>
      </c>
      <c r="P745" s="50">
        <f t="shared" si="151"/>
        <v>1.6006204754230303E-2</v>
      </c>
      <c r="Q745" s="51">
        <f t="shared" si="152"/>
        <v>1.0402934845292068E-2</v>
      </c>
      <c r="R745" s="4">
        <f t="shared" si="147"/>
        <v>-1.171412456604814E-2</v>
      </c>
      <c r="S745">
        <f t="shared" si="148"/>
        <v>0</v>
      </c>
      <c r="T745">
        <f t="shared" si="149"/>
        <v>0</v>
      </c>
      <c r="U745" s="5">
        <f>0</f>
        <v>0</v>
      </c>
      <c r="V745" s="45">
        <f t="shared" si="153"/>
        <v>0.19232012178770938</v>
      </c>
      <c r="W745" s="45">
        <f t="shared" si="154"/>
        <v>0</v>
      </c>
      <c r="X745" s="45">
        <f t="shared" si="155"/>
        <v>0</v>
      </c>
      <c r="Y745" s="46">
        <f>0</f>
        <v>0</v>
      </c>
      <c r="Z745" s="11"/>
    </row>
    <row r="746" spans="11:26" x14ac:dyDescent="0.45">
      <c r="K746" s="39">
        <f t="shared" si="150"/>
        <v>2.8</v>
      </c>
      <c r="L746" s="40">
        <f t="shared" si="143"/>
        <v>42.8</v>
      </c>
      <c r="M746" s="41">
        <f t="shared" si="144"/>
        <v>37.799999999999997</v>
      </c>
      <c r="N746" s="49">
        <f t="shared" si="145"/>
        <v>1.5992416917590773E-2</v>
      </c>
      <c r="O746" s="50">
        <f t="shared" si="146"/>
        <v>1.0393973697510881E-2</v>
      </c>
      <c r="P746" s="50">
        <f t="shared" si="151"/>
        <v>1.5992416917590773E-2</v>
      </c>
      <c r="Q746" s="51">
        <f t="shared" si="152"/>
        <v>1.0393973697510881E-2</v>
      </c>
      <c r="R746" s="4">
        <f t="shared" si="147"/>
        <v>-1.1686802672133604E-2</v>
      </c>
      <c r="S746">
        <f t="shared" si="148"/>
        <v>0</v>
      </c>
      <c r="T746">
        <f t="shared" si="149"/>
        <v>0</v>
      </c>
      <c r="U746" s="5">
        <f>0</f>
        <v>0</v>
      </c>
      <c r="V746" s="45">
        <f t="shared" si="153"/>
        <v>0.19243726303336986</v>
      </c>
      <c r="W746" s="45">
        <f t="shared" si="154"/>
        <v>0</v>
      </c>
      <c r="X746" s="45">
        <f t="shared" si="155"/>
        <v>0</v>
      </c>
      <c r="Y746" s="46">
        <f>0</f>
        <v>0</v>
      </c>
      <c r="Z746" s="11"/>
    </row>
    <row r="747" spans="11:26" x14ac:dyDescent="0.45">
      <c r="K747" s="39">
        <f t="shared" si="150"/>
        <v>2.79</v>
      </c>
      <c r="L747" s="40">
        <f t="shared" si="143"/>
        <v>42.79</v>
      </c>
      <c r="M747" s="41">
        <f t="shared" si="144"/>
        <v>37.79</v>
      </c>
      <c r="N747" s="49">
        <f t="shared" si="145"/>
        <v>1.597864095787286E-2</v>
      </c>
      <c r="O747" s="50">
        <f t="shared" si="146"/>
        <v>1.0385020268913829E-2</v>
      </c>
      <c r="P747" s="50">
        <f t="shared" si="151"/>
        <v>1.597864095787286E-2</v>
      </c>
      <c r="Q747" s="51">
        <f t="shared" si="152"/>
        <v>1.0385020268913829E-2</v>
      </c>
      <c r="R747" s="4">
        <f t="shared" si="147"/>
        <v>-1.1659522794695598E-2</v>
      </c>
      <c r="S747">
        <f t="shared" si="148"/>
        <v>0</v>
      </c>
      <c r="T747">
        <f t="shared" si="149"/>
        <v>0</v>
      </c>
      <c r="U747" s="5">
        <f>0</f>
        <v>0</v>
      </c>
      <c r="V747" s="45">
        <f t="shared" si="153"/>
        <v>0.1925541310600912</v>
      </c>
      <c r="W747" s="45">
        <f t="shared" si="154"/>
        <v>0</v>
      </c>
      <c r="X747" s="45">
        <f t="shared" si="155"/>
        <v>0</v>
      </c>
      <c r="Y747" s="46">
        <f>0</f>
        <v>0</v>
      </c>
      <c r="Z747" s="11"/>
    </row>
    <row r="748" spans="11:26" x14ac:dyDescent="0.45">
      <c r="K748" s="39">
        <f t="shared" si="150"/>
        <v>2.78</v>
      </c>
      <c r="L748" s="40">
        <f t="shared" si="143"/>
        <v>42.78</v>
      </c>
      <c r="M748" s="41">
        <f t="shared" si="144"/>
        <v>37.78</v>
      </c>
      <c r="N748" s="49">
        <f t="shared" si="145"/>
        <v>1.5964876864845712E-2</v>
      </c>
      <c r="O748" s="50">
        <f t="shared" si="146"/>
        <v>1.0376074552851557E-2</v>
      </c>
      <c r="P748" s="50">
        <f t="shared" si="151"/>
        <v>1.5964876864845712E-2</v>
      </c>
      <c r="Q748" s="51">
        <f t="shared" si="152"/>
        <v>1.0376074552851557E-2</v>
      </c>
      <c r="R748" s="4">
        <f t="shared" si="147"/>
        <v>-1.1632284862529697E-2</v>
      </c>
      <c r="S748">
        <f t="shared" si="148"/>
        <v>0</v>
      </c>
      <c r="T748">
        <f t="shared" si="149"/>
        <v>0</v>
      </c>
      <c r="U748" s="5">
        <f>0</f>
        <v>0</v>
      </c>
      <c r="V748" s="45">
        <f t="shared" si="153"/>
        <v>0.19267072628803816</v>
      </c>
      <c r="W748" s="45">
        <f t="shared" si="154"/>
        <v>0</v>
      </c>
      <c r="X748" s="45">
        <f t="shared" si="155"/>
        <v>0</v>
      </c>
      <c r="Y748" s="46">
        <f>0</f>
        <v>0</v>
      </c>
      <c r="Z748" s="11"/>
    </row>
    <row r="749" spans="11:26" x14ac:dyDescent="0.45">
      <c r="K749" s="39">
        <f t="shared" si="150"/>
        <v>2.77</v>
      </c>
      <c r="L749" s="40">
        <f t="shared" si="143"/>
        <v>42.77</v>
      </c>
      <c r="M749" s="41">
        <f t="shared" si="144"/>
        <v>37.770000000000003</v>
      </c>
      <c r="N749" s="49">
        <f t="shared" si="145"/>
        <v>1.5951124628287305E-2</v>
      </c>
      <c r="O749" s="50">
        <f t="shared" si="146"/>
        <v>1.0367136542680441E-2</v>
      </c>
      <c r="P749" s="50">
        <f t="shared" si="151"/>
        <v>1.5951124628287305E-2</v>
      </c>
      <c r="Q749" s="51">
        <f t="shared" si="152"/>
        <v>1.0367136542680441E-2</v>
      </c>
      <c r="R749" s="4">
        <f t="shared" si="147"/>
        <v>-1.1605088804575673E-2</v>
      </c>
      <c r="S749">
        <f t="shared" si="148"/>
        <v>0</v>
      </c>
      <c r="T749">
        <f t="shared" si="149"/>
        <v>0</v>
      </c>
      <c r="U749" s="5">
        <f>0</f>
        <v>0</v>
      </c>
      <c r="V749" s="45">
        <f t="shared" si="153"/>
        <v>0.19278704913666345</v>
      </c>
      <c r="W749" s="45">
        <f t="shared" si="154"/>
        <v>0</v>
      </c>
      <c r="X749" s="45">
        <f t="shared" si="155"/>
        <v>0</v>
      </c>
      <c r="Y749" s="46">
        <f>0</f>
        <v>0</v>
      </c>
      <c r="Z749" s="11"/>
    </row>
    <row r="750" spans="11:26" x14ac:dyDescent="0.45">
      <c r="K750" s="39">
        <f t="shared" si="150"/>
        <v>2.76</v>
      </c>
      <c r="L750" s="40">
        <f t="shared" si="143"/>
        <v>42.76</v>
      </c>
      <c r="M750" s="41">
        <f t="shared" si="144"/>
        <v>37.76</v>
      </c>
      <c r="N750" s="49">
        <f t="shared" si="145"/>
        <v>1.5937384237984374E-2</v>
      </c>
      <c r="O750" s="50">
        <f t="shared" si="146"/>
        <v>1.0358206231762581E-2</v>
      </c>
      <c r="P750" s="50">
        <f t="shared" si="151"/>
        <v>1.5937384237984374E-2</v>
      </c>
      <c r="Q750" s="51">
        <f t="shared" si="152"/>
        <v>1.0358206231762581E-2</v>
      </c>
      <c r="R750" s="4">
        <f t="shared" si="147"/>
        <v>-1.1577934549917108E-2</v>
      </c>
      <c r="S750">
        <f t="shared" si="148"/>
        <v>0</v>
      </c>
      <c r="T750">
        <f t="shared" si="149"/>
        <v>0</v>
      </c>
      <c r="U750" s="5">
        <f>0</f>
        <v>0</v>
      </c>
      <c r="V750" s="45">
        <f t="shared" si="153"/>
        <v>0.1929031000247092</v>
      </c>
      <c r="W750" s="45">
        <f t="shared" si="154"/>
        <v>0</v>
      </c>
      <c r="X750" s="45">
        <f t="shared" si="155"/>
        <v>0</v>
      </c>
      <c r="Y750" s="46">
        <f>0</f>
        <v>0</v>
      </c>
      <c r="Z750" s="11"/>
    </row>
    <row r="751" spans="11:26" x14ac:dyDescent="0.45">
      <c r="K751" s="39">
        <f t="shared" si="150"/>
        <v>2.75</v>
      </c>
      <c r="L751" s="40">
        <f t="shared" si="143"/>
        <v>42.75</v>
      </c>
      <c r="M751" s="41">
        <f t="shared" si="144"/>
        <v>37.75</v>
      </c>
      <c r="N751" s="49">
        <f t="shared" si="145"/>
        <v>1.5923655683732524E-2</v>
      </c>
      <c r="O751" s="50">
        <f t="shared" si="146"/>
        <v>1.0349283613465805E-2</v>
      </c>
      <c r="P751" s="50">
        <f t="shared" si="151"/>
        <v>1.5923655683732524E-2</v>
      </c>
      <c r="Q751" s="51">
        <f t="shared" si="152"/>
        <v>1.0349283613465805E-2</v>
      </c>
      <c r="R751" s="4">
        <f t="shared" si="147"/>
        <v>-1.1550822027781175E-2</v>
      </c>
      <c r="S751">
        <f t="shared" si="148"/>
        <v>0</v>
      </c>
      <c r="T751">
        <f t="shared" si="149"/>
        <v>0</v>
      </c>
      <c r="U751" s="5">
        <f>0</f>
        <v>0</v>
      </c>
      <c r="V751" s="45">
        <f t="shared" si="153"/>
        <v>0.19301887937020837</v>
      </c>
      <c r="W751" s="45">
        <f t="shared" si="154"/>
        <v>0</v>
      </c>
      <c r="X751" s="45">
        <f t="shared" si="155"/>
        <v>0</v>
      </c>
      <c r="Y751" s="46">
        <f>0</f>
        <v>0</v>
      </c>
      <c r="Z751" s="11"/>
    </row>
    <row r="752" spans="11:26" x14ac:dyDescent="0.45">
      <c r="K752" s="39">
        <f t="shared" si="150"/>
        <v>2.74</v>
      </c>
      <c r="L752" s="40">
        <f t="shared" si="143"/>
        <v>42.74</v>
      </c>
      <c r="M752" s="41">
        <f t="shared" si="144"/>
        <v>37.74</v>
      </c>
      <c r="N752" s="49">
        <f t="shared" si="145"/>
        <v>1.5909938955336104E-2</v>
      </c>
      <c r="O752" s="50">
        <f t="shared" si="146"/>
        <v>1.0340368681163638E-2</v>
      </c>
      <c r="P752" s="50">
        <f t="shared" si="151"/>
        <v>1.5909938955336104E-2</v>
      </c>
      <c r="Q752" s="51">
        <f t="shared" si="152"/>
        <v>1.0340368681163638E-2</v>
      </c>
      <c r="R752" s="4">
        <f t="shared" si="147"/>
        <v>-1.152375116753819E-2</v>
      </c>
      <c r="S752">
        <f t="shared" si="148"/>
        <v>0</v>
      </c>
      <c r="T752">
        <f t="shared" si="149"/>
        <v>0</v>
      </c>
      <c r="U752" s="5">
        <f>0</f>
        <v>0</v>
      </c>
      <c r="V752" s="45">
        <f t="shared" si="153"/>
        <v>0.19313438759048618</v>
      </c>
      <c r="W752" s="45">
        <f t="shared" si="154"/>
        <v>0</v>
      </c>
      <c r="X752" s="45">
        <f t="shared" si="155"/>
        <v>0</v>
      </c>
      <c r="Y752" s="46">
        <f>0</f>
        <v>0</v>
      </c>
      <c r="Z752" s="11"/>
    </row>
    <row r="753" spans="11:26" x14ac:dyDescent="0.45">
      <c r="K753" s="39">
        <f t="shared" si="150"/>
        <v>2.73</v>
      </c>
      <c r="L753" s="40">
        <f t="shared" si="143"/>
        <v>42.73</v>
      </c>
      <c r="M753" s="41">
        <f t="shared" si="144"/>
        <v>37.729999999999997</v>
      </c>
      <c r="N753" s="49">
        <f t="shared" si="145"/>
        <v>1.5896234042608228E-2</v>
      </c>
      <c r="O753" s="50">
        <f t="shared" si="146"/>
        <v>1.0331461428235319E-2</v>
      </c>
      <c r="P753" s="50">
        <f t="shared" si="151"/>
        <v>1.5896234042608228E-2</v>
      </c>
      <c r="Q753" s="51">
        <f t="shared" si="152"/>
        <v>1.0331461428235319E-2</v>
      </c>
      <c r="R753" s="4">
        <f t="shared" si="147"/>
        <v>-1.149672189870129E-2</v>
      </c>
      <c r="S753">
        <f t="shared" si="148"/>
        <v>0</v>
      </c>
      <c r="T753">
        <f t="shared" si="149"/>
        <v>0</v>
      </c>
      <c r="U753" s="5">
        <f>0</f>
        <v>0</v>
      </c>
      <c r="V753" s="45">
        <f t="shared" si="153"/>
        <v>0.19324962510216157</v>
      </c>
      <c r="W753" s="45">
        <f t="shared" si="154"/>
        <v>0</v>
      </c>
      <c r="X753" s="45">
        <f t="shared" si="155"/>
        <v>0</v>
      </c>
      <c r="Y753" s="46">
        <f>0</f>
        <v>0</v>
      </c>
      <c r="Z753" s="11"/>
    </row>
    <row r="754" spans="11:26" x14ac:dyDescent="0.45">
      <c r="K754" s="39">
        <f t="shared" si="150"/>
        <v>2.72</v>
      </c>
      <c r="L754" s="40">
        <f t="shared" si="143"/>
        <v>42.72</v>
      </c>
      <c r="M754" s="41">
        <f t="shared" si="144"/>
        <v>37.72</v>
      </c>
      <c r="N754" s="49">
        <f t="shared" si="145"/>
        <v>1.5882540935370851E-2</v>
      </c>
      <c r="O754" s="50">
        <f t="shared" si="146"/>
        <v>1.0322561848065796E-2</v>
      </c>
      <c r="P754" s="50">
        <f t="shared" si="151"/>
        <v>1.5882540935370851E-2</v>
      </c>
      <c r="Q754" s="51">
        <f t="shared" si="152"/>
        <v>1.0322561848065796E-2</v>
      </c>
      <c r="R754" s="4">
        <f t="shared" si="147"/>
        <v>-1.1469734150926196E-2</v>
      </c>
      <c r="S754">
        <f t="shared" si="148"/>
        <v>0</v>
      </c>
      <c r="T754">
        <f t="shared" si="149"/>
        <v>0</v>
      </c>
      <c r="U754" s="5">
        <f>0</f>
        <v>0</v>
      </c>
      <c r="V754" s="45">
        <f t="shared" si="153"/>
        <v>0.19336459232114858</v>
      </c>
      <c r="W754" s="45">
        <f t="shared" si="154"/>
        <v>0</v>
      </c>
      <c r="X754" s="45">
        <f t="shared" si="155"/>
        <v>0</v>
      </c>
      <c r="Y754" s="46">
        <f>0</f>
        <v>0</v>
      </c>
      <c r="Z754" s="11"/>
    </row>
    <row r="755" spans="11:26" x14ac:dyDescent="0.45">
      <c r="K755" s="39">
        <f t="shared" si="150"/>
        <v>2.71</v>
      </c>
      <c r="L755" s="40">
        <f t="shared" si="143"/>
        <v>42.71</v>
      </c>
      <c r="M755" s="41">
        <f t="shared" si="144"/>
        <v>37.71</v>
      </c>
      <c r="N755" s="49">
        <f t="shared" si="145"/>
        <v>1.5868859623454638E-2</v>
      </c>
      <c r="O755" s="50">
        <f t="shared" si="146"/>
        <v>1.0313669934045708E-2</v>
      </c>
      <c r="P755" s="50">
        <f t="shared" si="151"/>
        <v>1.5868859623454638E-2</v>
      </c>
      <c r="Q755" s="51">
        <f t="shared" si="152"/>
        <v>1.0313669934045708E-2</v>
      </c>
      <c r="R755" s="4">
        <f t="shared" si="147"/>
        <v>-1.1442787854010742E-2</v>
      </c>
      <c r="S755">
        <f t="shared" si="148"/>
        <v>0</v>
      </c>
      <c r="T755">
        <f t="shared" si="149"/>
        <v>0</v>
      </c>
      <c r="U755" s="5">
        <f>0</f>
        <v>0</v>
      </c>
      <c r="V755" s="45">
        <f t="shared" si="153"/>
        <v>0.19347928966265784</v>
      </c>
      <c r="W755" s="45">
        <f t="shared" si="154"/>
        <v>0</v>
      </c>
      <c r="X755" s="45">
        <f t="shared" si="155"/>
        <v>0</v>
      </c>
      <c r="Y755" s="46">
        <f>0</f>
        <v>0</v>
      </c>
      <c r="Z755" s="11"/>
    </row>
    <row r="756" spans="11:26" x14ac:dyDescent="0.45">
      <c r="K756" s="39">
        <f t="shared" si="150"/>
        <v>2.7</v>
      </c>
      <c r="L756" s="40">
        <f t="shared" si="143"/>
        <v>42.7</v>
      </c>
      <c r="M756" s="41">
        <f t="shared" si="144"/>
        <v>37.700000000000003</v>
      </c>
      <c r="N756" s="49">
        <f t="shared" si="145"/>
        <v>1.5855190096699025E-2</v>
      </c>
      <c r="O756" s="50">
        <f t="shared" si="146"/>
        <v>1.0304785679571391E-2</v>
      </c>
      <c r="P756" s="50">
        <f t="shared" si="151"/>
        <v>1.5855190096699025E-2</v>
      </c>
      <c r="Q756" s="51">
        <f t="shared" si="152"/>
        <v>1.0304785679571391E-2</v>
      </c>
      <c r="R756" s="4">
        <f t="shared" si="147"/>
        <v>-1.1415882937894646E-2</v>
      </c>
      <c r="S756">
        <f t="shared" si="148"/>
        <v>0</v>
      </c>
      <c r="T756">
        <f t="shared" si="149"/>
        <v>0</v>
      </c>
      <c r="U756" s="5">
        <f>0</f>
        <v>0</v>
      </c>
      <c r="V756" s="45">
        <f t="shared" si="153"/>
        <v>0.19359371754119795</v>
      </c>
      <c r="W756" s="45">
        <f t="shared" si="154"/>
        <v>0</v>
      </c>
      <c r="X756" s="45">
        <f t="shared" si="155"/>
        <v>0</v>
      </c>
      <c r="Y756" s="46">
        <f>0</f>
        <v>0</v>
      </c>
      <c r="Z756" s="11"/>
    </row>
    <row r="757" spans="11:26" x14ac:dyDescent="0.45">
      <c r="K757" s="39">
        <f t="shared" si="150"/>
        <v>2.69</v>
      </c>
      <c r="L757" s="40">
        <f t="shared" si="143"/>
        <v>42.69</v>
      </c>
      <c r="M757" s="41">
        <f t="shared" si="144"/>
        <v>37.69</v>
      </c>
      <c r="N757" s="49">
        <f t="shared" si="145"/>
        <v>1.5841532344952204E-2</v>
      </c>
      <c r="O757" s="50">
        <f t="shared" si="146"/>
        <v>1.0295909078044863E-2</v>
      </c>
      <c r="P757" s="50">
        <f t="shared" si="151"/>
        <v>1.5841532344952204E-2</v>
      </c>
      <c r="Q757" s="51">
        <f t="shared" si="152"/>
        <v>1.0295909078044863E-2</v>
      </c>
      <c r="R757" s="4">
        <f t="shared" si="147"/>
        <v>-1.1389019332659112E-2</v>
      </c>
      <c r="S757">
        <f t="shared" si="148"/>
        <v>0</v>
      </c>
      <c r="T757">
        <f t="shared" si="149"/>
        <v>0</v>
      </c>
      <c r="U757" s="5">
        <f>0</f>
        <v>0</v>
      </c>
      <c r="V757" s="45">
        <f t="shared" si="153"/>
        <v>0.1937078763705769</v>
      </c>
      <c r="W757" s="45">
        <f t="shared" si="154"/>
        <v>0</v>
      </c>
      <c r="X757" s="45">
        <f t="shared" si="155"/>
        <v>0</v>
      </c>
      <c r="Y757" s="46">
        <f>0</f>
        <v>0</v>
      </c>
      <c r="Z757" s="11"/>
    </row>
    <row r="758" spans="11:26" x14ac:dyDescent="0.45">
      <c r="K758" s="39">
        <f t="shared" si="150"/>
        <v>2.68</v>
      </c>
      <c r="L758" s="40">
        <f t="shared" si="143"/>
        <v>42.68</v>
      </c>
      <c r="M758" s="41">
        <f t="shared" si="144"/>
        <v>37.68</v>
      </c>
      <c r="N758" s="49">
        <f t="shared" si="145"/>
        <v>1.5827886358071138E-2</v>
      </c>
      <c r="O758" s="50">
        <f t="shared" si="146"/>
        <v>1.0287040122873839E-2</v>
      </c>
      <c r="P758" s="50">
        <f t="shared" si="151"/>
        <v>1.5827886358071138E-2</v>
      </c>
      <c r="Q758" s="51">
        <f t="shared" si="152"/>
        <v>1.0287040122873839E-2</v>
      </c>
      <c r="R758" s="4">
        <f t="shared" si="147"/>
        <v>-1.1362196968526582E-2</v>
      </c>
      <c r="S758">
        <f t="shared" si="148"/>
        <v>0</v>
      </c>
      <c r="T758">
        <f t="shared" si="149"/>
        <v>0</v>
      </c>
      <c r="U758" s="5">
        <f>0</f>
        <v>0</v>
      </c>
      <c r="V758" s="45">
        <f t="shared" si="153"/>
        <v>0.19382176656390349</v>
      </c>
      <c r="W758" s="45">
        <f t="shared" si="154"/>
        <v>0</v>
      </c>
      <c r="X758" s="45">
        <f t="shared" si="155"/>
        <v>0</v>
      </c>
      <c r="Y758" s="46">
        <f>0</f>
        <v>0</v>
      </c>
      <c r="Z758" s="11"/>
    </row>
    <row r="759" spans="11:26" x14ac:dyDescent="0.45">
      <c r="K759" s="39">
        <f t="shared" si="150"/>
        <v>2.67</v>
      </c>
      <c r="L759" s="40">
        <f t="shared" si="143"/>
        <v>42.67</v>
      </c>
      <c r="M759" s="41">
        <f t="shared" si="144"/>
        <v>37.67</v>
      </c>
      <c r="N759" s="49">
        <f t="shared" si="145"/>
        <v>1.5814252125921486E-2</v>
      </c>
      <c r="O759" s="50">
        <f t="shared" si="146"/>
        <v>1.0278178807471701E-2</v>
      </c>
      <c r="P759" s="50">
        <f t="shared" si="151"/>
        <v>1.5814252125921486E-2</v>
      </c>
      <c r="Q759" s="51">
        <f t="shared" si="152"/>
        <v>1.0278178807471701E-2</v>
      </c>
      <c r="R759" s="4">
        <f t="shared" si="147"/>
        <v>-1.1335415775860313E-2</v>
      </c>
      <c r="S759">
        <f t="shared" si="148"/>
        <v>0</v>
      </c>
      <c r="T759">
        <f t="shared" si="149"/>
        <v>0</v>
      </c>
      <c r="U759" s="5">
        <f>0</f>
        <v>0</v>
      </c>
      <c r="V759" s="45">
        <f t="shared" si="153"/>
        <v>0.19393538853358874</v>
      </c>
      <c r="W759" s="45">
        <f t="shared" si="154"/>
        <v>0</v>
      </c>
      <c r="X759" s="45">
        <f t="shared" si="155"/>
        <v>0</v>
      </c>
      <c r="Y759" s="46">
        <f>0</f>
        <v>0</v>
      </c>
      <c r="Z759" s="11"/>
    </row>
    <row r="760" spans="11:26" x14ac:dyDescent="0.45">
      <c r="K760" s="39">
        <f t="shared" si="150"/>
        <v>2.66</v>
      </c>
      <c r="L760" s="40">
        <f t="shared" si="143"/>
        <v>42.66</v>
      </c>
      <c r="M760" s="41">
        <f t="shared" si="144"/>
        <v>37.659999999999997</v>
      </c>
      <c r="N760" s="49">
        <f t="shared" si="145"/>
        <v>1.5800629638377642E-2</v>
      </c>
      <c r="O760" s="50">
        <f t="shared" si="146"/>
        <v>1.0269325125257505E-2</v>
      </c>
      <c r="P760" s="50">
        <f t="shared" si="151"/>
        <v>1.5800629638377642E-2</v>
      </c>
      <c r="Q760" s="51">
        <f t="shared" si="152"/>
        <v>1.0269325125257505E-2</v>
      </c>
      <c r="R760" s="4">
        <f t="shared" si="147"/>
        <v>-1.1308675685164081E-2</v>
      </c>
      <c r="S760">
        <f t="shared" si="148"/>
        <v>0</v>
      </c>
      <c r="T760">
        <f t="shared" si="149"/>
        <v>0</v>
      </c>
      <c r="U760" s="5">
        <f>0</f>
        <v>0</v>
      </c>
      <c r="V760" s="45">
        <f t="shared" si="153"/>
        <v>0.19404874269134734</v>
      </c>
      <c r="W760" s="45">
        <f t="shared" si="154"/>
        <v>0</v>
      </c>
      <c r="X760" s="45">
        <f t="shared" si="155"/>
        <v>0</v>
      </c>
      <c r="Y760" s="46">
        <f>0</f>
        <v>0</v>
      </c>
      <c r="Z760" s="11"/>
    </row>
    <row r="761" spans="11:26" x14ac:dyDescent="0.45">
      <c r="K761" s="39">
        <f t="shared" si="150"/>
        <v>2.65</v>
      </c>
      <c r="L761" s="40">
        <f t="shared" si="143"/>
        <v>42.65</v>
      </c>
      <c r="M761" s="41">
        <f t="shared" si="144"/>
        <v>37.65</v>
      </c>
      <c r="N761" s="49">
        <f t="shared" si="145"/>
        <v>1.5787018885322777E-2</v>
      </c>
      <c r="O761" s="50">
        <f t="shared" si="146"/>
        <v>1.0260479069655987E-2</v>
      </c>
      <c r="P761" s="50">
        <f t="shared" si="151"/>
        <v>1.5787018885322777E-2</v>
      </c>
      <c r="Q761" s="51">
        <f t="shared" si="152"/>
        <v>1.0260479069655987E-2</v>
      </c>
      <c r="R761" s="4">
        <f t="shared" si="147"/>
        <v>-1.1281976627081917E-2</v>
      </c>
      <c r="S761">
        <f t="shared" si="148"/>
        <v>0</v>
      </c>
      <c r="T761">
        <f t="shared" si="149"/>
        <v>0</v>
      </c>
      <c r="U761" s="5">
        <f>0</f>
        <v>0</v>
      </c>
      <c r="V761" s="45">
        <f t="shared" si="153"/>
        <v>0.19416182944819899</v>
      </c>
      <c r="W761" s="45">
        <f t="shared" si="154"/>
        <v>0</v>
      </c>
      <c r="X761" s="45">
        <f t="shared" si="155"/>
        <v>0</v>
      </c>
      <c r="Y761" s="46">
        <f>0</f>
        <v>0</v>
      </c>
      <c r="Z761" s="11"/>
    </row>
    <row r="762" spans="11:26" x14ac:dyDescent="0.45">
      <c r="K762" s="39">
        <f t="shared" si="150"/>
        <v>2.64</v>
      </c>
      <c r="L762" s="40">
        <f t="shared" si="143"/>
        <v>42.64</v>
      </c>
      <c r="M762" s="41">
        <f t="shared" si="144"/>
        <v>37.64</v>
      </c>
      <c r="N762" s="49">
        <f t="shared" si="145"/>
        <v>1.5773419856648697E-2</v>
      </c>
      <c r="O762" s="50">
        <f t="shared" si="146"/>
        <v>1.0251640634097531E-2</v>
      </c>
      <c r="P762" s="50">
        <f t="shared" si="151"/>
        <v>1.5773419856648697E-2</v>
      </c>
      <c r="Q762" s="51">
        <f t="shared" si="152"/>
        <v>1.0251640634097531E-2</v>
      </c>
      <c r="R762" s="4">
        <f t="shared" si="147"/>
        <v>-1.1255318532397657E-2</v>
      </c>
      <c r="S762">
        <f t="shared" si="148"/>
        <v>0</v>
      </c>
      <c r="T762">
        <f t="shared" si="149"/>
        <v>0</v>
      </c>
      <c r="U762" s="5">
        <f>0</f>
        <v>0</v>
      </c>
      <c r="V762" s="45">
        <f t="shared" si="153"/>
        <v>0.1942746492144698</v>
      </c>
      <c r="W762" s="45">
        <f t="shared" si="154"/>
        <v>0</v>
      </c>
      <c r="X762" s="45">
        <f t="shared" si="155"/>
        <v>0</v>
      </c>
      <c r="Y762" s="46">
        <f>0</f>
        <v>0</v>
      </c>
      <c r="Z762" s="11"/>
    </row>
    <row r="763" spans="11:26" x14ac:dyDescent="0.45">
      <c r="K763" s="39">
        <f t="shared" si="150"/>
        <v>2.63</v>
      </c>
      <c r="L763" s="40">
        <f t="shared" si="143"/>
        <v>42.63</v>
      </c>
      <c r="M763" s="41">
        <f t="shared" si="144"/>
        <v>37.630000000000003</v>
      </c>
      <c r="N763" s="49">
        <f t="shared" si="145"/>
        <v>1.5759832542255967E-2</v>
      </c>
      <c r="O763" s="50">
        <f t="shared" si="146"/>
        <v>1.0242809812018194E-2</v>
      </c>
      <c r="P763" s="50">
        <f t="shared" si="151"/>
        <v>1.5759832542255967E-2</v>
      </c>
      <c r="Q763" s="51">
        <f t="shared" si="152"/>
        <v>1.0242809812018194E-2</v>
      </c>
      <c r="R763" s="4">
        <f t="shared" si="147"/>
        <v>-1.122870133203473E-2</v>
      </c>
      <c r="S763">
        <f t="shared" si="148"/>
        <v>0</v>
      </c>
      <c r="T763">
        <f t="shared" si="149"/>
        <v>0</v>
      </c>
      <c r="U763" s="5">
        <f>0</f>
        <v>0</v>
      </c>
      <c r="V763" s="45">
        <f t="shared" si="153"/>
        <v>0.19438720239979376</v>
      </c>
      <c r="W763" s="45">
        <f t="shared" si="154"/>
        <v>0</v>
      </c>
      <c r="X763" s="45">
        <f t="shared" si="155"/>
        <v>0</v>
      </c>
      <c r="Y763" s="46">
        <f>0</f>
        <v>0</v>
      </c>
      <c r="Z763" s="11"/>
    </row>
    <row r="764" spans="11:26" x14ac:dyDescent="0.45">
      <c r="K764" s="39">
        <f t="shared" si="150"/>
        <v>2.62</v>
      </c>
      <c r="L764" s="40">
        <f t="shared" si="143"/>
        <v>42.62</v>
      </c>
      <c r="M764" s="41">
        <f t="shared" si="144"/>
        <v>37.619999999999997</v>
      </c>
      <c r="N764" s="49">
        <f t="shared" si="145"/>
        <v>1.574625693205383E-2</v>
      </c>
      <c r="O764" s="50">
        <f t="shared" si="146"/>
        <v>1.0233986596859675E-2</v>
      </c>
      <c r="P764" s="50">
        <f t="shared" si="151"/>
        <v>1.574625693205383E-2</v>
      </c>
      <c r="Q764" s="51">
        <f t="shared" si="152"/>
        <v>1.0233986596859675E-2</v>
      </c>
      <c r="R764" s="4">
        <f t="shared" si="147"/>
        <v>-1.1202124957055758E-2</v>
      </c>
      <c r="S764">
        <f t="shared" si="148"/>
        <v>0</v>
      </c>
      <c r="T764">
        <f t="shared" si="149"/>
        <v>0</v>
      </c>
      <c r="U764" s="5">
        <f>0</f>
        <v>0</v>
      </c>
      <c r="V764" s="45">
        <f t="shared" si="153"/>
        <v>0.1944994894131141</v>
      </c>
      <c r="W764" s="45">
        <f t="shared" si="154"/>
        <v>0</v>
      </c>
      <c r="X764" s="45">
        <f t="shared" si="155"/>
        <v>0</v>
      </c>
      <c r="Y764" s="46">
        <f>0</f>
        <v>0</v>
      </c>
      <c r="Z764" s="11"/>
    </row>
    <row r="765" spans="11:26" x14ac:dyDescent="0.45">
      <c r="K765" s="39">
        <f t="shared" si="150"/>
        <v>2.61</v>
      </c>
      <c r="L765" s="40">
        <f t="shared" si="143"/>
        <v>42.61</v>
      </c>
      <c r="M765" s="41">
        <f t="shared" si="144"/>
        <v>37.61</v>
      </c>
      <c r="N765" s="49">
        <f t="shared" si="145"/>
        <v>1.5732693015960246E-2</v>
      </c>
      <c r="O765" s="50">
        <f t="shared" si="146"/>
        <v>1.0225170982069334E-2</v>
      </c>
      <c r="P765" s="50">
        <f t="shared" si="151"/>
        <v>1.5732693015960246E-2</v>
      </c>
      <c r="Q765" s="51">
        <f t="shared" si="152"/>
        <v>1.0225170982069334E-2</v>
      </c>
      <c r="R765" s="4">
        <f t="shared" si="147"/>
        <v>-1.1175589338662296E-2</v>
      </c>
      <c r="S765">
        <f t="shared" si="148"/>
        <v>0</v>
      </c>
      <c r="T765">
        <f t="shared" si="149"/>
        <v>0</v>
      </c>
      <c r="U765" s="5">
        <f>0</f>
        <v>0</v>
      </c>
      <c r="V765" s="45">
        <f t="shared" si="153"/>
        <v>0.19461151066268464</v>
      </c>
      <c r="W765" s="45">
        <f t="shared" si="154"/>
        <v>0</v>
      </c>
      <c r="X765" s="45">
        <f t="shared" si="155"/>
        <v>0</v>
      </c>
      <c r="Y765" s="46">
        <f>0</f>
        <v>0</v>
      </c>
      <c r="Z765" s="11"/>
    </row>
    <row r="766" spans="11:26" x14ac:dyDescent="0.45">
      <c r="K766" s="39">
        <f t="shared" si="150"/>
        <v>2.6</v>
      </c>
      <c r="L766" s="40">
        <f t="shared" si="143"/>
        <v>42.6</v>
      </c>
      <c r="M766" s="41">
        <f t="shared" si="144"/>
        <v>37.6</v>
      </c>
      <c r="N766" s="49">
        <f t="shared" si="145"/>
        <v>1.5719140783901828E-2</v>
      </c>
      <c r="O766" s="50">
        <f t="shared" si="146"/>
        <v>1.0216362961100171E-2</v>
      </c>
      <c r="P766" s="50">
        <f t="shared" si="151"/>
        <v>1.5719140783901828E-2</v>
      </c>
      <c r="Q766" s="51">
        <f t="shared" si="152"/>
        <v>1.0216362961100171E-2</v>
      </c>
      <c r="R766" s="4">
        <f t="shared" si="147"/>
        <v>-1.1149094408194424E-2</v>
      </c>
      <c r="S766">
        <f t="shared" si="148"/>
        <v>0</v>
      </c>
      <c r="T766">
        <f t="shared" si="149"/>
        <v>0</v>
      </c>
      <c r="U766" s="5">
        <f>0</f>
        <v>0</v>
      </c>
      <c r="V766" s="45">
        <f t="shared" si="153"/>
        <v>0.19472326655607128</v>
      </c>
      <c r="W766" s="45">
        <f t="shared" si="154"/>
        <v>0</v>
      </c>
      <c r="X766" s="45">
        <f t="shared" si="155"/>
        <v>0</v>
      </c>
      <c r="Y766" s="46">
        <f>0</f>
        <v>0</v>
      </c>
      <c r="Z766" s="11"/>
    </row>
    <row r="767" spans="11:26" x14ac:dyDescent="0.45">
      <c r="K767" s="39">
        <f t="shared" si="150"/>
        <v>2.59</v>
      </c>
      <c r="L767" s="40">
        <f t="shared" si="143"/>
        <v>42.59</v>
      </c>
      <c r="M767" s="41">
        <f t="shared" si="144"/>
        <v>37.590000000000003</v>
      </c>
      <c r="N767" s="49">
        <f t="shared" si="145"/>
        <v>1.5705600225813889E-2</v>
      </c>
      <c r="O767" s="50">
        <f t="shared" si="146"/>
        <v>1.0207562527410823E-2</v>
      </c>
      <c r="P767" s="50">
        <f t="shared" si="151"/>
        <v>1.5705600225813889E-2</v>
      </c>
      <c r="Q767" s="51">
        <f t="shared" si="152"/>
        <v>1.0207562527410823E-2</v>
      </c>
      <c r="R767" s="4">
        <f t="shared" si="147"/>
        <v>-1.112264009713051E-2</v>
      </c>
      <c r="S767">
        <f t="shared" si="148"/>
        <v>0</v>
      </c>
      <c r="T767">
        <f t="shared" si="149"/>
        <v>0</v>
      </c>
      <c r="U767" s="5">
        <f>0</f>
        <v>0</v>
      </c>
      <c r="V767" s="45">
        <f t="shared" si="153"/>
        <v>0.19483475750015322</v>
      </c>
      <c r="W767" s="45">
        <f t="shared" si="154"/>
        <v>0</v>
      </c>
      <c r="X767" s="45">
        <f t="shared" si="155"/>
        <v>0</v>
      </c>
      <c r="Y767" s="46">
        <f>0</f>
        <v>0</v>
      </c>
      <c r="Z767" s="11"/>
    </row>
    <row r="768" spans="11:26" x14ac:dyDescent="0.45">
      <c r="K768" s="39">
        <f t="shared" si="150"/>
        <v>2.58</v>
      </c>
      <c r="L768" s="40">
        <f t="shared" si="143"/>
        <v>42.58</v>
      </c>
      <c r="M768" s="41">
        <f t="shared" si="144"/>
        <v>37.58</v>
      </c>
      <c r="N768" s="49">
        <f t="shared" si="145"/>
        <v>1.5692071331640391E-2</v>
      </c>
      <c r="O768" s="50">
        <f t="shared" si="146"/>
        <v>1.0198769674465556E-2</v>
      </c>
      <c r="P768" s="50">
        <f t="shared" si="151"/>
        <v>1.5692071331640391E-2</v>
      </c>
      <c r="Q768" s="51">
        <f t="shared" si="152"/>
        <v>1.0198769674465556E-2</v>
      </c>
      <c r="R768" s="4">
        <f t="shared" si="147"/>
        <v>-1.1096226337086816E-2</v>
      </c>
      <c r="S768">
        <f t="shared" si="148"/>
        <v>0</v>
      </c>
      <c r="T768">
        <f t="shared" si="149"/>
        <v>0</v>
      </c>
      <c r="U768" s="5">
        <f>0</f>
        <v>0</v>
      </c>
      <c r="V768" s="45">
        <f t="shared" si="153"/>
        <v>0.19494598390112453</v>
      </c>
      <c r="W768" s="45">
        <f t="shared" si="154"/>
        <v>0</v>
      </c>
      <c r="X768" s="45">
        <f t="shared" si="155"/>
        <v>0</v>
      </c>
      <c r="Y768" s="46">
        <f>0</f>
        <v>0</v>
      </c>
      <c r="Z768" s="11"/>
    </row>
    <row r="769" spans="11:26" x14ac:dyDescent="0.45">
      <c r="K769" s="39">
        <f t="shared" si="150"/>
        <v>2.57</v>
      </c>
      <c r="L769" s="40">
        <f t="shared" si="143"/>
        <v>42.57</v>
      </c>
      <c r="M769" s="41">
        <f t="shared" si="144"/>
        <v>37.57</v>
      </c>
      <c r="N769" s="49">
        <f t="shared" si="145"/>
        <v>1.5678554091333986E-2</v>
      </c>
      <c r="O769" s="50">
        <f t="shared" si="146"/>
        <v>1.0189984395734287E-2</v>
      </c>
      <c r="P769" s="50">
        <f t="shared" si="151"/>
        <v>1.5678554091333986E-2</v>
      </c>
      <c r="Q769" s="51">
        <f t="shared" si="152"/>
        <v>1.0189984395734287E-2</v>
      </c>
      <c r="R769" s="4">
        <f t="shared" si="147"/>
        <v>-1.1069853059817249E-2</v>
      </c>
      <c r="S769">
        <f t="shared" si="148"/>
        <v>0</v>
      </c>
      <c r="T769">
        <f t="shared" si="149"/>
        <v>0</v>
      </c>
      <c r="U769" s="5">
        <f>0</f>
        <v>0</v>
      </c>
      <c r="V769" s="45">
        <f t="shared" si="153"/>
        <v>0.1950569461644954</v>
      </c>
      <c r="W769" s="45">
        <f t="shared" si="154"/>
        <v>0</v>
      </c>
      <c r="X769" s="45">
        <f t="shared" si="155"/>
        <v>0</v>
      </c>
      <c r="Y769" s="46">
        <f>0</f>
        <v>0</v>
      </c>
      <c r="Z769" s="11"/>
    </row>
    <row r="770" spans="11:26" x14ac:dyDescent="0.45">
      <c r="K770" s="39">
        <f t="shared" si="150"/>
        <v>2.56</v>
      </c>
      <c r="L770" s="40">
        <f t="shared" si="143"/>
        <v>42.56</v>
      </c>
      <c r="M770" s="41">
        <f t="shared" si="144"/>
        <v>37.56</v>
      </c>
      <c r="N770" s="49">
        <f t="shared" si="145"/>
        <v>1.5665048494855963E-2</v>
      </c>
      <c r="O770" s="50">
        <f t="shared" si="146"/>
        <v>1.0181206684692539E-2</v>
      </c>
      <c r="P770" s="50">
        <f t="shared" si="151"/>
        <v>1.5665048494855963E-2</v>
      </c>
      <c r="Q770" s="51">
        <f t="shared" si="152"/>
        <v>1.0181206684692539E-2</v>
      </c>
      <c r="R770" s="4">
        <f t="shared" si="147"/>
        <v>-1.1043520197212974E-2</v>
      </c>
      <c r="S770">
        <f t="shared" si="148"/>
        <v>0</v>
      </c>
      <c r="T770">
        <f t="shared" si="149"/>
        <v>0</v>
      </c>
      <c r="U770" s="5">
        <f>0</f>
        <v>0</v>
      </c>
      <c r="V770" s="45">
        <f t="shared" si="153"/>
        <v>0.19516764469509357</v>
      </c>
      <c r="W770" s="45">
        <f t="shared" si="154"/>
        <v>0</v>
      </c>
      <c r="X770" s="45">
        <f t="shared" si="155"/>
        <v>0</v>
      </c>
      <c r="Y770" s="46">
        <f>0</f>
        <v>0</v>
      </c>
      <c r="Z770" s="11"/>
    </row>
    <row r="771" spans="11:26" x14ac:dyDescent="0.45">
      <c r="K771" s="39">
        <f t="shared" si="150"/>
        <v>2.5499999999999998</v>
      </c>
      <c r="L771" s="40">
        <f t="shared" si="143"/>
        <v>42.55</v>
      </c>
      <c r="M771" s="41">
        <f t="shared" si="144"/>
        <v>37.549999999999997</v>
      </c>
      <c r="N771" s="49">
        <f t="shared" si="145"/>
        <v>1.5651554532176249E-2</v>
      </c>
      <c r="O771" s="50">
        <f t="shared" si="146"/>
        <v>1.0172436534821454E-2</v>
      </c>
      <c r="P771" s="50">
        <f t="shared" si="151"/>
        <v>1.5651554532176249E-2</v>
      </c>
      <c r="Q771" s="51">
        <f t="shared" si="152"/>
        <v>1.0172436534821454E-2</v>
      </c>
      <c r="R771" s="4">
        <f t="shared" si="147"/>
        <v>-1.1017227681302129E-2</v>
      </c>
      <c r="S771">
        <f t="shared" si="148"/>
        <v>0</v>
      </c>
      <c r="T771">
        <f t="shared" si="149"/>
        <v>0</v>
      </c>
      <c r="U771" s="5">
        <f>0</f>
        <v>0</v>
      </c>
      <c r="V771" s="45">
        <f t="shared" si="153"/>
        <v>0.19527807989706569</v>
      </c>
      <c r="W771" s="45">
        <f t="shared" si="154"/>
        <v>0</v>
      </c>
      <c r="X771" s="45">
        <f t="shared" si="155"/>
        <v>0</v>
      </c>
      <c r="Y771" s="46">
        <f>0</f>
        <v>0</v>
      </c>
      <c r="Z771" s="11"/>
    </row>
    <row r="772" spans="11:26" x14ac:dyDescent="0.45">
      <c r="K772" s="39">
        <f t="shared" si="150"/>
        <v>2.54</v>
      </c>
      <c r="L772" s="40">
        <f t="shared" si="143"/>
        <v>42.54</v>
      </c>
      <c r="M772" s="41">
        <f t="shared" si="144"/>
        <v>37.54</v>
      </c>
      <c r="N772" s="49">
        <f t="shared" si="145"/>
        <v>1.5638072193273438E-2</v>
      </c>
      <c r="O772" s="50">
        <f t="shared" si="146"/>
        <v>1.016367393960781E-2</v>
      </c>
      <c r="P772" s="50">
        <f t="shared" si="151"/>
        <v>1.5638072193273438E-2</v>
      </c>
      <c r="Q772" s="51">
        <f t="shared" si="152"/>
        <v>1.016367393960781E-2</v>
      </c>
      <c r="R772" s="4">
        <f t="shared" si="147"/>
        <v>-1.099097544424951E-2</v>
      </c>
      <c r="S772">
        <f t="shared" si="148"/>
        <v>0</v>
      </c>
      <c r="T772">
        <f t="shared" si="149"/>
        <v>0</v>
      </c>
      <c r="U772" s="5">
        <f>0</f>
        <v>0</v>
      </c>
      <c r="V772" s="45">
        <f t="shared" si="153"/>
        <v>0.1953882521738787</v>
      </c>
      <c r="W772" s="45">
        <f t="shared" si="154"/>
        <v>0</v>
      </c>
      <c r="X772" s="45">
        <f t="shared" si="155"/>
        <v>0</v>
      </c>
      <c r="Y772" s="46">
        <f>0</f>
        <v>0</v>
      </c>
      <c r="Z772" s="11"/>
    </row>
    <row r="773" spans="11:26" x14ac:dyDescent="0.45">
      <c r="K773" s="39">
        <f t="shared" si="150"/>
        <v>2.5299999999999998</v>
      </c>
      <c r="L773" s="40">
        <f t="shared" si="143"/>
        <v>42.53</v>
      </c>
      <c r="M773" s="41">
        <f t="shared" si="144"/>
        <v>37.53</v>
      </c>
      <c r="N773" s="49">
        <f t="shared" si="145"/>
        <v>1.5624601468134743E-2</v>
      </c>
      <c r="O773" s="50">
        <f t="shared" si="146"/>
        <v>1.0154918892543972E-2</v>
      </c>
      <c r="P773" s="50">
        <f t="shared" si="151"/>
        <v>1.5624601468134743E-2</v>
      </c>
      <c r="Q773" s="51">
        <f t="shared" si="152"/>
        <v>1.0154918892543972E-2</v>
      </c>
      <c r="R773" s="4">
        <f t="shared" si="147"/>
        <v>-1.0964763418356234E-2</v>
      </c>
      <c r="S773">
        <f t="shared" si="148"/>
        <v>0</v>
      </c>
      <c r="T773">
        <f t="shared" si="149"/>
        <v>0</v>
      </c>
      <c r="U773" s="5">
        <f>0</f>
        <v>0</v>
      </c>
      <c r="V773" s="45">
        <f t="shared" si="153"/>
        <v>0.1954981619283212</v>
      </c>
      <c r="W773" s="45">
        <f t="shared" si="154"/>
        <v>0</v>
      </c>
      <c r="X773" s="45">
        <f t="shared" si="155"/>
        <v>0</v>
      </c>
      <c r="Y773" s="46">
        <f>0</f>
        <v>0</v>
      </c>
      <c r="Z773" s="11"/>
    </row>
    <row r="774" spans="11:26" x14ac:dyDescent="0.45">
      <c r="K774" s="39">
        <f t="shared" si="150"/>
        <v>2.52</v>
      </c>
      <c r="L774" s="40">
        <f t="shared" si="143"/>
        <v>42.52</v>
      </c>
      <c r="M774" s="41">
        <f t="shared" si="144"/>
        <v>37.520000000000003</v>
      </c>
      <c r="N774" s="49">
        <f t="shared" si="145"/>
        <v>1.5611142346755992E-2</v>
      </c>
      <c r="O774" s="50">
        <f t="shared" si="146"/>
        <v>1.0146171387127926E-2</v>
      </c>
      <c r="P774" s="50">
        <f t="shared" si="151"/>
        <v>1.5611142346755992E-2</v>
      </c>
      <c r="Q774" s="51">
        <f t="shared" si="152"/>
        <v>1.0146171387127926E-2</v>
      </c>
      <c r="R774" s="4">
        <f t="shared" si="147"/>
        <v>-1.0938591536059425E-2</v>
      </c>
      <c r="S774">
        <f t="shared" si="148"/>
        <v>0</v>
      </c>
      <c r="T774">
        <f t="shared" si="149"/>
        <v>0</v>
      </c>
      <c r="U774" s="5">
        <f>0</f>
        <v>0</v>
      </c>
      <c r="V774" s="45">
        <f t="shared" si="153"/>
        <v>0.19560780956250476</v>
      </c>
      <c r="W774" s="45">
        <f t="shared" si="154"/>
        <v>0</v>
      </c>
      <c r="X774" s="45">
        <f t="shared" si="155"/>
        <v>0</v>
      </c>
      <c r="Y774" s="46">
        <f>0</f>
        <v>0</v>
      </c>
      <c r="Z774" s="11"/>
    </row>
    <row r="775" spans="11:26" x14ac:dyDescent="0.45">
      <c r="K775" s="39">
        <f t="shared" si="150"/>
        <v>2.5099999999999998</v>
      </c>
      <c r="L775" s="40">
        <f t="shared" si="143"/>
        <v>42.51</v>
      </c>
      <c r="M775" s="41">
        <f t="shared" si="144"/>
        <v>37.51</v>
      </c>
      <c r="N775" s="49">
        <f t="shared" si="145"/>
        <v>1.5597694819141635E-2</v>
      </c>
      <c r="O775" s="50">
        <f t="shared" si="146"/>
        <v>1.0137431416863239E-2</v>
      </c>
      <c r="P775" s="50">
        <f t="shared" si="151"/>
        <v>1.5597694819141635E-2</v>
      </c>
      <c r="Q775" s="51">
        <f t="shared" si="152"/>
        <v>1.0137431416863239E-2</v>
      </c>
      <c r="R775" s="4">
        <f t="shared" si="147"/>
        <v>-1.0912459729931901E-2</v>
      </c>
      <c r="S775">
        <f t="shared" si="148"/>
        <v>0</v>
      </c>
      <c r="T775">
        <f t="shared" si="149"/>
        <v>0</v>
      </c>
      <c r="U775" s="5">
        <f>0</f>
        <v>0</v>
      </c>
      <c r="V775" s="45">
        <f t="shared" si="153"/>
        <v>0.19571719547786534</v>
      </c>
      <c r="W775" s="45">
        <f t="shared" si="154"/>
        <v>0</v>
      </c>
      <c r="X775" s="45">
        <f t="shared" si="155"/>
        <v>0</v>
      </c>
      <c r="Y775" s="46">
        <f>0</f>
        <v>0</v>
      </c>
      <c r="Z775" s="11"/>
    </row>
    <row r="776" spans="11:26" x14ac:dyDescent="0.45">
      <c r="K776" s="39">
        <f t="shared" si="150"/>
        <v>2.5</v>
      </c>
      <c r="L776" s="40">
        <f t="shared" si="143"/>
        <v>42.5</v>
      </c>
      <c r="M776" s="41">
        <f t="shared" si="144"/>
        <v>37.5</v>
      </c>
      <c r="N776" s="49">
        <f t="shared" si="145"/>
        <v>1.5584258875304751E-2</v>
      </c>
      <c r="O776" s="50">
        <f t="shared" si="146"/>
        <v>1.0128698975259106E-2</v>
      </c>
      <c r="P776" s="50">
        <f t="shared" si="151"/>
        <v>1.5584258875304751E-2</v>
      </c>
      <c r="Q776" s="51">
        <f t="shared" si="152"/>
        <v>1.0128698975259106E-2</v>
      </c>
      <c r="R776" s="4">
        <f t="shared" si="147"/>
        <v>-1.0886367932681889E-2</v>
      </c>
      <c r="S776">
        <f t="shared" si="148"/>
        <v>0</v>
      </c>
      <c r="T776">
        <f t="shared" si="149"/>
        <v>0</v>
      </c>
      <c r="U776" s="5">
        <f>0</f>
        <v>0</v>
      </c>
      <c r="V776" s="45">
        <f t="shared" si="153"/>
        <v>0.19582632007516465</v>
      </c>
      <c r="W776" s="45">
        <f t="shared" si="154"/>
        <v>0</v>
      </c>
      <c r="X776" s="45">
        <f t="shared" si="155"/>
        <v>0</v>
      </c>
      <c r="Y776" s="46">
        <f>0</f>
        <v>0</v>
      </c>
      <c r="Z776" s="11"/>
    </row>
    <row r="777" spans="11:26" x14ac:dyDescent="0.45">
      <c r="K777" s="39">
        <f t="shared" si="150"/>
        <v>2.4900000000000002</v>
      </c>
      <c r="L777" s="40">
        <f t="shared" si="143"/>
        <v>42.49</v>
      </c>
      <c r="M777" s="41">
        <f t="shared" si="144"/>
        <v>37.49</v>
      </c>
      <c r="N777" s="49">
        <f t="shared" si="145"/>
        <v>1.5570834505267002E-2</v>
      </c>
      <c r="O777" s="50">
        <f t="shared" si="146"/>
        <v>1.0119974055830294E-2</v>
      </c>
      <c r="P777" s="50">
        <f t="shared" si="151"/>
        <v>1.5570834505267002E-2</v>
      </c>
      <c r="Q777" s="51">
        <f t="shared" si="152"/>
        <v>1.0119974055830294E-2</v>
      </c>
      <c r="R777" s="4">
        <f t="shared" si="147"/>
        <v>-1.0860316077152661E-2</v>
      </c>
      <c r="S777">
        <f t="shared" si="148"/>
        <v>0</v>
      </c>
      <c r="T777">
        <f t="shared" si="149"/>
        <v>0</v>
      </c>
      <c r="U777" s="5">
        <f>0</f>
        <v>0</v>
      </c>
      <c r="V777" s="45">
        <f t="shared" si="153"/>
        <v>0.19593518375449148</v>
      </c>
      <c r="W777" s="45">
        <f t="shared" si="154"/>
        <v>0</v>
      </c>
      <c r="X777" s="45">
        <f t="shared" si="155"/>
        <v>0</v>
      </c>
      <c r="Y777" s="46">
        <f>0</f>
        <v>0</v>
      </c>
      <c r="Z777" s="11"/>
    </row>
    <row r="778" spans="11:26" x14ac:dyDescent="0.45">
      <c r="K778" s="39">
        <f t="shared" si="150"/>
        <v>2.48</v>
      </c>
      <c r="L778" s="40">
        <f t="shared" si="143"/>
        <v>42.48</v>
      </c>
      <c r="M778" s="41">
        <f t="shared" si="144"/>
        <v>37.479999999999997</v>
      </c>
      <c r="N778" s="49">
        <f t="shared" si="145"/>
        <v>1.5557421699058643E-2</v>
      </c>
      <c r="O778" s="50">
        <f t="shared" si="146"/>
        <v>1.0111256652097139E-2</v>
      </c>
      <c r="P778" s="50">
        <f t="shared" si="151"/>
        <v>1.5557421699058643E-2</v>
      </c>
      <c r="Q778" s="51">
        <f t="shared" si="152"/>
        <v>1.0111256652097139E-2</v>
      </c>
      <c r="R778" s="4">
        <f t="shared" si="147"/>
        <v>-1.0834304096322224E-2</v>
      </c>
      <c r="S778">
        <f t="shared" si="148"/>
        <v>0</v>
      </c>
      <c r="T778">
        <f t="shared" si="149"/>
        <v>0</v>
      </c>
      <c r="U778" s="5">
        <f>0</f>
        <v>0</v>
      </c>
      <c r="V778" s="45">
        <f t="shared" si="153"/>
        <v>0.196043786915263</v>
      </c>
      <c r="W778" s="45">
        <f t="shared" si="154"/>
        <v>0</v>
      </c>
      <c r="X778" s="45">
        <f t="shared" si="155"/>
        <v>0</v>
      </c>
      <c r="Y778" s="46">
        <f>0</f>
        <v>0</v>
      </c>
      <c r="Z778" s="11"/>
    </row>
    <row r="779" spans="11:26" x14ac:dyDescent="0.45">
      <c r="K779" s="39">
        <f t="shared" si="150"/>
        <v>2.4700000000000002</v>
      </c>
      <c r="L779" s="40">
        <f t="shared" si="143"/>
        <v>42.47</v>
      </c>
      <c r="M779" s="41">
        <f t="shared" si="144"/>
        <v>37.47</v>
      </c>
      <c r="N779" s="49">
        <f t="shared" si="145"/>
        <v>1.5544020446718538E-2</v>
      </c>
      <c r="O779" s="50">
        <f t="shared" si="146"/>
        <v>1.0102546757585601E-2</v>
      </c>
      <c r="P779" s="50">
        <f t="shared" si="151"/>
        <v>1.5544020446718538E-2</v>
      </c>
      <c r="Q779" s="51">
        <f t="shared" si="152"/>
        <v>1.0102546757585601E-2</v>
      </c>
      <c r="R779" s="4">
        <f t="shared" si="147"/>
        <v>-1.0808331923303072E-2</v>
      </c>
      <c r="S779">
        <f t="shared" si="148"/>
        <v>0</v>
      </c>
      <c r="T779">
        <f t="shared" si="149"/>
        <v>0</v>
      </c>
      <c r="U779" s="5">
        <f>0</f>
        <v>0</v>
      </c>
      <c r="V779" s="45">
        <f t="shared" si="153"/>
        <v>0.19615212995622622</v>
      </c>
      <c r="W779" s="45">
        <f t="shared" si="154"/>
        <v>0</v>
      </c>
      <c r="X779" s="45">
        <f t="shared" si="155"/>
        <v>0</v>
      </c>
      <c r="Y779" s="46">
        <f>0</f>
        <v>0</v>
      </c>
      <c r="Z779" s="11"/>
    </row>
    <row r="780" spans="11:26" x14ac:dyDescent="0.45">
      <c r="K780" s="39">
        <f t="shared" si="150"/>
        <v>2.46</v>
      </c>
      <c r="L780" s="40">
        <f t="shared" si="143"/>
        <v>42.46</v>
      </c>
      <c r="M780" s="41">
        <f t="shared" si="144"/>
        <v>37.46</v>
      </c>
      <c r="N780" s="49">
        <f t="shared" si="145"/>
        <v>1.553063073829411E-2</v>
      </c>
      <c r="O780" s="50">
        <f t="shared" si="146"/>
        <v>1.0093844365827187E-2</v>
      </c>
      <c r="P780" s="50">
        <f t="shared" si="151"/>
        <v>1.553063073829411E-2</v>
      </c>
      <c r="Q780" s="51">
        <f t="shared" si="152"/>
        <v>1.0093844365827187E-2</v>
      </c>
      <c r="R780" s="4">
        <f t="shared" si="147"/>
        <v>-1.0782399491341792E-2</v>
      </c>
      <c r="S780">
        <f t="shared" si="148"/>
        <v>0</v>
      </c>
      <c r="T780">
        <f t="shared" si="149"/>
        <v>0</v>
      </c>
      <c r="U780" s="5">
        <f>0</f>
        <v>0</v>
      </c>
      <c r="V780" s="45">
        <f t="shared" si="153"/>
        <v>0.19626021327545926</v>
      </c>
      <c r="W780" s="45">
        <f t="shared" si="154"/>
        <v>0</v>
      </c>
      <c r="X780" s="45">
        <f t="shared" si="155"/>
        <v>0</v>
      </c>
      <c r="Y780" s="46">
        <f>0</f>
        <v>0</v>
      </c>
      <c r="Z780" s="11"/>
    </row>
    <row r="781" spans="11:26" x14ac:dyDescent="0.45">
      <c r="K781" s="39">
        <f t="shared" si="150"/>
        <v>2.4500000000000002</v>
      </c>
      <c r="L781" s="40">
        <f t="shared" si="143"/>
        <v>42.45</v>
      </c>
      <c r="M781" s="41">
        <f t="shared" si="144"/>
        <v>37.450000000000003</v>
      </c>
      <c r="N781" s="49">
        <f t="shared" si="145"/>
        <v>1.5517252563841372E-2</v>
      </c>
      <c r="O781" s="50">
        <f t="shared" si="146"/>
        <v>1.0085149470358977E-2</v>
      </c>
      <c r="P781" s="50">
        <f t="shared" si="151"/>
        <v>1.5517252563841372E-2</v>
      </c>
      <c r="Q781" s="51">
        <f t="shared" si="152"/>
        <v>1.0085149470358977E-2</v>
      </c>
      <c r="R781" s="4">
        <f t="shared" si="147"/>
        <v>-1.0756506733818795E-2</v>
      </c>
      <c r="S781">
        <f t="shared" si="148"/>
        <v>0</v>
      </c>
      <c r="T781">
        <f t="shared" si="149"/>
        <v>0</v>
      </c>
      <c r="U781" s="5">
        <f>0</f>
        <v>0</v>
      </c>
      <c r="V781" s="45">
        <f t="shared" si="153"/>
        <v>0.19636803727037266</v>
      </c>
      <c r="W781" s="45">
        <f t="shared" si="154"/>
        <v>0</v>
      </c>
      <c r="X781" s="45">
        <f t="shared" si="155"/>
        <v>0</v>
      </c>
      <c r="Y781" s="46">
        <f>0</f>
        <v>0</v>
      </c>
      <c r="Z781" s="11"/>
    </row>
    <row r="782" spans="11:26" x14ac:dyDescent="0.45">
      <c r="K782" s="39">
        <f t="shared" si="150"/>
        <v>2.44</v>
      </c>
      <c r="L782" s="40">
        <f t="shared" si="143"/>
        <v>42.44</v>
      </c>
      <c r="M782" s="41">
        <f t="shared" si="144"/>
        <v>37.44</v>
      </c>
      <c r="N782" s="49">
        <f t="shared" si="145"/>
        <v>1.5503885913424876E-2</v>
      </c>
      <c r="O782" s="50">
        <f t="shared" si="146"/>
        <v>1.0076462064723615E-2</v>
      </c>
      <c r="P782" s="50">
        <f t="shared" si="151"/>
        <v>1.5503885913424876E-2</v>
      </c>
      <c r="Q782" s="51">
        <f t="shared" si="152"/>
        <v>1.0076462064723615E-2</v>
      </c>
      <c r="R782" s="4">
        <f t="shared" si="147"/>
        <v>-1.073065358424798E-2</v>
      </c>
      <c r="S782">
        <f t="shared" si="148"/>
        <v>0</v>
      </c>
      <c r="T782">
        <f t="shared" si="149"/>
        <v>0</v>
      </c>
      <c r="U782" s="5">
        <f>0</f>
        <v>0</v>
      </c>
      <c r="V782" s="45">
        <f t="shared" si="153"/>
        <v>0.19647560233771086</v>
      </c>
      <c r="W782" s="45">
        <f t="shared" si="154"/>
        <v>0</v>
      </c>
      <c r="X782" s="45">
        <f t="shared" si="155"/>
        <v>0</v>
      </c>
      <c r="Y782" s="46">
        <f>0</f>
        <v>0</v>
      </c>
      <c r="Z782" s="11"/>
    </row>
    <row r="783" spans="11:26" x14ac:dyDescent="0.45">
      <c r="K783" s="39">
        <f t="shared" si="150"/>
        <v>2.4300000000000002</v>
      </c>
      <c r="L783" s="40">
        <f t="shared" si="143"/>
        <v>42.43</v>
      </c>
      <c r="M783" s="41">
        <f t="shared" si="144"/>
        <v>37.43</v>
      </c>
      <c r="N783" s="49">
        <f t="shared" si="145"/>
        <v>1.5490530777117775E-2</v>
      </c>
      <c r="O783" s="50">
        <f t="shared" si="146"/>
        <v>1.0067782142469341E-2</v>
      </c>
      <c r="P783" s="50">
        <f t="shared" si="151"/>
        <v>1.5490530777117775E-2</v>
      </c>
      <c r="Q783" s="51">
        <f t="shared" si="152"/>
        <v>1.0067782142469341E-2</v>
      </c>
      <c r="R783" s="4">
        <f t="shared" si="147"/>
        <v>-1.0704839976276491E-2</v>
      </c>
      <c r="S783">
        <f t="shared" si="148"/>
        <v>0</v>
      </c>
      <c r="T783">
        <f t="shared" si="149"/>
        <v>0</v>
      </c>
      <c r="U783" s="5">
        <f>0</f>
        <v>0</v>
      </c>
      <c r="V783" s="45">
        <f t="shared" si="153"/>
        <v>0.19658290887355334</v>
      </c>
      <c r="W783" s="45">
        <f t="shared" si="154"/>
        <v>0</v>
      </c>
      <c r="X783" s="45">
        <f t="shared" si="155"/>
        <v>0</v>
      </c>
      <c r="Y783" s="46">
        <f>0</f>
        <v>0</v>
      </c>
      <c r="Z783" s="11"/>
    </row>
    <row r="784" spans="11:26" x14ac:dyDescent="0.45">
      <c r="K784" s="39">
        <f t="shared" si="150"/>
        <v>2.42</v>
      </c>
      <c r="L784" s="40">
        <f t="shared" si="143"/>
        <v>42.42</v>
      </c>
      <c r="M784" s="41">
        <f t="shared" si="144"/>
        <v>37.42</v>
      </c>
      <c r="N784" s="49">
        <f t="shared" si="145"/>
        <v>1.5477187145001736E-2</v>
      </c>
      <c r="O784" s="50">
        <f t="shared" si="146"/>
        <v>1.0059109697149909E-2</v>
      </c>
      <c r="P784" s="50">
        <f t="shared" si="151"/>
        <v>1.5477187145001736E-2</v>
      </c>
      <c r="Q784" s="51">
        <f t="shared" si="152"/>
        <v>1.0059109697149909E-2</v>
      </c>
      <c r="R784" s="4">
        <f t="shared" si="147"/>
        <v>-1.0679065843684315E-2</v>
      </c>
      <c r="S784">
        <f t="shared" si="148"/>
        <v>0</v>
      </c>
      <c r="T784">
        <f t="shared" si="149"/>
        <v>0</v>
      </c>
      <c r="U784" s="5">
        <f>0</f>
        <v>0</v>
      </c>
      <c r="V784" s="45">
        <f t="shared" si="153"/>
        <v>0.19668995727331612</v>
      </c>
      <c r="W784" s="45">
        <f t="shared" si="154"/>
        <v>0</v>
      </c>
      <c r="X784" s="45">
        <f t="shared" si="155"/>
        <v>0</v>
      </c>
      <c r="Y784" s="46">
        <f>0</f>
        <v>0</v>
      </c>
      <c r="Z784" s="11"/>
    </row>
    <row r="785" spans="11:26" x14ac:dyDescent="0.45">
      <c r="K785" s="39">
        <f t="shared" si="150"/>
        <v>2.41</v>
      </c>
      <c r="L785" s="40">
        <f t="shared" si="143"/>
        <v>42.41</v>
      </c>
      <c r="M785" s="41">
        <f t="shared" si="144"/>
        <v>37.409999999999997</v>
      </c>
      <c r="N785" s="49">
        <f t="shared" si="145"/>
        <v>1.5463855007166979E-2</v>
      </c>
      <c r="O785" s="50">
        <f t="shared" si="146"/>
        <v>1.005044472232464E-2</v>
      </c>
      <c r="P785" s="50">
        <f t="shared" si="151"/>
        <v>1.5463855007166979E-2</v>
      </c>
      <c r="Q785" s="51">
        <f t="shared" si="152"/>
        <v>1.005044472232464E-2</v>
      </c>
      <c r="R785" s="4">
        <f t="shared" si="147"/>
        <v>-1.0653331120384017E-2</v>
      </c>
      <c r="S785">
        <f t="shared" si="148"/>
        <v>0</v>
      </c>
      <c r="T785">
        <f t="shared" si="149"/>
        <v>0</v>
      </c>
      <c r="U785" s="5">
        <f>0</f>
        <v>0</v>
      </c>
      <c r="V785" s="45">
        <f t="shared" si="153"/>
        <v>0.19679674793175297</v>
      </c>
      <c r="W785" s="45">
        <f t="shared" si="154"/>
        <v>0</v>
      </c>
      <c r="X785" s="45">
        <f t="shared" si="155"/>
        <v>0</v>
      </c>
      <c r="Y785" s="46">
        <f>0</f>
        <v>0</v>
      </c>
      <c r="Z785" s="11"/>
    </row>
    <row r="786" spans="11:26" x14ac:dyDescent="0.45">
      <c r="K786" s="39">
        <f t="shared" si="150"/>
        <v>2.4</v>
      </c>
      <c r="L786" s="40">
        <f t="shared" si="143"/>
        <v>42.4</v>
      </c>
      <c r="M786" s="41">
        <f t="shared" si="144"/>
        <v>37.4</v>
      </c>
      <c r="N786" s="49">
        <f t="shared" si="145"/>
        <v>1.5450534353712275E-2</v>
      </c>
      <c r="O786" s="50">
        <f t="shared" si="146"/>
        <v>1.0041787211558429E-2</v>
      </c>
      <c r="P786" s="50">
        <f t="shared" si="151"/>
        <v>1.5450534353712275E-2</v>
      </c>
      <c r="Q786" s="51">
        <f t="shared" si="152"/>
        <v>1.0041787211558429E-2</v>
      </c>
      <c r="R786" s="4">
        <f t="shared" si="147"/>
        <v>-1.0627635740420473E-2</v>
      </c>
      <c r="S786">
        <f t="shared" si="148"/>
        <v>0</v>
      </c>
      <c r="T786">
        <f t="shared" si="149"/>
        <v>0</v>
      </c>
      <c r="U786" s="5">
        <f>0</f>
        <v>0</v>
      </c>
      <c r="V786" s="45">
        <f t="shared" si="153"/>
        <v>0.19690328124295681</v>
      </c>
      <c r="W786" s="45">
        <f t="shared" si="154"/>
        <v>0</v>
      </c>
      <c r="X786" s="45">
        <f t="shared" si="155"/>
        <v>0</v>
      </c>
      <c r="Y786" s="46">
        <f>0</f>
        <v>0</v>
      </c>
      <c r="Z786" s="11"/>
    </row>
    <row r="787" spans="11:26" x14ac:dyDescent="0.45">
      <c r="K787" s="39">
        <f t="shared" si="150"/>
        <v>2.39</v>
      </c>
      <c r="L787" s="40">
        <f t="shared" si="143"/>
        <v>42.39</v>
      </c>
      <c r="M787" s="41">
        <f t="shared" si="144"/>
        <v>37.39</v>
      </c>
      <c r="N787" s="49">
        <f t="shared" si="145"/>
        <v>1.5437225174744908E-2</v>
      </c>
      <c r="O787" s="50">
        <f t="shared" si="146"/>
        <v>1.0033137158421676E-2</v>
      </c>
      <c r="P787" s="50">
        <f t="shared" si="151"/>
        <v>1.5437225174744908E-2</v>
      </c>
      <c r="Q787" s="51">
        <f t="shared" si="152"/>
        <v>1.0033137158421676E-2</v>
      </c>
      <c r="R787" s="4">
        <f t="shared" si="147"/>
        <v>-1.0601979637970486E-2</v>
      </c>
      <c r="S787">
        <f t="shared" si="148"/>
        <v>0</v>
      </c>
      <c r="T787">
        <f t="shared" si="149"/>
        <v>0</v>
      </c>
      <c r="U787" s="5">
        <f>0</f>
        <v>0</v>
      </c>
      <c r="V787" s="45">
        <f t="shared" si="153"/>
        <v>0.19700955760036101</v>
      </c>
      <c r="W787" s="45">
        <f t="shared" si="154"/>
        <v>0</v>
      </c>
      <c r="X787" s="45">
        <f t="shared" si="155"/>
        <v>0</v>
      </c>
      <c r="Y787" s="46">
        <f>0</f>
        <v>0</v>
      </c>
      <c r="Z787" s="11"/>
    </row>
    <row r="788" spans="11:26" x14ac:dyDescent="0.45">
      <c r="K788" s="39">
        <f t="shared" si="150"/>
        <v>2.38</v>
      </c>
      <c r="L788" s="40">
        <f t="shared" si="143"/>
        <v>42.38</v>
      </c>
      <c r="M788" s="41">
        <f t="shared" si="144"/>
        <v>37.380000000000003</v>
      </c>
      <c r="N788" s="49">
        <f t="shared" si="145"/>
        <v>1.5423927460380691E-2</v>
      </c>
      <c r="O788" s="50">
        <f t="shared" si="146"/>
        <v>1.002449455649034E-2</v>
      </c>
      <c r="P788" s="50">
        <f t="shared" si="151"/>
        <v>1.5423927460380691E-2</v>
      </c>
      <c r="Q788" s="51">
        <f t="shared" si="152"/>
        <v>1.002449455649034E-2</v>
      </c>
      <c r="R788" s="4">
        <f t="shared" si="147"/>
        <v>-1.0576362747342532E-2</v>
      </c>
      <c r="S788">
        <f t="shared" si="148"/>
        <v>0</v>
      </c>
      <c r="T788">
        <f t="shared" si="149"/>
        <v>0</v>
      </c>
      <c r="U788" s="5">
        <f>0</f>
        <v>0</v>
      </c>
      <c r="V788" s="45">
        <f t="shared" si="153"/>
        <v>0.19711557739674071</v>
      </c>
      <c r="W788" s="45">
        <f t="shared" si="154"/>
        <v>0</v>
      </c>
      <c r="X788" s="45">
        <f t="shared" si="155"/>
        <v>0</v>
      </c>
      <c r="Y788" s="46">
        <f>0</f>
        <v>0</v>
      </c>
      <c r="Z788" s="11"/>
    </row>
    <row r="789" spans="11:26" x14ac:dyDescent="0.45">
      <c r="K789" s="39">
        <f t="shared" si="150"/>
        <v>2.37</v>
      </c>
      <c r="L789" s="40">
        <f t="shared" si="143"/>
        <v>42.37</v>
      </c>
      <c r="M789" s="41">
        <f t="shared" si="144"/>
        <v>37.369999999999997</v>
      </c>
      <c r="N789" s="49">
        <f t="shared" si="145"/>
        <v>1.541064120074394E-2</v>
      </c>
      <c r="O789" s="50">
        <f t="shared" si="146"/>
        <v>1.0015859399345906E-2</v>
      </c>
      <c r="P789" s="50">
        <f t="shared" si="151"/>
        <v>1.541064120074394E-2</v>
      </c>
      <c r="Q789" s="51">
        <f t="shared" si="152"/>
        <v>1.0015859399345906E-2</v>
      </c>
      <c r="R789" s="4">
        <f t="shared" si="147"/>
        <v>-1.0550785002976435E-2</v>
      </c>
      <c r="S789">
        <f t="shared" si="148"/>
        <v>0</v>
      </c>
      <c r="T789">
        <f t="shared" si="149"/>
        <v>0</v>
      </c>
      <c r="U789" s="5">
        <f>0</f>
        <v>0</v>
      </c>
      <c r="V789" s="45">
        <f t="shared" si="153"/>
        <v>0.19722134102421413</v>
      </c>
      <c r="W789" s="45">
        <f t="shared" si="154"/>
        <v>0</v>
      </c>
      <c r="X789" s="45">
        <f t="shared" si="155"/>
        <v>0</v>
      </c>
      <c r="Y789" s="46">
        <f>0</f>
        <v>0</v>
      </c>
      <c r="Z789" s="11"/>
    </row>
    <row r="790" spans="11:26" x14ac:dyDescent="0.45">
      <c r="K790" s="39">
        <f t="shared" si="150"/>
        <v>2.36</v>
      </c>
      <c r="L790" s="40">
        <f t="shared" si="143"/>
        <v>42.36</v>
      </c>
      <c r="M790" s="41">
        <f t="shared" si="144"/>
        <v>37.36</v>
      </c>
      <c r="N790" s="49">
        <f t="shared" si="145"/>
        <v>1.5397366385967497E-2</v>
      </c>
      <c r="O790" s="50">
        <f t="shared" si="146"/>
        <v>1.00072316805754E-2</v>
      </c>
      <c r="P790" s="50">
        <f t="shared" si="151"/>
        <v>1.5397366385967497E-2</v>
      </c>
      <c r="Q790" s="51">
        <f t="shared" si="152"/>
        <v>1.00072316805754E-2</v>
      </c>
      <c r="R790" s="4">
        <f t="shared" si="147"/>
        <v>-1.0525246339443083E-2</v>
      </c>
      <c r="S790">
        <f t="shared" si="148"/>
        <v>0</v>
      </c>
      <c r="T790">
        <f t="shared" si="149"/>
        <v>0</v>
      </c>
      <c r="U790" s="5">
        <f>0</f>
        <v>0</v>
      </c>
      <c r="V790" s="45">
        <f t="shared" si="153"/>
        <v>0.1973268488742439</v>
      </c>
      <c r="W790" s="45">
        <f t="shared" si="154"/>
        <v>0</v>
      </c>
      <c r="X790" s="45">
        <f t="shared" si="155"/>
        <v>0</v>
      </c>
      <c r="Y790" s="46">
        <f>0</f>
        <v>0</v>
      </c>
      <c r="Z790" s="11"/>
    </row>
    <row r="791" spans="11:26" x14ac:dyDescent="0.45">
      <c r="K791" s="39">
        <f t="shared" si="150"/>
        <v>2.35</v>
      </c>
      <c r="L791" s="40">
        <f t="shared" si="143"/>
        <v>42.35</v>
      </c>
      <c r="M791" s="41">
        <f t="shared" si="144"/>
        <v>37.35</v>
      </c>
      <c r="N791" s="49">
        <f t="shared" si="145"/>
        <v>1.5384103006192692E-2</v>
      </c>
      <c r="O791" s="50">
        <f t="shared" si="146"/>
        <v>9.9986113937713603E-3</v>
      </c>
      <c r="P791" s="50">
        <f t="shared" si="151"/>
        <v>1.5384103006192692E-2</v>
      </c>
      <c r="Q791" s="51">
        <f t="shared" si="152"/>
        <v>9.9986113937713603E-3</v>
      </c>
      <c r="R791" s="4">
        <f t="shared" si="147"/>
        <v>-1.0499746691444099E-2</v>
      </c>
      <c r="S791">
        <f t="shared" si="148"/>
        <v>0</v>
      </c>
      <c r="T791">
        <f t="shared" si="149"/>
        <v>0</v>
      </c>
      <c r="U791" s="5">
        <f>0</f>
        <v>0</v>
      </c>
      <c r="V791" s="45">
        <f t="shared" si="153"/>
        <v>0.19743210133763833</v>
      </c>
      <c r="W791" s="45">
        <f t="shared" si="154"/>
        <v>0</v>
      </c>
      <c r="X791" s="45">
        <f t="shared" si="155"/>
        <v>0</v>
      </c>
      <c r="Y791" s="46">
        <f>0</f>
        <v>0</v>
      </c>
      <c r="Z791" s="11"/>
    </row>
    <row r="792" spans="11:26" x14ac:dyDescent="0.45">
      <c r="K792" s="39">
        <f t="shared" si="150"/>
        <v>2.34</v>
      </c>
      <c r="L792" s="40">
        <f t="shared" si="143"/>
        <v>42.34</v>
      </c>
      <c r="M792" s="41">
        <f t="shared" si="144"/>
        <v>37.340000000000003</v>
      </c>
      <c r="N792" s="49">
        <f t="shared" si="145"/>
        <v>1.5370851051569356E-2</v>
      </c>
      <c r="O792" s="50">
        <f t="shared" si="146"/>
        <v>9.9899985325318467E-3</v>
      </c>
      <c r="P792" s="50">
        <f t="shared" si="151"/>
        <v>1.5370851051569356E-2</v>
      </c>
      <c r="Q792" s="51">
        <f t="shared" si="152"/>
        <v>9.9899985325318467E-3</v>
      </c>
      <c r="R792" s="4">
        <f t="shared" si="147"/>
        <v>-1.0474285993811561E-2</v>
      </c>
      <c r="S792">
        <f t="shared" si="148"/>
        <v>0</v>
      </c>
      <c r="T792">
        <f t="shared" si="149"/>
        <v>0</v>
      </c>
      <c r="U792" s="5">
        <f>0</f>
        <v>0</v>
      </c>
      <c r="V792" s="45">
        <f t="shared" si="153"/>
        <v>0.19753709880455278</v>
      </c>
      <c r="W792" s="45">
        <f t="shared" si="154"/>
        <v>0</v>
      </c>
      <c r="X792" s="45">
        <f t="shared" si="155"/>
        <v>0</v>
      </c>
      <c r="Y792" s="46">
        <f>0</f>
        <v>0</v>
      </c>
      <c r="Z792" s="11"/>
    </row>
    <row r="793" spans="11:26" x14ac:dyDescent="0.45">
      <c r="K793" s="39">
        <f t="shared" si="150"/>
        <v>2.33</v>
      </c>
      <c r="L793" s="40">
        <f t="shared" si="143"/>
        <v>42.33</v>
      </c>
      <c r="M793" s="41">
        <f t="shared" si="144"/>
        <v>37.33</v>
      </c>
      <c r="N793" s="49">
        <f t="shared" si="145"/>
        <v>1.5357610512255766E-2</v>
      </c>
      <c r="O793" s="50">
        <f t="shared" si="146"/>
        <v>9.9813930904604341E-3</v>
      </c>
      <c r="P793" s="50">
        <f t="shared" si="151"/>
        <v>1.5357610512255766E-2</v>
      </c>
      <c r="Q793" s="51">
        <f t="shared" si="152"/>
        <v>9.9813930904604341E-3</v>
      </c>
      <c r="R793" s="4">
        <f t="shared" si="147"/>
        <v>-1.0448864181507653E-2</v>
      </c>
      <c r="S793">
        <f t="shared" si="148"/>
        <v>0</v>
      </c>
      <c r="T793">
        <f t="shared" si="149"/>
        <v>0</v>
      </c>
      <c r="U793" s="5">
        <f>0</f>
        <v>0</v>
      </c>
      <c r="V793" s="45">
        <f t="shared" si="153"/>
        <v>0.19764184166449089</v>
      </c>
      <c r="W793" s="45">
        <f t="shared" si="154"/>
        <v>0</v>
      </c>
      <c r="X793" s="45">
        <f t="shared" si="155"/>
        <v>0</v>
      </c>
      <c r="Y793" s="46">
        <f>0</f>
        <v>0</v>
      </c>
      <c r="Z793" s="11"/>
    </row>
    <row r="794" spans="11:26" x14ac:dyDescent="0.45">
      <c r="K794" s="39">
        <f t="shared" si="150"/>
        <v>2.3199999999999998</v>
      </c>
      <c r="L794" s="40">
        <f t="shared" ref="L794:L857" si="156">InitialAge_x+K794</f>
        <v>42.32</v>
      </c>
      <c r="M794" s="41">
        <f t="shared" ref="M794:M857" si="157">InitialAge_y+K794</f>
        <v>37.32</v>
      </c>
      <c r="N794" s="49">
        <f t="shared" ref="N794:N857" si="158">muParameter_B*muParameter_c^L794</f>
        <v>1.5344381378418748E-2</v>
      </c>
      <c r="O794" s="50">
        <f t="shared" ref="O794:O857" si="159">muParameter_B*muParameter_c^M794</f>
        <v>9.9727950611662123E-3</v>
      </c>
      <c r="P794" s="50">
        <f t="shared" si="151"/>
        <v>1.5344381378418748E-2</v>
      </c>
      <c r="Q794" s="51">
        <f t="shared" si="152"/>
        <v>9.9727950611662123E-3</v>
      </c>
      <c r="R794" s="4">
        <f t="shared" ref="R794:R857" si="160">V794*Delta-Constant_b1-(O794*(Constant_b12+W794-V794)+N794*(Constant_b13+X794-V794))</f>
        <v>-1.0423481189624466E-2</v>
      </c>
      <c r="S794">
        <f t="shared" ref="S794:S857" si="161">W794*Delta-Constant_b2-(P794*(Constant_b24+Y794-W794)+Q794*(Constant_b34+Y794-X794))</f>
        <v>0</v>
      </c>
      <c r="T794">
        <f t="shared" ref="T794:T857" si="162">X794*Delta-Constant_b3-(Q794*(Constant_b34+Y794-X794))</f>
        <v>0</v>
      </c>
      <c r="U794" s="5">
        <f>0</f>
        <v>0</v>
      </c>
      <c r="V794" s="45">
        <f t="shared" si="153"/>
        <v>0.19774633030630598</v>
      </c>
      <c r="W794" s="45">
        <f t="shared" si="154"/>
        <v>0</v>
      </c>
      <c r="X794" s="45">
        <f t="shared" si="155"/>
        <v>0</v>
      </c>
      <c r="Y794" s="46">
        <f>0</f>
        <v>0</v>
      </c>
      <c r="Z794" s="11"/>
    </row>
    <row r="795" spans="11:26" x14ac:dyDescent="0.45">
      <c r="K795" s="39">
        <f t="shared" ref="K795:K858" si="163">ROUND(K794-StepSize,2)</f>
        <v>2.31</v>
      </c>
      <c r="L795" s="40">
        <f t="shared" si="156"/>
        <v>42.31</v>
      </c>
      <c r="M795" s="41">
        <f t="shared" si="157"/>
        <v>37.31</v>
      </c>
      <c r="N795" s="49">
        <f t="shared" si="158"/>
        <v>1.533116364023355E-2</v>
      </c>
      <c r="O795" s="50">
        <f t="shared" si="159"/>
        <v>9.9642044382637733E-3</v>
      </c>
      <c r="P795" s="50">
        <f t="shared" ref="P795:P858" si="164">N795</f>
        <v>1.533116364023355E-2</v>
      </c>
      <c r="Q795" s="51">
        <f t="shared" ref="Q795:Q858" si="165">O795</f>
        <v>9.9642044382637733E-3</v>
      </c>
      <c r="R795" s="4">
        <f t="shared" si="160"/>
        <v>-1.0398136953383581E-2</v>
      </c>
      <c r="S795">
        <f t="shared" si="161"/>
        <v>0</v>
      </c>
      <c r="T795">
        <f t="shared" si="162"/>
        <v>0</v>
      </c>
      <c r="U795" s="5">
        <f>0</f>
        <v>0</v>
      </c>
      <c r="V795" s="45">
        <f t="shared" ref="V795:V858" si="166">V794-StepSize*(R794)</f>
        <v>0.19785056511820223</v>
      </c>
      <c r="W795" s="45">
        <f t="shared" ref="W795:W858" si="167">W794-StepSize*(S794)</f>
        <v>0</v>
      </c>
      <c r="X795" s="45">
        <f t="shared" ref="X795:X858" si="168">X794-StepSize*(T794)</f>
        <v>0</v>
      </c>
      <c r="Y795" s="46">
        <f>0</f>
        <v>0</v>
      </c>
      <c r="Z795" s="11"/>
    </row>
    <row r="796" spans="11:26" x14ac:dyDescent="0.45">
      <c r="K796" s="39">
        <f t="shared" si="163"/>
        <v>2.2999999999999998</v>
      </c>
      <c r="L796" s="40">
        <f t="shared" si="156"/>
        <v>42.3</v>
      </c>
      <c r="M796" s="41">
        <f t="shared" si="157"/>
        <v>37.299999999999997</v>
      </c>
      <c r="N796" s="49">
        <f t="shared" si="158"/>
        <v>1.5317957287883863E-2</v>
      </c>
      <c r="O796" s="50">
        <f t="shared" si="159"/>
        <v>9.9556212153732032E-3</v>
      </c>
      <c r="P796" s="50">
        <f t="shared" si="164"/>
        <v>1.5317957287883863E-2</v>
      </c>
      <c r="Q796" s="51">
        <f t="shared" si="165"/>
        <v>9.9556212153732032E-3</v>
      </c>
      <c r="R796" s="4">
        <f t="shared" si="160"/>
        <v>-1.0372831408135816E-2</v>
      </c>
      <c r="S796">
        <f t="shared" si="161"/>
        <v>0</v>
      </c>
      <c r="T796">
        <f t="shared" si="162"/>
        <v>0</v>
      </c>
      <c r="U796" s="5">
        <f>0</f>
        <v>0</v>
      </c>
      <c r="V796" s="45">
        <f t="shared" si="166"/>
        <v>0.19795454648773605</v>
      </c>
      <c r="W796" s="45">
        <f t="shared" si="167"/>
        <v>0</v>
      </c>
      <c r="X796" s="45">
        <f t="shared" si="168"/>
        <v>0</v>
      </c>
      <c r="Y796" s="46">
        <f>0</f>
        <v>0</v>
      </c>
      <c r="Z796" s="11"/>
    </row>
    <row r="797" spans="11:26" x14ac:dyDescent="0.45">
      <c r="K797" s="39">
        <f t="shared" si="163"/>
        <v>2.29</v>
      </c>
      <c r="L797" s="40">
        <f t="shared" si="156"/>
        <v>42.29</v>
      </c>
      <c r="M797" s="41">
        <f t="shared" si="157"/>
        <v>37.29</v>
      </c>
      <c r="N797" s="49">
        <f t="shared" si="158"/>
        <v>1.5304762311561899E-2</v>
      </c>
      <c r="O797" s="50">
        <f t="shared" si="159"/>
        <v>9.9470453861200941E-3</v>
      </c>
      <c r="P797" s="50">
        <f t="shared" si="164"/>
        <v>1.5304762311561899E-2</v>
      </c>
      <c r="Q797" s="51">
        <f t="shared" si="165"/>
        <v>9.9470453861200941E-3</v>
      </c>
      <c r="R797" s="4">
        <f t="shared" si="160"/>
        <v>-1.0347564489360974E-2</v>
      </c>
      <c r="S797">
        <f t="shared" si="161"/>
        <v>0</v>
      </c>
      <c r="T797">
        <f t="shared" si="162"/>
        <v>0</v>
      </c>
      <c r="U797" s="5">
        <f>0</f>
        <v>0</v>
      </c>
      <c r="V797" s="45">
        <f t="shared" si="166"/>
        <v>0.19805827480181742</v>
      </c>
      <c r="W797" s="45">
        <f t="shared" si="167"/>
        <v>0</v>
      </c>
      <c r="X797" s="45">
        <f t="shared" si="168"/>
        <v>0</v>
      </c>
      <c r="Y797" s="46">
        <f>0</f>
        <v>0</v>
      </c>
      <c r="Z797" s="11"/>
    </row>
    <row r="798" spans="11:26" x14ac:dyDescent="0.45">
      <c r="K798" s="39">
        <f t="shared" si="163"/>
        <v>2.2799999999999998</v>
      </c>
      <c r="L798" s="40">
        <f t="shared" si="156"/>
        <v>42.28</v>
      </c>
      <c r="M798" s="41">
        <f t="shared" si="157"/>
        <v>37.28</v>
      </c>
      <c r="N798" s="49">
        <f t="shared" si="158"/>
        <v>1.5291578701468278E-2</v>
      </c>
      <c r="O798" s="50">
        <f t="shared" si="159"/>
        <v>9.9384769441355249E-3</v>
      </c>
      <c r="P798" s="50">
        <f t="shared" si="164"/>
        <v>1.5291578701468278E-2</v>
      </c>
      <c r="Q798" s="51">
        <f t="shared" si="165"/>
        <v>9.9384769441355249E-3</v>
      </c>
      <c r="R798" s="4">
        <f t="shared" si="160"/>
        <v>-1.0322336132667476E-2</v>
      </c>
      <c r="S798">
        <f t="shared" si="161"/>
        <v>0</v>
      </c>
      <c r="T798">
        <f t="shared" si="162"/>
        <v>0</v>
      </c>
      <c r="U798" s="5">
        <f>0</f>
        <v>0</v>
      </c>
      <c r="V798" s="45">
        <f t="shared" si="166"/>
        <v>0.19816175044671103</v>
      </c>
      <c r="W798" s="45">
        <f t="shared" si="167"/>
        <v>0</v>
      </c>
      <c r="X798" s="45">
        <f t="shared" si="168"/>
        <v>0</v>
      </c>
      <c r="Y798" s="46">
        <f>0</f>
        <v>0</v>
      </c>
      <c r="Z798" s="11"/>
    </row>
    <row r="799" spans="11:26" x14ac:dyDescent="0.45">
      <c r="K799" s="39">
        <f t="shared" si="163"/>
        <v>2.27</v>
      </c>
      <c r="L799" s="40">
        <f t="shared" si="156"/>
        <v>42.27</v>
      </c>
      <c r="M799" s="41">
        <f t="shared" si="157"/>
        <v>37.270000000000003</v>
      </c>
      <c r="N799" s="49">
        <f t="shared" si="158"/>
        <v>1.5278406447812046E-2</v>
      </c>
      <c r="O799" s="50">
        <f t="shared" si="159"/>
        <v>9.9299158830560581E-3</v>
      </c>
      <c r="P799" s="50">
        <f t="shared" si="164"/>
        <v>1.5278406447812046E-2</v>
      </c>
      <c r="Q799" s="51">
        <f t="shared" si="165"/>
        <v>9.9299158830560581E-3</v>
      </c>
      <c r="R799" s="4">
        <f t="shared" si="160"/>
        <v>-1.0297146273792081E-2</v>
      </c>
      <c r="S799">
        <f t="shared" si="161"/>
        <v>0</v>
      </c>
      <c r="T799">
        <f t="shared" si="162"/>
        <v>0</v>
      </c>
      <c r="U799" s="5">
        <f>0</f>
        <v>0</v>
      </c>
      <c r="V799" s="45">
        <f t="shared" si="166"/>
        <v>0.1982649738080377</v>
      </c>
      <c r="W799" s="45">
        <f t="shared" si="167"/>
        <v>0</v>
      </c>
      <c r="X799" s="45">
        <f t="shared" si="168"/>
        <v>0</v>
      </c>
      <c r="Y799" s="46">
        <f>0</f>
        <v>0</v>
      </c>
      <c r="Z799" s="11"/>
    </row>
    <row r="800" spans="11:26" x14ac:dyDescent="0.45">
      <c r="K800" s="39">
        <f t="shared" si="163"/>
        <v>2.2599999999999998</v>
      </c>
      <c r="L800" s="40">
        <f t="shared" si="156"/>
        <v>42.26</v>
      </c>
      <c r="M800" s="41">
        <f t="shared" si="157"/>
        <v>37.26</v>
      </c>
      <c r="N800" s="49">
        <f t="shared" si="158"/>
        <v>1.52652455408107E-2</v>
      </c>
      <c r="O800" s="50">
        <f t="shared" si="159"/>
        <v>9.9213621965237343E-3</v>
      </c>
      <c r="P800" s="50">
        <f t="shared" si="164"/>
        <v>1.52652455408107E-2</v>
      </c>
      <c r="Q800" s="51">
        <f t="shared" si="165"/>
        <v>9.9213621965237343E-3</v>
      </c>
      <c r="R800" s="4">
        <f t="shared" si="160"/>
        <v>-1.0271994848599602E-2</v>
      </c>
      <c r="S800">
        <f t="shared" si="161"/>
        <v>0</v>
      </c>
      <c r="T800">
        <f t="shared" si="162"/>
        <v>0</v>
      </c>
      <c r="U800" s="5">
        <f>0</f>
        <v>0</v>
      </c>
      <c r="V800" s="45">
        <f t="shared" si="166"/>
        <v>0.19836794527077561</v>
      </c>
      <c r="W800" s="45">
        <f t="shared" si="167"/>
        <v>0</v>
      </c>
      <c r="X800" s="45">
        <f t="shared" si="168"/>
        <v>0</v>
      </c>
      <c r="Y800" s="46">
        <f>0</f>
        <v>0</v>
      </c>
      <c r="Z800" s="11"/>
    </row>
    <row r="801" spans="11:26" x14ac:dyDescent="0.45">
      <c r="K801" s="39">
        <f t="shared" si="163"/>
        <v>2.25</v>
      </c>
      <c r="L801" s="40">
        <f t="shared" si="156"/>
        <v>42.25</v>
      </c>
      <c r="M801" s="41">
        <f t="shared" si="157"/>
        <v>37.25</v>
      </c>
      <c r="N801" s="49">
        <f t="shared" si="158"/>
        <v>1.5252095970690202E-2</v>
      </c>
      <c r="O801" s="50">
        <f t="shared" si="159"/>
        <v>9.9128158781860848E-3</v>
      </c>
      <c r="P801" s="50">
        <f t="shared" si="164"/>
        <v>1.5252095970690202E-2</v>
      </c>
      <c r="Q801" s="51">
        <f t="shared" si="165"/>
        <v>9.9128158781860848E-3</v>
      </c>
      <c r="R801" s="4">
        <f t="shared" si="160"/>
        <v>-1.0246881793082649E-2</v>
      </c>
      <c r="S801">
        <f t="shared" si="161"/>
        <v>0</v>
      </c>
      <c r="T801">
        <f t="shared" si="162"/>
        <v>0</v>
      </c>
      <c r="U801" s="5">
        <f>0</f>
        <v>0</v>
      </c>
      <c r="V801" s="45">
        <f t="shared" si="166"/>
        <v>0.1984706652192616</v>
      </c>
      <c r="W801" s="45">
        <f t="shared" si="167"/>
        <v>0</v>
      </c>
      <c r="X801" s="45">
        <f t="shared" si="168"/>
        <v>0</v>
      </c>
      <c r="Y801" s="46">
        <f>0</f>
        <v>0</v>
      </c>
      <c r="Z801" s="11"/>
    </row>
    <row r="802" spans="11:26" x14ac:dyDescent="0.45">
      <c r="K802" s="39">
        <f t="shared" si="163"/>
        <v>2.2400000000000002</v>
      </c>
      <c r="L802" s="40">
        <f t="shared" si="156"/>
        <v>42.24</v>
      </c>
      <c r="M802" s="41">
        <f t="shared" si="157"/>
        <v>37.24</v>
      </c>
      <c r="N802" s="49">
        <f t="shared" si="158"/>
        <v>1.5238957727684863E-2</v>
      </c>
      <c r="O802" s="50">
        <f t="shared" si="159"/>
        <v>9.9042769216961032E-3</v>
      </c>
      <c r="P802" s="50">
        <f t="shared" si="164"/>
        <v>1.5238957727684863E-2</v>
      </c>
      <c r="Q802" s="51">
        <f t="shared" si="165"/>
        <v>9.9042769216961032E-3</v>
      </c>
      <c r="R802" s="4">
        <f t="shared" si="160"/>
        <v>-1.0221807043361236E-2</v>
      </c>
      <c r="S802">
        <f t="shared" si="161"/>
        <v>0</v>
      </c>
      <c r="T802">
        <f t="shared" si="162"/>
        <v>0</v>
      </c>
      <c r="U802" s="5">
        <f>0</f>
        <v>0</v>
      </c>
      <c r="V802" s="45">
        <f t="shared" si="166"/>
        <v>0.19857313403719243</v>
      </c>
      <c r="W802" s="45">
        <f t="shared" si="167"/>
        <v>0</v>
      </c>
      <c r="X802" s="45">
        <f t="shared" si="168"/>
        <v>0</v>
      </c>
      <c r="Y802" s="46">
        <f>0</f>
        <v>0</v>
      </c>
      <c r="Z802" s="11"/>
    </row>
    <row r="803" spans="11:26" x14ac:dyDescent="0.45">
      <c r="K803" s="39">
        <f t="shared" si="163"/>
        <v>2.23</v>
      </c>
      <c r="L803" s="40">
        <f t="shared" si="156"/>
        <v>42.23</v>
      </c>
      <c r="M803" s="41">
        <f t="shared" si="157"/>
        <v>37.229999999999997</v>
      </c>
      <c r="N803" s="49">
        <f t="shared" si="158"/>
        <v>1.5225830802037444E-2</v>
      </c>
      <c r="O803" s="50">
        <f t="shared" si="159"/>
        <v>9.8957453207122442E-3</v>
      </c>
      <c r="P803" s="50">
        <f t="shared" si="164"/>
        <v>1.5225830802037444E-2</v>
      </c>
      <c r="Q803" s="51">
        <f t="shared" si="165"/>
        <v>9.8957453207122442E-3</v>
      </c>
      <c r="R803" s="4">
        <f t="shared" si="160"/>
        <v>-1.0196770535682558E-2</v>
      </c>
      <c r="S803">
        <f t="shared" si="161"/>
        <v>0</v>
      </c>
      <c r="T803">
        <f t="shared" si="162"/>
        <v>0</v>
      </c>
      <c r="U803" s="5">
        <f>0</f>
        <v>0</v>
      </c>
      <c r="V803" s="45">
        <f t="shared" si="166"/>
        <v>0.19867535210762605</v>
      </c>
      <c r="W803" s="45">
        <f t="shared" si="167"/>
        <v>0</v>
      </c>
      <c r="X803" s="45">
        <f t="shared" si="168"/>
        <v>0</v>
      </c>
      <c r="Y803" s="46">
        <f>0</f>
        <v>0</v>
      </c>
      <c r="Z803" s="11"/>
    </row>
    <row r="804" spans="11:26" x14ac:dyDescent="0.45">
      <c r="K804" s="39">
        <f t="shared" si="163"/>
        <v>2.2200000000000002</v>
      </c>
      <c r="L804" s="40">
        <f t="shared" si="156"/>
        <v>42.22</v>
      </c>
      <c r="M804" s="41">
        <f t="shared" si="157"/>
        <v>37.22</v>
      </c>
      <c r="N804" s="49">
        <f t="shared" si="158"/>
        <v>1.5212715183999137E-2</v>
      </c>
      <c r="O804" s="50">
        <f t="shared" si="159"/>
        <v>9.8872210688984424E-3</v>
      </c>
      <c r="P804" s="50">
        <f t="shared" si="164"/>
        <v>1.5212715183999137E-2</v>
      </c>
      <c r="Q804" s="51">
        <f t="shared" si="165"/>
        <v>9.8872210688984424E-3</v>
      </c>
      <c r="R804" s="4">
        <f t="shared" si="160"/>
        <v>-1.017177220642073E-2</v>
      </c>
      <c r="S804">
        <f t="shared" si="161"/>
        <v>0</v>
      </c>
      <c r="T804">
        <f t="shared" si="162"/>
        <v>0</v>
      </c>
      <c r="U804" s="5">
        <f>0</f>
        <v>0</v>
      </c>
      <c r="V804" s="45">
        <f t="shared" si="166"/>
        <v>0.19877731981298288</v>
      </c>
      <c r="W804" s="45">
        <f t="shared" si="167"/>
        <v>0</v>
      </c>
      <c r="X804" s="45">
        <f t="shared" si="168"/>
        <v>0</v>
      </c>
      <c r="Y804" s="46">
        <f>0</f>
        <v>0</v>
      </c>
      <c r="Z804" s="11"/>
    </row>
    <row r="805" spans="11:26" x14ac:dyDescent="0.45">
      <c r="K805" s="39">
        <f t="shared" si="163"/>
        <v>2.21</v>
      </c>
      <c r="L805" s="40">
        <f t="shared" si="156"/>
        <v>42.21</v>
      </c>
      <c r="M805" s="41">
        <f t="shared" si="157"/>
        <v>37.21</v>
      </c>
      <c r="N805" s="49">
        <f t="shared" si="158"/>
        <v>1.5199610863829476E-2</v>
      </c>
      <c r="O805" s="50">
        <f t="shared" si="159"/>
        <v>9.8787041599240778E-3</v>
      </c>
      <c r="P805" s="50">
        <f t="shared" si="164"/>
        <v>1.5199610863829476E-2</v>
      </c>
      <c r="Q805" s="51">
        <f t="shared" si="165"/>
        <v>9.8787041599240778E-3</v>
      </c>
      <c r="R805" s="4">
        <f t="shared" si="160"/>
        <v>-1.014681199207638E-2</v>
      </c>
      <c r="S805">
        <f t="shared" si="161"/>
        <v>0</v>
      </c>
      <c r="T805">
        <f t="shared" si="162"/>
        <v>0</v>
      </c>
      <c r="U805" s="5">
        <f>0</f>
        <v>0</v>
      </c>
      <c r="V805" s="45">
        <f t="shared" si="166"/>
        <v>0.1988790375350471</v>
      </c>
      <c r="W805" s="45">
        <f t="shared" si="167"/>
        <v>0</v>
      </c>
      <c r="X805" s="45">
        <f t="shared" si="168"/>
        <v>0</v>
      </c>
      <c r="Y805" s="46">
        <f>0</f>
        <v>0</v>
      </c>
      <c r="Z805" s="11"/>
    </row>
    <row r="806" spans="11:26" x14ac:dyDescent="0.45">
      <c r="K806" s="39">
        <f t="shared" si="163"/>
        <v>2.2000000000000002</v>
      </c>
      <c r="L806" s="40">
        <f t="shared" si="156"/>
        <v>42.2</v>
      </c>
      <c r="M806" s="41">
        <f t="shared" si="157"/>
        <v>37.200000000000003</v>
      </c>
      <c r="N806" s="49">
        <f t="shared" si="158"/>
        <v>1.5186517831796415E-2</v>
      </c>
      <c r="O806" s="50">
        <f t="shared" si="159"/>
        <v>9.8701945874639825E-3</v>
      </c>
      <c r="P806" s="50">
        <f t="shared" si="164"/>
        <v>1.5186517831796415E-2</v>
      </c>
      <c r="Q806" s="51">
        <f t="shared" si="165"/>
        <v>9.8701945874639825E-3</v>
      </c>
      <c r="R806" s="4">
        <f t="shared" si="160"/>
        <v>-1.0121889829276455E-2</v>
      </c>
      <c r="S806">
        <f t="shared" si="161"/>
        <v>0</v>
      </c>
      <c r="T806">
        <f t="shared" si="162"/>
        <v>0</v>
      </c>
      <c r="U806" s="5">
        <f>0</f>
        <v>0</v>
      </c>
      <c r="V806" s="45">
        <f t="shared" si="166"/>
        <v>0.19898050565496786</v>
      </c>
      <c r="W806" s="45">
        <f t="shared" si="167"/>
        <v>0</v>
      </c>
      <c r="X806" s="45">
        <f t="shared" si="168"/>
        <v>0</v>
      </c>
      <c r="Y806" s="46">
        <f>0</f>
        <v>0</v>
      </c>
      <c r="Z806" s="11"/>
    </row>
    <row r="807" spans="11:26" x14ac:dyDescent="0.45">
      <c r="K807" s="39">
        <f t="shared" si="163"/>
        <v>2.19</v>
      </c>
      <c r="L807" s="40">
        <f t="shared" si="156"/>
        <v>42.19</v>
      </c>
      <c r="M807" s="41">
        <f t="shared" si="157"/>
        <v>37.19</v>
      </c>
      <c r="N807" s="49">
        <f t="shared" si="158"/>
        <v>1.5173436078176287E-2</v>
      </c>
      <c r="O807" s="50">
        <f t="shared" si="159"/>
        <v>9.8616923451984393E-3</v>
      </c>
      <c r="P807" s="50">
        <f t="shared" si="164"/>
        <v>1.5173436078176287E-2</v>
      </c>
      <c r="Q807" s="51">
        <f t="shared" si="165"/>
        <v>9.8616923451984393E-3</v>
      </c>
      <c r="R807" s="4">
        <f t="shared" si="160"/>
        <v>-1.0097005654773904E-2</v>
      </c>
      <c r="S807">
        <f t="shared" si="161"/>
        <v>0</v>
      </c>
      <c r="T807">
        <f t="shared" si="162"/>
        <v>0</v>
      </c>
      <c r="U807" s="5">
        <f>0</f>
        <v>0</v>
      </c>
      <c r="V807" s="45">
        <f t="shared" si="166"/>
        <v>0.19908172455326062</v>
      </c>
      <c r="W807" s="45">
        <f t="shared" si="167"/>
        <v>0</v>
      </c>
      <c r="X807" s="45">
        <f t="shared" si="168"/>
        <v>0</v>
      </c>
      <c r="Y807" s="46">
        <f>0</f>
        <v>0</v>
      </c>
      <c r="Z807" s="11"/>
    </row>
    <row r="808" spans="11:26" x14ac:dyDescent="0.45">
      <c r="K808" s="39">
        <f t="shared" si="163"/>
        <v>2.1800000000000002</v>
      </c>
      <c r="L808" s="40">
        <f t="shared" si="156"/>
        <v>42.18</v>
      </c>
      <c r="M808" s="41">
        <f t="shared" si="157"/>
        <v>37.18</v>
      </c>
      <c r="N808" s="49">
        <f t="shared" si="158"/>
        <v>1.5160365593253816E-2</v>
      </c>
      <c r="O808" s="50">
        <f t="shared" si="159"/>
        <v>9.8531974268131848E-3</v>
      </c>
      <c r="P808" s="50">
        <f t="shared" si="164"/>
        <v>1.5160365593253816E-2</v>
      </c>
      <c r="Q808" s="51">
        <f t="shared" si="165"/>
        <v>9.8531974268131848E-3</v>
      </c>
      <c r="R808" s="4">
        <f t="shared" si="160"/>
        <v>-1.0072159405447381E-2</v>
      </c>
      <c r="S808">
        <f t="shared" si="161"/>
        <v>0</v>
      </c>
      <c r="T808">
        <f t="shared" si="162"/>
        <v>0</v>
      </c>
      <c r="U808" s="5">
        <f>0</f>
        <v>0</v>
      </c>
      <c r="V808" s="45">
        <f t="shared" si="166"/>
        <v>0.19918269460980836</v>
      </c>
      <c r="W808" s="45">
        <f t="shared" si="167"/>
        <v>0</v>
      </c>
      <c r="X808" s="45">
        <f t="shared" si="168"/>
        <v>0</v>
      </c>
      <c r="Y808" s="46">
        <f>0</f>
        <v>0</v>
      </c>
      <c r="Z808" s="11"/>
    </row>
    <row r="809" spans="11:26" x14ac:dyDescent="0.45">
      <c r="K809" s="39">
        <f t="shared" si="163"/>
        <v>2.17</v>
      </c>
      <c r="L809" s="40">
        <f t="shared" si="156"/>
        <v>42.17</v>
      </c>
      <c r="M809" s="41">
        <f t="shared" si="157"/>
        <v>37.17</v>
      </c>
      <c r="N809" s="49">
        <f t="shared" si="158"/>
        <v>1.5147306367322071E-2</v>
      </c>
      <c r="O809" s="50">
        <f t="shared" si="159"/>
        <v>9.8447098259993836E-3</v>
      </c>
      <c r="P809" s="50">
        <f t="shared" si="164"/>
        <v>1.5147306367322071E-2</v>
      </c>
      <c r="Q809" s="51">
        <f t="shared" si="165"/>
        <v>9.8447098259993836E-3</v>
      </c>
      <c r="R809" s="4">
        <f t="shared" si="160"/>
        <v>-1.0047351018300954E-2</v>
      </c>
      <c r="S809">
        <f t="shared" si="161"/>
        <v>0</v>
      </c>
      <c r="T809">
        <f t="shared" si="162"/>
        <v>0</v>
      </c>
      <c r="U809" s="5">
        <f>0</f>
        <v>0</v>
      </c>
      <c r="V809" s="45">
        <f t="shared" si="166"/>
        <v>0.19928341620386283</v>
      </c>
      <c r="W809" s="45">
        <f t="shared" si="167"/>
        <v>0</v>
      </c>
      <c r="X809" s="45">
        <f t="shared" si="168"/>
        <v>0</v>
      </c>
      <c r="Y809" s="46">
        <f>0</f>
        <v>0</v>
      </c>
      <c r="Z809" s="11"/>
    </row>
    <row r="810" spans="11:26" x14ac:dyDescent="0.45">
      <c r="K810" s="39">
        <f t="shared" si="163"/>
        <v>2.16</v>
      </c>
      <c r="L810" s="40">
        <f t="shared" si="156"/>
        <v>42.16</v>
      </c>
      <c r="M810" s="41">
        <f t="shared" si="157"/>
        <v>37.159999999999997</v>
      </c>
      <c r="N810" s="49">
        <f t="shared" si="158"/>
        <v>1.5134258390682487E-2</v>
      </c>
      <c r="O810" s="50">
        <f t="shared" si="159"/>
        <v>9.8362295364536299E-3</v>
      </c>
      <c r="P810" s="50">
        <f t="shared" si="164"/>
        <v>1.5134258390682487E-2</v>
      </c>
      <c r="Q810" s="51">
        <f t="shared" si="165"/>
        <v>9.8362295364536299E-3</v>
      </c>
      <c r="R810" s="4">
        <f t="shared" si="160"/>
        <v>-1.0022580430463807E-2</v>
      </c>
      <c r="S810">
        <f t="shared" si="161"/>
        <v>0</v>
      </c>
      <c r="T810">
        <f t="shared" si="162"/>
        <v>0</v>
      </c>
      <c r="U810" s="5">
        <f>0</f>
        <v>0</v>
      </c>
      <c r="V810" s="45">
        <f t="shared" si="166"/>
        <v>0.19938388971404583</v>
      </c>
      <c r="W810" s="45">
        <f t="shared" si="167"/>
        <v>0</v>
      </c>
      <c r="X810" s="45">
        <f t="shared" si="168"/>
        <v>0</v>
      </c>
      <c r="Y810" s="46">
        <f>0</f>
        <v>0</v>
      </c>
      <c r="Z810" s="11"/>
    </row>
    <row r="811" spans="11:26" x14ac:dyDescent="0.45">
      <c r="K811" s="39">
        <f t="shared" si="163"/>
        <v>2.15</v>
      </c>
      <c r="L811" s="40">
        <f t="shared" si="156"/>
        <v>42.15</v>
      </c>
      <c r="M811" s="41">
        <f t="shared" si="157"/>
        <v>37.15</v>
      </c>
      <c r="N811" s="49">
        <f t="shared" si="158"/>
        <v>1.5121221653644873E-2</v>
      </c>
      <c r="O811" s="50">
        <f t="shared" si="159"/>
        <v>9.8277565518779669E-3</v>
      </c>
      <c r="P811" s="50">
        <f t="shared" si="164"/>
        <v>1.5121221653644873E-2</v>
      </c>
      <c r="Q811" s="51">
        <f t="shared" si="165"/>
        <v>9.8277565518779669E-3</v>
      </c>
      <c r="R811" s="4">
        <f t="shared" si="160"/>
        <v>-9.9978475791899918E-3</v>
      </c>
      <c r="S811">
        <f t="shared" si="161"/>
        <v>0</v>
      </c>
      <c r="T811">
        <f t="shared" si="162"/>
        <v>0</v>
      </c>
      <c r="U811" s="5">
        <f>0</f>
        <v>0</v>
      </c>
      <c r="V811" s="45">
        <f t="shared" si="166"/>
        <v>0.19948411551835046</v>
      </c>
      <c r="W811" s="45">
        <f t="shared" si="167"/>
        <v>0</v>
      </c>
      <c r="X811" s="45">
        <f t="shared" si="168"/>
        <v>0</v>
      </c>
      <c r="Y811" s="46">
        <f>0</f>
        <v>0</v>
      </c>
      <c r="Z811" s="11"/>
    </row>
    <row r="812" spans="11:26" x14ac:dyDescent="0.45">
      <c r="K812" s="39">
        <f t="shared" si="163"/>
        <v>2.14</v>
      </c>
      <c r="L812" s="40">
        <f t="shared" si="156"/>
        <v>42.14</v>
      </c>
      <c r="M812" s="41">
        <f t="shared" si="157"/>
        <v>37.14</v>
      </c>
      <c r="N812" s="49">
        <f t="shared" si="158"/>
        <v>1.5108196146527366E-2</v>
      </c>
      <c r="O812" s="50">
        <f t="shared" si="159"/>
        <v>9.8192908659798465E-3</v>
      </c>
      <c r="P812" s="50">
        <f t="shared" si="164"/>
        <v>1.5108196146527366E-2</v>
      </c>
      <c r="Q812" s="51">
        <f t="shared" si="165"/>
        <v>9.8192908659798465E-3</v>
      </c>
      <c r="R812" s="4">
        <f t="shared" si="160"/>
        <v>-9.9731524018580927E-3</v>
      </c>
      <c r="S812">
        <f t="shared" si="161"/>
        <v>0</v>
      </c>
      <c r="T812">
        <f t="shared" si="162"/>
        <v>0</v>
      </c>
      <c r="U812" s="5">
        <f>0</f>
        <v>0</v>
      </c>
      <c r="V812" s="45">
        <f t="shared" si="166"/>
        <v>0.19958409399414237</v>
      </c>
      <c r="W812" s="45">
        <f t="shared" si="167"/>
        <v>0</v>
      </c>
      <c r="X812" s="45">
        <f t="shared" si="168"/>
        <v>0</v>
      </c>
      <c r="Y812" s="46">
        <f>0</f>
        <v>0</v>
      </c>
      <c r="Z812" s="11"/>
    </row>
    <row r="813" spans="11:26" x14ac:dyDescent="0.45">
      <c r="K813" s="39">
        <f t="shared" si="163"/>
        <v>2.13</v>
      </c>
      <c r="L813" s="40">
        <f t="shared" si="156"/>
        <v>42.13</v>
      </c>
      <c r="M813" s="41">
        <f t="shared" si="157"/>
        <v>37.130000000000003</v>
      </c>
      <c r="N813" s="49">
        <f t="shared" si="158"/>
        <v>1.5095181859656448E-2</v>
      </c>
      <c r="O813" s="50">
        <f t="shared" si="159"/>
        <v>9.8108324724721467E-3</v>
      </c>
      <c r="P813" s="50">
        <f t="shared" si="164"/>
        <v>1.5095181859656448E-2</v>
      </c>
      <c r="Q813" s="51">
        <f t="shared" si="165"/>
        <v>9.8108324724721467E-3</v>
      </c>
      <c r="R813" s="4">
        <f t="shared" si="160"/>
        <v>-9.948494835970963E-3</v>
      </c>
      <c r="S813">
        <f t="shared" si="161"/>
        <v>0</v>
      </c>
      <c r="T813">
        <f t="shared" si="162"/>
        <v>0</v>
      </c>
      <c r="U813" s="5">
        <f>0</f>
        <v>0</v>
      </c>
      <c r="V813" s="45">
        <f t="shared" si="166"/>
        <v>0.19968382551816094</v>
      </c>
      <c r="W813" s="45">
        <f t="shared" si="167"/>
        <v>0</v>
      </c>
      <c r="X813" s="45">
        <f t="shared" si="168"/>
        <v>0</v>
      </c>
      <c r="Y813" s="46">
        <f>0</f>
        <v>0</v>
      </c>
      <c r="Z813" s="11"/>
    </row>
    <row r="814" spans="11:26" x14ac:dyDescent="0.45">
      <c r="K814" s="39">
        <f t="shared" si="163"/>
        <v>2.12</v>
      </c>
      <c r="L814" s="40">
        <f t="shared" si="156"/>
        <v>42.12</v>
      </c>
      <c r="M814" s="41">
        <f t="shared" si="157"/>
        <v>37.119999999999997</v>
      </c>
      <c r="N814" s="49">
        <f t="shared" si="158"/>
        <v>1.5082178783366925E-2</v>
      </c>
      <c r="O814" s="50">
        <f t="shared" si="159"/>
        <v>9.8023813650731529E-3</v>
      </c>
      <c r="P814" s="50">
        <f t="shared" si="164"/>
        <v>1.5082178783366925E-2</v>
      </c>
      <c r="Q814" s="51">
        <f t="shared" si="165"/>
        <v>9.8023813650731529E-3</v>
      </c>
      <c r="R814" s="4">
        <f t="shared" si="160"/>
        <v>-9.9238748191554337E-3</v>
      </c>
      <c r="S814">
        <f t="shared" si="161"/>
        <v>0</v>
      </c>
      <c r="T814">
        <f t="shared" si="162"/>
        <v>0</v>
      </c>
      <c r="U814" s="5">
        <f>0</f>
        <v>0</v>
      </c>
      <c r="V814" s="45">
        <f t="shared" si="166"/>
        <v>0.19978331046652065</v>
      </c>
      <c r="W814" s="45">
        <f t="shared" si="167"/>
        <v>0</v>
      </c>
      <c r="X814" s="45">
        <f t="shared" si="168"/>
        <v>0</v>
      </c>
      <c r="Y814" s="46">
        <f>0</f>
        <v>0</v>
      </c>
      <c r="Z814" s="11"/>
    </row>
    <row r="815" spans="11:26" x14ac:dyDescent="0.45">
      <c r="K815" s="39">
        <f t="shared" si="163"/>
        <v>2.11</v>
      </c>
      <c r="L815" s="40">
        <f t="shared" si="156"/>
        <v>42.11</v>
      </c>
      <c r="M815" s="41">
        <f t="shared" si="157"/>
        <v>37.11</v>
      </c>
      <c r="N815" s="49">
        <f t="shared" si="158"/>
        <v>1.5069186908001953E-2</v>
      </c>
      <c r="O815" s="50">
        <f t="shared" si="159"/>
        <v>9.7939375375065835E-3</v>
      </c>
      <c r="P815" s="50">
        <f t="shared" si="164"/>
        <v>1.5069186908001953E-2</v>
      </c>
      <c r="Q815" s="51">
        <f t="shared" si="165"/>
        <v>9.7939375375065835E-3</v>
      </c>
      <c r="R815" s="4">
        <f t="shared" si="160"/>
        <v>-9.899292289162049E-3</v>
      </c>
      <c r="S815">
        <f t="shared" si="161"/>
        <v>0</v>
      </c>
      <c r="T815">
        <f t="shared" si="162"/>
        <v>0</v>
      </c>
      <c r="U815" s="5">
        <f>0</f>
        <v>0</v>
      </c>
      <c r="V815" s="45">
        <f t="shared" si="166"/>
        <v>0.19988254921471221</v>
      </c>
      <c r="W815" s="45">
        <f t="shared" si="167"/>
        <v>0</v>
      </c>
      <c r="X815" s="45">
        <f t="shared" si="168"/>
        <v>0</v>
      </c>
      <c r="Y815" s="46">
        <f>0</f>
        <v>0</v>
      </c>
      <c r="Z815" s="11"/>
    </row>
    <row r="816" spans="11:26" x14ac:dyDescent="0.45">
      <c r="K816" s="39">
        <f t="shared" si="163"/>
        <v>2.1</v>
      </c>
      <c r="L816" s="40">
        <f t="shared" si="156"/>
        <v>42.1</v>
      </c>
      <c r="M816" s="41">
        <f t="shared" si="157"/>
        <v>37.1</v>
      </c>
      <c r="N816" s="49">
        <f t="shared" si="158"/>
        <v>1.5056206223912984E-2</v>
      </c>
      <c r="O816" s="50">
        <f t="shared" si="159"/>
        <v>9.7855009835015379E-3</v>
      </c>
      <c r="P816" s="50">
        <f t="shared" si="164"/>
        <v>1.5056206223912984E-2</v>
      </c>
      <c r="Q816" s="51">
        <f t="shared" si="165"/>
        <v>9.7855009835015379E-3</v>
      </c>
      <c r="R816" s="4">
        <f t="shared" si="160"/>
        <v>-9.8747471838647443E-3</v>
      </c>
      <c r="S816">
        <f t="shared" si="161"/>
        <v>0</v>
      </c>
      <c r="T816">
        <f t="shared" si="162"/>
        <v>0</v>
      </c>
      <c r="U816" s="5">
        <f>0</f>
        <v>0</v>
      </c>
      <c r="V816" s="45">
        <f t="shared" si="166"/>
        <v>0.19998154213760383</v>
      </c>
      <c r="W816" s="45">
        <f t="shared" si="167"/>
        <v>0</v>
      </c>
      <c r="X816" s="45">
        <f t="shared" si="168"/>
        <v>0</v>
      </c>
      <c r="Y816" s="46">
        <f>0</f>
        <v>0</v>
      </c>
      <c r="Z816" s="11"/>
    </row>
    <row r="817" spans="11:26" x14ac:dyDescent="0.45">
      <c r="K817" s="39">
        <f t="shared" si="163"/>
        <v>2.09</v>
      </c>
      <c r="L817" s="40">
        <f t="shared" si="156"/>
        <v>42.09</v>
      </c>
      <c r="M817" s="41">
        <f t="shared" si="157"/>
        <v>37.090000000000003</v>
      </c>
      <c r="N817" s="49">
        <f t="shared" si="158"/>
        <v>1.5043236721459789E-2</v>
      </c>
      <c r="O817" s="50">
        <f t="shared" si="159"/>
        <v>9.7770716967925386E-3</v>
      </c>
      <c r="P817" s="50">
        <f t="shared" si="164"/>
        <v>1.5043236721459789E-2</v>
      </c>
      <c r="Q817" s="51">
        <f t="shared" si="165"/>
        <v>9.7770716967925386E-3</v>
      </c>
      <c r="R817" s="4">
        <f t="shared" si="160"/>
        <v>-9.850239441260596E-3</v>
      </c>
      <c r="S817">
        <f t="shared" si="161"/>
        <v>0</v>
      </c>
      <c r="T817">
        <f t="shared" si="162"/>
        <v>0</v>
      </c>
      <c r="U817" s="5">
        <f>0</f>
        <v>0</v>
      </c>
      <c r="V817" s="45">
        <f t="shared" si="166"/>
        <v>0.20008028960944246</v>
      </c>
      <c r="W817" s="45">
        <f t="shared" si="167"/>
        <v>0</v>
      </c>
      <c r="X817" s="45">
        <f t="shared" si="168"/>
        <v>0</v>
      </c>
      <c r="Y817" s="46">
        <f>0</f>
        <v>0</v>
      </c>
      <c r="Z817" s="11"/>
    </row>
    <row r="818" spans="11:26" x14ac:dyDescent="0.45">
      <c r="K818" s="39">
        <f t="shared" si="163"/>
        <v>2.08</v>
      </c>
      <c r="L818" s="40">
        <f t="shared" si="156"/>
        <v>42.08</v>
      </c>
      <c r="M818" s="41">
        <f t="shared" si="157"/>
        <v>37.08</v>
      </c>
      <c r="N818" s="49">
        <f t="shared" si="158"/>
        <v>1.5030278391010439E-2</v>
      </c>
      <c r="O818" s="50">
        <f t="shared" si="159"/>
        <v>9.7686496711194733E-3</v>
      </c>
      <c r="P818" s="50">
        <f t="shared" si="164"/>
        <v>1.5030278391010439E-2</v>
      </c>
      <c r="Q818" s="51">
        <f t="shared" si="165"/>
        <v>9.7686496711194733E-3</v>
      </c>
      <c r="R818" s="4">
        <f t="shared" si="160"/>
        <v>-9.8257689994694884E-3</v>
      </c>
      <c r="S818">
        <f t="shared" si="161"/>
        <v>0</v>
      </c>
      <c r="T818">
        <f t="shared" si="162"/>
        <v>0</v>
      </c>
      <c r="U818" s="5">
        <f>0</f>
        <v>0</v>
      </c>
      <c r="V818" s="45">
        <f t="shared" si="166"/>
        <v>0.20017879200385508</v>
      </c>
      <c r="W818" s="45">
        <f t="shared" si="167"/>
        <v>0</v>
      </c>
      <c r="X818" s="45">
        <f t="shared" si="168"/>
        <v>0</v>
      </c>
      <c r="Y818" s="46">
        <f>0</f>
        <v>0</v>
      </c>
      <c r="Z818" s="11"/>
    </row>
    <row r="819" spans="11:26" x14ac:dyDescent="0.45">
      <c r="K819" s="39">
        <f t="shared" si="163"/>
        <v>2.0699999999999998</v>
      </c>
      <c r="L819" s="40">
        <f t="shared" si="156"/>
        <v>42.07</v>
      </c>
      <c r="M819" s="41">
        <f t="shared" si="157"/>
        <v>37.07</v>
      </c>
      <c r="N819" s="49">
        <f t="shared" si="158"/>
        <v>1.5017331222941315E-2</v>
      </c>
      <c r="O819" s="50">
        <f t="shared" si="159"/>
        <v>9.7602349002276715E-3</v>
      </c>
      <c r="P819" s="50">
        <f t="shared" si="164"/>
        <v>1.5017331222941315E-2</v>
      </c>
      <c r="Q819" s="51">
        <f t="shared" si="165"/>
        <v>9.7602349002276715E-3</v>
      </c>
      <c r="R819" s="4">
        <f t="shared" si="160"/>
        <v>-9.8013357967339319E-3</v>
      </c>
      <c r="S819">
        <f t="shared" si="161"/>
        <v>0</v>
      </c>
      <c r="T819">
        <f t="shared" si="162"/>
        <v>0</v>
      </c>
      <c r="U819" s="5">
        <f>0</f>
        <v>0</v>
      </c>
      <c r="V819" s="45">
        <f t="shared" si="166"/>
        <v>0.20027704969384977</v>
      </c>
      <c r="W819" s="45">
        <f t="shared" si="167"/>
        <v>0</v>
      </c>
      <c r="X819" s="45">
        <f t="shared" si="168"/>
        <v>0</v>
      </c>
      <c r="Y819" s="46">
        <f>0</f>
        <v>0</v>
      </c>
      <c r="Z819" s="11"/>
    </row>
    <row r="820" spans="11:26" x14ac:dyDescent="0.45">
      <c r="K820" s="39">
        <f t="shared" si="163"/>
        <v>2.06</v>
      </c>
      <c r="L820" s="40">
        <f t="shared" si="156"/>
        <v>42.06</v>
      </c>
      <c r="M820" s="41">
        <f t="shared" si="157"/>
        <v>37.06</v>
      </c>
      <c r="N820" s="49">
        <f t="shared" si="158"/>
        <v>1.5004395207637073E-2</v>
      </c>
      <c r="O820" s="50">
        <f t="shared" si="159"/>
        <v>9.7518273778678128E-3</v>
      </c>
      <c r="P820" s="50">
        <f t="shared" si="164"/>
        <v>1.5004395207637073E-2</v>
      </c>
      <c r="Q820" s="51">
        <f t="shared" si="165"/>
        <v>9.7518273778678128E-3</v>
      </c>
      <c r="R820" s="4">
        <f t="shared" si="160"/>
        <v>-9.7769397714186704E-3</v>
      </c>
      <c r="S820">
        <f t="shared" si="161"/>
        <v>0</v>
      </c>
      <c r="T820">
        <f t="shared" si="162"/>
        <v>0</v>
      </c>
      <c r="U820" s="5">
        <f>0</f>
        <v>0</v>
      </c>
      <c r="V820" s="45">
        <f t="shared" si="166"/>
        <v>0.2003750630518171</v>
      </c>
      <c r="W820" s="45">
        <f t="shared" si="167"/>
        <v>0</v>
      </c>
      <c r="X820" s="45">
        <f t="shared" si="168"/>
        <v>0</v>
      </c>
      <c r="Y820" s="46">
        <f>0</f>
        <v>0</v>
      </c>
      <c r="Z820" s="11"/>
    </row>
    <row r="821" spans="11:26" x14ac:dyDescent="0.45">
      <c r="K821" s="39">
        <f t="shared" si="163"/>
        <v>2.0499999999999998</v>
      </c>
      <c r="L821" s="40">
        <f t="shared" si="156"/>
        <v>42.05</v>
      </c>
      <c r="M821" s="41">
        <f t="shared" si="157"/>
        <v>37.049999999999997</v>
      </c>
      <c r="N821" s="49">
        <f t="shared" si="158"/>
        <v>1.4991470335490651E-2</v>
      </c>
      <c r="O821" s="50">
        <f t="shared" si="159"/>
        <v>9.7434270977959543E-3</v>
      </c>
      <c r="P821" s="50">
        <f t="shared" si="164"/>
        <v>1.4991470335490651E-2</v>
      </c>
      <c r="Q821" s="51">
        <f t="shared" si="165"/>
        <v>9.7434270977959543E-3</v>
      </c>
      <c r="R821" s="4">
        <f t="shared" si="160"/>
        <v>-9.7525808620104338E-3</v>
      </c>
      <c r="S821">
        <f t="shared" si="161"/>
        <v>0</v>
      </c>
      <c r="T821">
        <f t="shared" si="162"/>
        <v>0</v>
      </c>
      <c r="U821" s="5">
        <f>0</f>
        <v>0</v>
      </c>
      <c r="V821" s="45">
        <f t="shared" si="166"/>
        <v>0.20047283244953129</v>
      </c>
      <c r="W821" s="45">
        <f t="shared" si="167"/>
        <v>0</v>
      </c>
      <c r="X821" s="45">
        <f t="shared" si="168"/>
        <v>0</v>
      </c>
      <c r="Y821" s="46">
        <f>0</f>
        <v>0</v>
      </c>
      <c r="Z821" s="11"/>
    </row>
    <row r="822" spans="11:26" x14ac:dyDescent="0.45">
      <c r="K822" s="39">
        <f t="shared" si="163"/>
        <v>2.04</v>
      </c>
      <c r="L822" s="40">
        <f t="shared" si="156"/>
        <v>42.04</v>
      </c>
      <c r="M822" s="41">
        <f t="shared" si="157"/>
        <v>37.04</v>
      </c>
      <c r="N822" s="49">
        <f t="shared" si="158"/>
        <v>1.4978556596903281E-2</v>
      </c>
      <c r="O822" s="50">
        <f t="shared" si="159"/>
        <v>9.7350340537735724E-3</v>
      </c>
      <c r="P822" s="50">
        <f t="shared" si="164"/>
        <v>1.4978556596903281E-2</v>
      </c>
      <c r="Q822" s="51">
        <f t="shared" si="165"/>
        <v>9.7350340537735724E-3</v>
      </c>
      <c r="R822" s="4">
        <f t="shared" si="160"/>
        <v>-9.7282590071177261E-3</v>
      </c>
      <c r="S822">
        <f t="shared" si="161"/>
        <v>0</v>
      </c>
      <c r="T822">
        <f t="shared" si="162"/>
        <v>0</v>
      </c>
      <c r="U822" s="5">
        <f>0</f>
        <v>0</v>
      </c>
      <c r="V822" s="45">
        <f t="shared" si="166"/>
        <v>0.20057035825815139</v>
      </c>
      <c r="W822" s="45">
        <f t="shared" si="167"/>
        <v>0</v>
      </c>
      <c r="X822" s="45">
        <f t="shared" si="168"/>
        <v>0</v>
      </c>
      <c r="Y822" s="46">
        <f>0</f>
        <v>0</v>
      </c>
      <c r="Z822" s="11"/>
    </row>
    <row r="823" spans="11:26" x14ac:dyDescent="0.45">
      <c r="K823" s="39">
        <f t="shared" si="163"/>
        <v>2.0299999999999998</v>
      </c>
      <c r="L823" s="40">
        <f t="shared" si="156"/>
        <v>42.03</v>
      </c>
      <c r="M823" s="41">
        <f t="shared" si="157"/>
        <v>37.03</v>
      </c>
      <c r="N823" s="49">
        <f t="shared" si="158"/>
        <v>1.4965653982284445E-2</v>
      </c>
      <c r="O823" s="50">
        <f t="shared" si="159"/>
        <v>9.7266482395674848E-3</v>
      </c>
      <c r="P823" s="50">
        <f t="shared" si="164"/>
        <v>1.4965653982284445E-2</v>
      </c>
      <c r="Q823" s="51">
        <f t="shared" si="165"/>
        <v>9.7266482395674848E-3</v>
      </c>
      <c r="R823" s="4">
        <f t="shared" si="160"/>
        <v>-9.7039741454704453E-3</v>
      </c>
      <c r="S823">
        <f t="shared" si="161"/>
        <v>0</v>
      </c>
      <c r="T823">
        <f t="shared" si="162"/>
        <v>0</v>
      </c>
      <c r="U823" s="5">
        <f>0</f>
        <v>0</v>
      </c>
      <c r="V823" s="45">
        <f t="shared" si="166"/>
        <v>0.20066764084822258</v>
      </c>
      <c r="W823" s="45">
        <f t="shared" si="167"/>
        <v>0</v>
      </c>
      <c r="X823" s="45">
        <f t="shared" si="168"/>
        <v>0</v>
      </c>
      <c r="Y823" s="46">
        <f>0</f>
        <v>0</v>
      </c>
      <c r="Z823" s="11"/>
    </row>
    <row r="824" spans="11:26" x14ac:dyDescent="0.45">
      <c r="K824" s="39">
        <f t="shared" si="163"/>
        <v>2.02</v>
      </c>
      <c r="L824" s="40">
        <f t="shared" si="156"/>
        <v>42.02</v>
      </c>
      <c r="M824" s="41">
        <f t="shared" si="157"/>
        <v>37.020000000000003</v>
      </c>
      <c r="N824" s="49">
        <f t="shared" si="158"/>
        <v>1.4952762482051896E-2</v>
      </c>
      <c r="O824" s="50">
        <f t="shared" si="159"/>
        <v>9.7182696489498763E-3</v>
      </c>
      <c r="P824" s="50">
        <f t="shared" si="164"/>
        <v>1.4952762482051896E-2</v>
      </c>
      <c r="Q824" s="51">
        <f t="shared" si="165"/>
        <v>9.7182696489498763E-3</v>
      </c>
      <c r="R824" s="4">
        <f t="shared" si="160"/>
        <v>-9.6797262159196724E-3</v>
      </c>
      <c r="S824">
        <f t="shared" si="161"/>
        <v>0</v>
      </c>
      <c r="T824">
        <f t="shared" si="162"/>
        <v>0</v>
      </c>
      <c r="U824" s="5">
        <f>0</f>
        <v>0</v>
      </c>
      <c r="V824" s="45">
        <f t="shared" si="166"/>
        <v>0.20076468058967728</v>
      </c>
      <c r="W824" s="45">
        <f t="shared" si="167"/>
        <v>0</v>
      </c>
      <c r="X824" s="45">
        <f t="shared" si="168"/>
        <v>0</v>
      </c>
      <c r="Y824" s="46">
        <f>0</f>
        <v>0</v>
      </c>
      <c r="Z824" s="11"/>
    </row>
    <row r="825" spans="11:26" x14ac:dyDescent="0.45">
      <c r="K825" s="39">
        <f t="shared" si="163"/>
        <v>2.0099999999999998</v>
      </c>
      <c r="L825" s="40">
        <f t="shared" si="156"/>
        <v>42.01</v>
      </c>
      <c r="M825" s="41">
        <f t="shared" si="157"/>
        <v>37.01</v>
      </c>
      <c r="N825" s="49">
        <f t="shared" si="158"/>
        <v>1.4939882086631631E-2</v>
      </c>
      <c r="O825" s="50">
        <f t="shared" si="159"/>
        <v>9.7098982756983077E-3</v>
      </c>
      <c r="P825" s="50">
        <f t="shared" si="164"/>
        <v>1.4939882086631631E-2</v>
      </c>
      <c r="Q825" s="51">
        <f t="shared" si="165"/>
        <v>9.7098982756983077E-3</v>
      </c>
      <c r="R825" s="4">
        <f t="shared" si="160"/>
        <v>-9.6555151574373461E-3</v>
      </c>
      <c r="S825">
        <f t="shared" si="161"/>
        <v>0</v>
      </c>
      <c r="T825">
        <f t="shared" si="162"/>
        <v>0</v>
      </c>
      <c r="U825" s="5">
        <f>0</f>
        <v>0</v>
      </c>
      <c r="V825" s="45">
        <f t="shared" si="166"/>
        <v>0.20086147785183647</v>
      </c>
      <c r="W825" s="45">
        <f t="shared" si="167"/>
        <v>0</v>
      </c>
      <c r="X825" s="45">
        <f t="shared" si="168"/>
        <v>0</v>
      </c>
      <c r="Y825" s="46">
        <f>0</f>
        <v>0</v>
      </c>
      <c r="Z825" s="11"/>
    </row>
    <row r="826" spans="11:26" x14ac:dyDescent="0.45">
      <c r="K826" s="39">
        <f t="shared" si="163"/>
        <v>2</v>
      </c>
      <c r="L826" s="40">
        <f t="shared" si="156"/>
        <v>42</v>
      </c>
      <c r="M826" s="41">
        <f t="shared" si="157"/>
        <v>37</v>
      </c>
      <c r="N826" s="49">
        <f t="shared" si="158"/>
        <v>1.4927012786457892E-2</v>
      </c>
      <c r="O826" s="50">
        <f t="shared" si="159"/>
        <v>9.7015341135957035E-3</v>
      </c>
      <c r="P826" s="50">
        <f t="shared" si="164"/>
        <v>1.4927012786457892E-2</v>
      </c>
      <c r="Q826" s="51">
        <f t="shared" si="165"/>
        <v>9.7015341135957035E-3</v>
      </c>
      <c r="R826" s="4">
        <f t="shared" si="160"/>
        <v>-9.6313409091160294E-3</v>
      </c>
      <c r="S826">
        <f t="shared" si="161"/>
        <v>0</v>
      </c>
      <c r="T826">
        <f t="shared" si="162"/>
        <v>0</v>
      </c>
      <c r="U826" s="5">
        <f>0</f>
        <v>0</v>
      </c>
      <c r="V826" s="45">
        <f t="shared" si="166"/>
        <v>0.20095803300341084</v>
      </c>
      <c r="W826" s="45">
        <f t="shared" si="167"/>
        <v>0</v>
      </c>
      <c r="X826" s="45">
        <f t="shared" si="168"/>
        <v>0</v>
      </c>
      <c r="Y826" s="46">
        <f>0</f>
        <v>0</v>
      </c>
      <c r="Z826" s="11"/>
    </row>
    <row r="827" spans="11:26" x14ac:dyDescent="0.45">
      <c r="K827" s="39">
        <f t="shared" si="163"/>
        <v>1.99</v>
      </c>
      <c r="L827" s="40">
        <f t="shared" si="156"/>
        <v>41.99</v>
      </c>
      <c r="M827" s="41">
        <f t="shared" si="157"/>
        <v>36.99</v>
      </c>
      <c r="N827" s="49">
        <f t="shared" si="158"/>
        <v>1.4914154571973214E-2</v>
      </c>
      <c r="O827" s="50">
        <f t="shared" si="159"/>
        <v>9.6931771564303573E-3</v>
      </c>
      <c r="P827" s="50">
        <f t="shared" si="164"/>
        <v>1.4914154571973214E-2</v>
      </c>
      <c r="Q827" s="51">
        <f t="shared" si="165"/>
        <v>9.6931771564303573E-3</v>
      </c>
      <c r="R827" s="4">
        <f t="shared" si="160"/>
        <v>-9.6072034101686698E-3</v>
      </c>
      <c r="S827">
        <f t="shared" si="161"/>
        <v>0</v>
      </c>
      <c r="T827">
        <f t="shared" si="162"/>
        <v>0</v>
      </c>
      <c r="U827" s="5">
        <f>0</f>
        <v>0</v>
      </c>
      <c r="V827" s="45">
        <f t="shared" si="166"/>
        <v>0.201054346412502</v>
      </c>
      <c r="W827" s="45">
        <f t="shared" si="167"/>
        <v>0</v>
      </c>
      <c r="X827" s="45">
        <f t="shared" si="168"/>
        <v>0</v>
      </c>
      <c r="Y827" s="46">
        <f>0</f>
        <v>0</v>
      </c>
      <c r="Z827" s="11"/>
    </row>
    <row r="828" spans="11:26" x14ac:dyDescent="0.45">
      <c r="K828" s="39">
        <f t="shared" si="163"/>
        <v>1.98</v>
      </c>
      <c r="L828" s="40">
        <f t="shared" si="156"/>
        <v>41.98</v>
      </c>
      <c r="M828" s="41">
        <f t="shared" si="157"/>
        <v>36.979999999999997</v>
      </c>
      <c r="N828" s="49">
        <f t="shared" si="158"/>
        <v>1.4901307433628271E-2</v>
      </c>
      <c r="O828" s="50">
        <f t="shared" si="159"/>
        <v>9.6848273979958568E-3</v>
      </c>
      <c r="P828" s="50">
        <f t="shared" si="164"/>
        <v>1.4901307433628271E-2</v>
      </c>
      <c r="Q828" s="51">
        <f t="shared" si="165"/>
        <v>9.6848273979958568E-3</v>
      </c>
      <c r="R828" s="4">
        <f t="shared" si="160"/>
        <v>-9.5831025999281311E-3</v>
      </c>
      <c r="S828">
        <f t="shared" si="161"/>
        <v>0</v>
      </c>
      <c r="T828">
        <f t="shared" si="162"/>
        <v>0</v>
      </c>
      <c r="U828" s="5">
        <f>0</f>
        <v>0</v>
      </c>
      <c r="V828" s="45">
        <f t="shared" si="166"/>
        <v>0.2011504184466037</v>
      </c>
      <c r="W828" s="45">
        <f t="shared" si="167"/>
        <v>0</v>
      </c>
      <c r="X828" s="45">
        <f t="shared" si="168"/>
        <v>0</v>
      </c>
      <c r="Y828" s="46">
        <f>0</f>
        <v>0</v>
      </c>
      <c r="Z828" s="11"/>
    </row>
    <row r="829" spans="11:26" x14ac:dyDescent="0.45">
      <c r="K829" s="39">
        <f t="shared" si="163"/>
        <v>1.97</v>
      </c>
      <c r="L829" s="40">
        <f t="shared" si="156"/>
        <v>41.97</v>
      </c>
      <c r="M829" s="41">
        <f t="shared" si="157"/>
        <v>36.97</v>
      </c>
      <c r="N829" s="49">
        <f t="shared" si="158"/>
        <v>1.4888471361882039E-2</v>
      </c>
      <c r="O829" s="50">
        <f t="shared" si="159"/>
        <v>9.6764848320912075E-3</v>
      </c>
      <c r="P829" s="50">
        <f t="shared" si="164"/>
        <v>1.4888471361882039E-2</v>
      </c>
      <c r="Q829" s="51">
        <f t="shared" si="165"/>
        <v>9.6764848320912075E-3</v>
      </c>
      <c r="R829" s="4">
        <f t="shared" si="160"/>
        <v>-9.5590384178471932E-3</v>
      </c>
      <c r="S829">
        <f t="shared" si="161"/>
        <v>0</v>
      </c>
      <c r="T829">
        <f t="shared" si="162"/>
        <v>0</v>
      </c>
      <c r="U829" s="5">
        <f>0</f>
        <v>0</v>
      </c>
      <c r="V829" s="45">
        <f t="shared" si="166"/>
        <v>0.20124624947260297</v>
      </c>
      <c r="W829" s="45">
        <f t="shared" si="167"/>
        <v>0</v>
      </c>
      <c r="X829" s="45">
        <f t="shared" si="168"/>
        <v>0</v>
      </c>
      <c r="Y829" s="46">
        <f>0</f>
        <v>0</v>
      </c>
      <c r="Z829" s="11"/>
    </row>
    <row r="830" spans="11:26" x14ac:dyDescent="0.45">
      <c r="K830" s="39">
        <f t="shared" si="163"/>
        <v>1.96</v>
      </c>
      <c r="L830" s="40">
        <f t="shared" si="156"/>
        <v>41.96</v>
      </c>
      <c r="M830" s="41">
        <f t="shared" si="157"/>
        <v>36.96</v>
      </c>
      <c r="N830" s="49">
        <f t="shared" si="158"/>
        <v>1.4875646347201675E-2</v>
      </c>
      <c r="O830" s="50">
        <f t="shared" si="159"/>
        <v>9.6681494525207041E-3</v>
      </c>
      <c r="P830" s="50">
        <f t="shared" si="164"/>
        <v>1.4875646347201675E-2</v>
      </c>
      <c r="Q830" s="51">
        <f t="shared" si="165"/>
        <v>9.6681494525207041E-3</v>
      </c>
      <c r="R830" s="4">
        <f t="shared" si="160"/>
        <v>-9.535010803498058E-3</v>
      </c>
      <c r="S830">
        <f t="shared" si="161"/>
        <v>0</v>
      </c>
      <c r="T830">
        <f t="shared" si="162"/>
        <v>0</v>
      </c>
      <c r="U830" s="5">
        <f>0</f>
        <v>0</v>
      </c>
      <c r="V830" s="45">
        <f t="shared" si="166"/>
        <v>0.20134183985678145</v>
      </c>
      <c r="W830" s="45">
        <f t="shared" si="167"/>
        <v>0</v>
      </c>
      <c r="X830" s="45">
        <f t="shared" si="168"/>
        <v>0</v>
      </c>
      <c r="Y830" s="46">
        <f>0</f>
        <v>0</v>
      </c>
      <c r="Z830" s="11"/>
    </row>
    <row r="831" spans="11:26" x14ac:dyDescent="0.45">
      <c r="K831" s="39">
        <f t="shared" si="163"/>
        <v>1.95</v>
      </c>
      <c r="L831" s="40">
        <f t="shared" si="156"/>
        <v>41.95</v>
      </c>
      <c r="M831" s="41">
        <f t="shared" si="157"/>
        <v>36.950000000000003</v>
      </c>
      <c r="N831" s="49">
        <f t="shared" si="158"/>
        <v>1.4862832380062566E-2</v>
      </c>
      <c r="O831" s="50">
        <f t="shared" si="159"/>
        <v>9.6598212530939996E-3</v>
      </c>
      <c r="P831" s="50">
        <f t="shared" si="164"/>
        <v>1.4862832380062566E-2</v>
      </c>
      <c r="Q831" s="51">
        <f t="shared" si="165"/>
        <v>9.6598212530939996E-3</v>
      </c>
      <c r="R831" s="4">
        <f t="shared" si="160"/>
        <v>-9.5110196965721878E-3</v>
      </c>
      <c r="S831">
        <f t="shared" si="161"/>
        <v>0</v>
      </c>
      <c r="T831">
        <f t="shared" si="162"/>
        <v>0</v>
      </c>
      <c r="U831" s="5">
        <f>0</f>
        <v>0</v>
      </c>
      <c r="V831" s="45">
        <f t="shared" si="166"/>
        <v>0.20143718996481644</v>
      </c>
      <c r="W831" s="45">
        <f t="shared" si="167"/>
        <v>0</v>
      </c>
      <c r="X831" s="45">
        <f t="shared" si="168"/>
        <v>0</v>
      </c>
      <c r="Y831" s="46">
        <f>0</f>
        <v>0</v>
      </c>
      <c r="Z831" s="11"/>
    </row>
    <row r="832" spans="11:26" x14ac:dyDescent="0.45">
      <c r="K832" s="39">
        <f t="shared" si="163"/>
        <v>1.94</v>
      </c>
      <c r="L832" s="40">
        <f t="shared" si="156"/>
        <v>41.94</v>
      </c>
      <c r="M832" s="41">
        <f t="shared" si="157"/>
        <v>36.94</v>
      </c>
      <c r="N832" s="49">
        <f t="shared" si="158"/>
        <v>1.4850029450948288E-2</v>
      </c>
      <c r="O832" s="50">
        <f t="shared" si="159"/>
        <v>9.6515002276260763E-3</v>
      </c>
      <c r="P832" s="50">
        <f t="shared" si="164"/>
        <v>1.4850029450948288E-2</v>
      </c>
      <c r="Q832" s="51">
        <f t="shared" si="165"/>
        <v>9.6515002276260763E-3</v>
      </c>
      <c r="R832" s="4">
        <f t="shared" si="160"/>
        <v>-9.4870650368799915E-3</v>
      </c>
      <c r="S832">
        <f t="shared" si="161"/>
        <v>0</v>
      </c>
      <c r="T832">
        <f t="shared" si="162"/>
        <v>0</v>
      </c>
      <c r="U832" s="5">
        <f>0</f>
        <v>0</v>
      </c>
      <c r="V832" s="45">
        <f t="shared" si="166"/>
        <v>0.20153230016178217</v>
      </c>
      <c r="W832" s="45">
        <f t="shared" si="167"/>
        <v>0</v>
      </c>
      <c r="X832" s="45">
        <f t="shared" si="168"/>
        <v>0</v>
      </c>
      <c r="Y832" s="46">
        <f>0</f>
        <v>0</v>
      </c>
      <c r="Z832" s="11"/>
    </row>
    <row r="833" spans="11:26" x14ac:dyDescent="0.45">
      <c r="K833" s="39">
        <f t="shared" si="163"/>
        <v>1.93</v>
      </c>
      <c r="L833" s="40">
        <f t="shared" si="156"/>
        <v>41.93</v>
      </c>
      <c r="M833" s="41">
        <f t="shared" si="157"/>
        <v>36.93</v>
      </c>
      <c r="N833" s="49">
        <f t="shared" si="158"/>
        <v>1.4837237550350631E-2</v>
      </c>
      <c r="O833" s="50">
        <f t="shared" si="159"/>
        <v>9.6431863699372525E-3</v>
      </c>
      <c r="P833" s="50">
        <f t="shared" si="164"/>
        <v>1.4837237550350631E-2</v>
      </c>
      <c r="Q833" s="51">
        <f t="shared" si="165"/>
        <v>9.6431863699372525E-3</v>
      </c>
      <c r="R833" s="4">
        <f t="shared" si="160"/>
        <v>-9.4631467643505815E-3</v>
      </c>
      <c r="S833">
        <f t="shared" si="161"/>
        <v>0</v>
      </c>
      <c r="T833">
        <f t="shared" si="162"/>
        <v>0</v>
      </c>
      <c r="U833" s="5">
        <f>0</f>
        <v>0</v>
      </c>
      <c r="V833" s="45">
        <f t="shared" si="166"/>
        <v>0.20162717081215098</v>
      </c>
      <c r="W833" s="45">
        <f t="shared" si="167"/>
        <v>0</v>
      </c>
      <c r="X833" s="45">
        <f t="shared" si="168"/>
        <v>0</v>
      </c>
      <c r="Y833" s="46">
        <f>0</f>
        <v>0</v>
      </c>
      <c r="Z833" s="11"/>
    </row>
    <row r="834" spans="11:26" x14ac:dyDescent="0.45">
      <c r="K834" s="39">
        <f t="shared" si="163"/>
        <v>1.92</v>
      </c>
      <c r="L834" s="40">
        <f t="shared" si="156"/>
        <v>41.92</v>
      </c>
      <c r="M834" s="41">
        <f t="shared" si="157"/>
        <v>36.92</v>
      </c>
      <c r="N834" s="49">
        <f t="shared" si="158"/>
        <v>1.4824456668769569E-2</v>
      </c>
      <c r="O834" s="50">
        <f t="shared" si="159"/>
        <v>9.634879673853158E-3</v>
      </c>
      <c r="P834" s="50">
        <f t="shared" si="164"/>
        <v>1.4824456668769569E-2</v>
      </c>
      <c r="Q834" s="51">
        <f t="shared" si="165"/>
        <v>9.634879673853158E-3</v>
      </c>
      <c r="R834" s="4">
        <f t="shared" si="160"/>
        <v>-9.4392648190314669E-3</v>
      </c>
      <c r="S834">
        <f t="shared" si="161"/>
        <v>0</v>
      </c>
      <c r="T834">
        <f t="shared" si="162"/>
        <v>0</v>
      </c>
      <c r="U834" s="5">
        <f>0</f>
        <v>0</v>
      </c>
      <c r="V834" s="45">
        <f t="shared" si="166"/>
        <v>0.2017218022797945</v>
      </c>
      <c r="W834" s="45">
        <f t="shared" si="167"/>
        <v>0</v>
      </c>
      <c r="X834" s="45">
        <f t="shared" si="168"/>
        <v>0</v>
      </c>
      <c r="Y834" s="46">
        <f>0</f>
        <v>0</v>
      </c>
      <c r="Z834" s="11"/>
    </row>
    <row r="835" spans="11:26" x14ac:dyDescent="0.45">
      <c r="K835" s="39">
        <f t="shared" si="163"/>
        <v>1.91</v>
      </c>
      <c r="L835" s="40">
        <f t="shared" si="156"/>
        <v>41.91</v>
      </c>
      <c r="M835" s="41">
        <f t="shared" si="157"/>
        <v>36.909999999999997</v>
      </c>
      <c r="N835" s="49">
        <f t="shared" si="158"/>
        <v>1.4811686796713247E-2</v>
      </c>
      <c r="O835" s="50">
        <f t="shared" si="159"/>
        <v>9.6265801332047398E-3</v>
      </c>
      <c r="P835" s="50">
        <f t="shared" si="164"/>
        <v>1.4811686796713247E-2</v>
      </c>
      <c r="Q835" s="51">
        <f t="shared" si="165"/>
        <v>9.6265801332047398E-3</v>
      </c>
      <c r="R835" s="4">
        <f t="shared" si="160"/>
        <v>-9.4154191410882916E-3</v>
      </c>
      <c r="S835">
        <f t="shared" si="161"/>
        <v>0</v>
      </c>
      <c r="T835">
        <f t="shared" si="162"/>
        <v>0</v>
      </c>
      <c r="U835" s="5">
        <f>0</f>
        <v>0</v>
      </c>
      <c r="V835" s="45">
        <f t="shared" si="166"/>
        <v>0.2018161949279848</v>
      </c>
      <c r="W835" s="45">
        <f t="shared" si="167"/>
        <v>0</v>
      </c>
      <c r="X835" s="45">
        <f t="shared" si="168"/>
        <v>0</v>
      </c>
      <c r="Y835" s="46">
        <f>0</f>
        <v>0</v>
      </c>
      <c r="Z835" s="11"/>
    </row>
    <row r="836" spans="11:26" x14ac:dyDescent="0.45">
      <c r="K836" s="39">
        <f t="shared" si="163"/>
        <v>1.9</v>
      </c>
      <c r="L836" s="40">
        <f t="shared" si="156"/>
        <v>41.9</v>
      </c>
      <c r="M836" s="41">
        <f t="shared" si="157"/>
        <v>36.9</v>
      </c>
      <c r="N836" s="49">
        <f t="shared" si="158"/>
        <v>1.4798927924698009E-2</v>
      </c>
      <c r="O836" s="50">
        <f t="shared" si="159"/>
        <v>9.6182877418282738E-3</v>
      </c>
      <c r="P836" s="50">
        <f t="shared" si="164"/>
        <v>1.4798927924698009E-2</v>
      </c>
      <c r="Q836" s="51">
        <f t="shared" si="165"/>
        <v>9.6182877418282738E-3</v>
      </c>
      <c r="R836" s="4">
        <f t="shared" si="160"/>
        <v>-9.391609670804598E-3</v>
      </c>
      <c r="S836">
        <f t="shared" si="161"/>
        <v>0</v>
      </c>
      <c r="T836">
        <f t="shared" si="162"/>
        <v>0</v>
      </c>
      <c r="U836" s="5">
        <f>0</f>
        <v>0</v>
      </c>
      <c r="V836" s="45">
        <f t="shared" si="166"/>
        <v>0.20191034911939568</v>
      </c>
      <c r="W836" s="45">
        <f t="shared" si="167"/>
        <v>0</v>
      </c>
      <c r="X836" s="45">
        <f t="shared" si="168"/>
        <v>0</v>
      </c>
      <c r="Y836" s="46">
        <f>0</f>
        <v>0</v>
      </c>
      <c r="Z836" s="11"/>
    </row>
    <row r="837" spans="11:26" x14ac:dyDescent="0.45">
      <c r="K837" s="39">
        <f t="shared" si="163"/>
        <v>1.89</v>
      </c>
      <c r="L837" s="40">
        <f t="shared" si="156"/>
        <v>41.89</v>
      </c>
      <c r="M837" s="41">
        <f t="shared" si="157"/>
        <v>36.89</v>
      </c>
      <c r="N837" s="49">
        <f t="shared" si="158"/>
        <v>1.4786180043248354E-2</v>
      </c>
      <c r="O837" s="50">
        <f t="shared" si="159"/>
        <v>9.6100024935653321E-3</v>
      </c>
      <c r="P837" s="50">
        <f t="shared" si="164"/>
        <v>1.4786180043248354E-2</v>
      </c>
      <c r="Q837" s="51">
        <f t="shared" si="165"/>
        <v>9.6100024935653321E-3</v>
      </c>
      <c r="R837" s="4">
        <f t="shared" si="160"/>
        <v>-9.3678363485815083E-3</v>
      </c>
      <c r="S837">
        <f t="shared" si="161"/>
        <v>0</v>
      </c>
      <c r="T837">
        <f t="shared" si="162"/>
        <v>0</v>
      </c>
      <c r="U837" s="5">
        <f>0</f>
        <v>0</v>
      </c>
      <c r="V837" s="45">
        <f t="shared" si="166"/>
        <v>0.20200426521610373</v>
      </c>
      <c r="W837" s="45">
        <f t="shared" si="167"/>
        <v>0</v>
      </c>
      <c r="X837" s="45">
        <f t="shared" si="168"/>
        <v>0</v>
      </c>
      <c r="Y837" s="46">
        <f>0</f>
        <v>0</v>
      </c>
      <c r="Z837" s="11"/>
    </row>
    <row r="838" spans="11:26" x14ac:dyDescent="0.45">
      <c r="K838" s="39">
        <f t="shared" si="163"/>
        <v>1.88</v>
      </c>
      <c r="L838" s="40">
        <f t="shared" si="156"/>
        <v>41.88</v>
      </c>
      <c r="M838" s="41">
        <f t="shared" si="157"/>
        <v>36.880000000000003</v>
      </c>
      <c r="N838" s="49">
        <f t="shared" si="158"/>
        <v>1.477344314289695E-2</v>
      </c>
      <c r="O838" s="50">
        <f t="shared" si="159"/>
        <v>9.6017243822627951E-3</v>
      </c>
      <c r="P838" s="50">
        <f t="shared" si="164"/>
        <v>1.477344314289695E-2</v>
      </c>
      <c r="Q838" s="51">
        <f t="shared" si="165"/>
        <v>9.6017243822627951E-3</v>
      </c>
      <c r="R838" s="4">
        <f t="shared" si="160"/>
        <v>-9.3440991149374882E-3</v>
      </c>
      <c r="S838">
        <f t="shared" si="161"/>
        <v>0</v>
      </c>
      <c r="T838">
        <f t="shared" si="162"/>
        <v>0</v>
      </c>
      <c r="U838" s="5">
        <f>0</f>
        <v>0</v>
      </c>
      <c r="V838" s="45">
        <f t="shared" si="166"/>
        <v>0.20209794357958955</v>
      </c>
      <c r="W838" s="45">
        <f t="shared" si="167"/>
        <v>0</v>
      </c>
      <c r="X838" s="45">
        <f t="shared" si="168"/>
        <v>0</v>
      </c>
      <c r="Y838" s="46">
        <f>0</f>
        <v>0</v>
      </c>
      <c r="Z838" s="11"/>
    </row>
    <row r="839" spans="11:26" x14ac:dyDescent="0.45">
      <c r="K839" s="39">
        <f t="shared" si="163"/>
        <v>1.87</v>
      </c>
      <c r="L839" s="40">
        <f t="shared" si="156"/>
        <v>41.87</v>
      </c>
      <c r="M839" s="41">
        <f t="shared" si="157"/>
        <v>36.869999999999997</v>
      </c>
      <c r="N839" s="49">
        <f t="shared" si="158"/>
        <v>1.476071721418459E-2</v>
      </c>
      <c r="O839" s="50">
        <f t="shared" si="159"/>
        <v>9.5934534017728407E-3</v>
      </c>
      <c r="P839" s="50">
        <f t="shared" si="164"/>
        <v>1.476071721418459E-2</v>
      </c>
      <c r="Q839" s="51">
        <f t="shared" si="165"/>
        <v>9.5934534017728407E-3</v>
      </c>
      <c r="R839" s="4">
        <f t="shared" si="160"/>
        <v>-9.3203979105080433E-3</v>
      </c>
      <c r="S839">
        <f t="shared" si="161"/>
        <v>0</v>
      </c>
      <c r="T839">
        <f t="shared" si="162"/>
        <v>0</v>
      </c>
      <c r="U839" s="5">
        <f>0</f>
        <v>0</v>
      </c>
      <c r="V839" s="45">
        <f t="shared" si="166"/>
        <v>0.20219138457073893</v>
      </c>
      <c r="W839" s="45">
        <f t="shared" si="167"/>
        <v>0</v>
      </c>
      <c r="X839" s="45">
        <f t="shared" si="168"/>
        <v>0</v>
      </c>
      <c r="Y839" s="46">
        <f>0</f>
        <v>0</v>
      </c>
      <c r="Z839" s="11"/>
    </row>
    <row r="840" spans="11:26" x14ac:dyDescent="0.45">
      <c r="K840" s="39">
        <f t="shared" si="163"/>
        <v>1.86</v>
      </c>
      <c r="L840" s="40">
        <f t="shared" si="156"/>
        <v>41.86</v>
      </c>
      <c r="M840" s="41">
        <f t="shared" si="157"/>
        <v>36.86</v>
      </c>
      <c r="N840" s="49">
        <f t="shared" si="158"/>
        <v>1.474800224766027E-2</v>
      </c>
      <c r="O840" s="50">
        <f t="shared" si="159"/>
        <v>9.5851895459529539E-3</v>
      </c>
      <c r="P840" s="50">
        <f t="shared" si="164"/>
        <v>1.474800224766027E-2</v>
      </c>
      <c r="Q840" s="51">
        <f t="shared" si="165"/>
        <v>9.5851895459529539E-3</v>
      </c>
      <c r="R840" s="4">
        <f t="shared" si="160"/>
        <v>-9.2967326760455288E-3</v>
      </c>
      <c r="S840">
        <f t="shared" si="161"/>
        <v>0</v>
      </c>
      <c r="T840">
        <f t="shared" si="162"/>
        <v>0</v>
      </c>
      <c r="U840" s="5">
        <f>0</f>
        <v>0</v>
      </c>
      <c r="V840" s="45">
        <f t="shared" si="166"/>
        <v>0.20228458854984402</v>
      </c>
      <c r="W840" s="45">
        <f t="shared" si="167"/>
        <v>0</v>
      </c>
      <c r="X840" s="45">
        <f t="shared" si="168"/>
        <v>0</v>
      </c>
      <c r="Y840" s="46">
        <f>0</f>
        <v>0</v>
      </c>
      <c r="Z840" s="11"/>
    </row>
    <row r="841" spans="11:26" x14ac:dyDescent="0.45">
      <c r="K841" s="39">
        <f t="shared" si="163"/>
        <v>1.85</v>
      </c>
      <c r="L841" s="40">
        <f t="shared" si="156"/>
        <v>41.85</v>
      </c>
      <c r="M841" s="41">
        <f t="shared" si="157"/>
        <v>36.85</v>
      </c>
      <c r="N841" s="49">
        <f t="shared" si="158"/>
        <v>1.4735298233881099E-2</v>
      </c>
      <c r="O841" s="50">
        <f t="shared" si="159"/>
        <v>9.5769328086658997E-3</v>
      </c>
      <c r="P841" s="50">
        <f t="shared" si="164"/>
        <v>1.4735298233881099E-2</v>
      </c>
      <c r="Q841" s="51">
        <f t="shared" si="165"/>
        <v>9.5769328086658997E-3</v>
      </c>
      <c r="R841" s="4">
        <f t="shared" si="160"/>
        <v>-9.273103352418802E-3</v>
      </c>
      <c r="S841">
        <f t="shared" si="161"/>
        <v>0</v>
      </c>
      <c r="T841">
        <f t="shared" si="162"/>
        <v>0</v>
      </c>
      <c r="U841" s="5">
        <f>0</f>
        <v>0</v>
      </c>
      <c r="V841" s="45">
        <f t="shared" si="166"/>
        <v>0.20237755587660447</v>
      </c>
      <c r="W841" s="45">
        <f t="shared" si="167"/>
        <v>0</v>
      </c>
      <c r="X841" s="45">
        <f t="shared" si="168"/>
        <v>0</v>
      </c>
      <c r="Y841" s="46">
        <f>0</f>
        <v>0</v>
      </c>
      <c r="Z841" s="11"/>
    </row>
    <row r="842" spans="11:26" x14ac:dyDescent="0.45">
      <c r="K842" s="39">
        <f t="shared" si="163"/>
        <v>1.84</v>
      </c>
      <c r="L842" s="40">
        <f t="shared" si="156"/>
        <v>41.84</v>
      </c>
      <c r="M842" s="41">
        <f t="shared" si="157"/>
        <v>36.840000000000003</v>
      </c>
      <c r="N842" s="49">
        <f t="shared" si="158"/>
        <v>1.4722605163412303E-2</v>
      </c>
      <c r="O842" s="50">
        <f t="shared" si="159"/>
        <v>9.5686831837797325E-3</v>
      </c>
      <c r="P842" s="50">
        <f t="shared" si="164"/>
        <v>1.4722605163412303E-2</v>
      </c>
      <c r="Q842" s="51">
        <f t="shared" si="165"/>
        <v>9.5686831837797325E-3</v>
      </c>
      <c r="R842" s="4">
        <f t="shared" si="160"/>
        <v>-9.2495098806129623E-3</v>
      </c>
      <c r="S842">
        <f t="shared" si="161"/>
        <v>0</v>
      </c>
      <c r="T842">
        <f t="shared" si="162"/>
        <v>0</v>
      </c>
      <c r="U842" s="5">
        <f>0</f>
        <v>0</v>
      </c>
      <c r="V842" s="45">
        <f t="shared" si="166"/>
        <v>0.20247028691012867</v>
      </c>
      <c r="W842" s="45">
        <f t="shared" si="167"/>
        <v>0</v>
      </c>
      <c r="X842" s="45">
        <f t="shared" si="168"/>
        <v>0</v>
      </c>
      <c r="Y842" s="46">
        <f>0</f>
        <v>0</v>
      </c>
      <c r="Z842" s="11"/>
    </row>
    <row r="843" spans="11:26" x14ac:dyDescent="0.45">
      <c r="K843" s="39">
        <f t="shared" si="163"/>
        <v>1.83</v>
      </c>
      <c r="L843" s="40">
        <f t="shared" si="156"/>
        <v>41.83</v>
      </c>
      <c r="M843" s="41">
        <f t="shared" si="157"/>
        <v>36.83</v>
      </c>
      <c r="N843" s="49">
        <f t="shared" si="158"/>
        <v>1.4709923026827245E-2</v>
      </c>
      <c r="O843" s="50">
        <f t="shared" si="159"/>
        <v>9.5604406651677836E-3</v>
      </c>
      <c r="P843" s="50">
        <f t="shared" si="164"/>
        <v>1.4709923026827245E-2</v>
      </c>
      <c r="Q843" s="51">
        <f t="shared" si="165"/>
        <v>9.5604406651677836E-3</v>
      </c>
      <c r="R843" s="4">
        <f t="shared" si="160"/>
        <v>-9.2259522017291307E-3</v>
      </c>
      <c r="S843">
        <f t="shared" si="161"/>
        <v>0</v>
      </c>
      <c r="T843">
        <f t="shared" si="162"/>
        <v>0</v>
      </c>
      <c r="U843" s="5">
        <f>0</f>
        <v>0</v>
      </c>
      <c r="V843" s="45">
        <f t="shared" si="166"/>
        <v>0.20256278200893479</v>
      </c>
      <c r="W843" s="45">
        <f t="shared" si="167"/>
        <v>0</v>
      </c>
      <c r="X843" s="45">
        <f t="shared" si="168"/>
        <v>0</v>
      </c>
      <c r="Y843" s="46">
        <f>0</f>
        <v>0</v>
      </c>
      <c r="Z843" s="11"/>
    </row>
    <row r="844" spans="11:26" x14ac:dyDescent="0.45">
      <c r="K844" s="39">
        <f t="shared" si="163"/>
        <v>1.82</v>
      </c>
      <c r="L844" s="40">
        <f t="shared" si="156"/>
        <v>41.82</v>
      </c>
      <c r="M844" s="41">
        <f t="shared" si="157"/>
        <v>36.82</v>
      </c>
      <c r="N844" s="49">
        <f t="shared" si="158"/>
        <v>1.4697251814707445E-2</v>
      </c>
      <c r="O844" s="50">
        <f t="shared" si="159"/>
        <v>9.5522052467086789E-3</v>
      </c>
      <c r="P844" s="50">
        <f t="shared" si="164"/>
        <v>1.4697251814707445E-2</v>
      </c>
      <c r="Q844" s="51">
        <f t="shared" si="165"/>
        <v>9.5522052467086789E-3</v>
      </c>
      <c r="R844" s="4">
        <f t="shared" si="160"/>
        <v>-9.2024302569841936E-3</v>
      </c>
      <c r="S844">
        <f t="shared" si="161"/>
        <v>0</v>
      </c>
      <c r="T844">
        <f t="shared" si="162"/>
        <v>0</v>
      </c>
      <c r="U844" s="5">
        <f>0</f>
        <v>0</v>
      </c>
      <c r="V844" s="45">
        <f t="shared" si="166"/>
        <v>0.2026550415309521</v>
      </c>
      <c r="W844" s="45">
        <f t="shared" si="167"/>
        <v>0</v>
      </c>
      <c r="X844" s="45">
        <f t="shared" si="168"/>
        <v>0</v>
      </c>
      <c r="Y844" s="46">
        <f>0</f>
        <v>0</v>
      </c>
      <c r="Z844" s="11"/>
    </row>
    <row r="845" spans="11:26" x14ac:dyDescent="0.45">
      <c r="K845" s="39">
        <f t="shared" si="163"/>
        <v>1.81</v>
      </c>
      <c r="L845" s="40">
        <f t="shared" si="156"/>
        <v>41.81</v>
      </c>
      <c r="M845" s="41">
        <f t="shared" si="157"/>
        <v>36.81</v>
      </c>
      <c r="N845" s="49">
        <f t="shared" si="158"/>
        <v>1.4684591517642483E-2</v>
      </c>
      <c r="O845" s="50">
        <f t="shared" si="159"/>
        <v>9.5439769222863003E-3</v>
      </c>
      <c r="P845" s="50">
        <f t="shared" si="164"/>
        <v>1.4684591517642483E-2</v>
      </c>
      <c r="Q845" s="51">
        <f t="shared" si="165"/>
        <v>9.5439769222863003E-3</v>
      </c>
      <c r="R845" s="4">
        <f t="shared" si="160"/>
        <v>-9.1789439877104501E-3</v>
      </c>
      <c r="S845">
        <f t="shared" si="161"/>
        <v>0</v>
      </c>
      <c r="T845">
        <f t="shared" si="162"/>
        <v>0</v>
      </c>
      <c r="U845" s="5">
        <f>0</f>
        <v>0</v>
      </c>
      <c r="V845" s="45">
        <f t="shared" si="166"/>
        <v>0.20274706583352195</v>
      </c>
      <c r="W845" s="45">
        <f t="shared" si="167"/>
        <v>0</v>
      </c>
      <c r="X845" s="45">
        <f t="shared" si="168"/>
        <v>0</v>
      </c>
      <c r="Y845" s="46">
        <f>0</f>
        <v>0</v>
      </c>
      <c r="Z845" s="11"/>
    </row>
    <row r="846" spans="11:26" x14ac:dyDescent="0.45">
      <c r="K846" s="39">
        <f t="shared" si="163"/>
        <v>1.8</v>
      </c>
      <c r="L846" s="40">
        <f t="shared" si="156"/>
        <v>41.8</v>
      </c>
      <c r="M846" s="41">
        <f t="shared" si="157"/>
        <v>36.799999999999997</v>
      </c>
      <c r="N846" s="49">
        <f t="shared" si="158"/>
        <v>1.4671942126230061E-2</v>
      </c>
      <c r="O846" s="50">
        <f t="shared" si="159"/>
        <v>9.5357556857897981E-3</v>
      </c>
      <c r="P846" s="50">
        <f t="shared" si="164"/>
        <v>1.4671942126230061E-2</v>
      </c>
      <c r="Q846" s="51">
        <f t="shared" si="165"/>
        <v>9.5357556857897981E-3</v>
      </c>
      <c r="R846" s="4">
        <f t="shared" si="160"/>
        <v>-9.1554933353554281E-3</v>
      </c>
      <c r="S846">
        <f t="shared" si="161"/>
        <v>0</v>
      </c>
      <c r="T846">
        <f t="shared" si="162"/>
        <v>0</v>
      </c>
      <c r="U846" s="5">
        <f>0</f>
        <v>0</v>
      </c>
      <c r="V846" s="45">
        <f t="shared" si="166"/>
        <v>0.20283885527339907</v>
      </c>
      <c r="W846" s="45">
        <f t="shared" si="167"/>
        <v>0</v>
      </c>
      <c r="X846" s="45">
        <f t="shared" si="168"/>
        <v>0</v>
      </c>
      <c r="Y846" s="46">
        <f>0</f>
        <v>0</v>
      </c>
      <c r="Z846" s="11"/>
    </row>
    <row r="847" spans="11:26" x14ac:dyDescent="0.45">
      <c r="K847" s="39">
        <f t="shared" si="163"/>
        <v>1.79</v>
      </c>
      <c r="L847" s="40">
        <f t="shared" si="156"/>
        <v>41.79</v>
      </c>
      <c r="M847" s="41">
        <f t="shared" si="157"/>
        <v>36.79</v>
      </c>
      <c r="N847" s="49">
        <f t="shared" si="158"/>
        <v>1.465930363107602E-2</v>
      </c>
      <c r="O847" s="50">
        <f t="shared" si="159"/>
        <v>9.5275415311136032E-3</v>
      </c>
      <c r="P847" s="50">
        <f t="shared" si="164"/>
        <v>1.465930363107602E-2</v>
      </c>
      <c r="Q847" s="51">
        <f t="shared" si="165"/>
        <v>9.5275415311136032E-3</v>
      </c>
      <c r="R847" s="4">
        <f t="shared" si="160"/>
        <v>-9.1320782414816386E-3</v>
      </c>
      <c r="S847">
        <f t="shared" si="161"/>
        <v>0</v>
      </c>
      <c r="T847">
        <f t="shared" si="162"/>
        <v>0</v>
      </c>
      <c r="U847" s="5">
        <f>0</f>
        <v>0</v>
      </c>
      <c r="V847" s="45">
        <f t="shared" si="166"/>
        <v>0.20293041020675262</v>
      </c>
      <c r="W847" s="45">
        <f t="shared" si="167"/>
        <v>0</v>
      </c>
      <c r="X847" s="45">
        <f t="shared" si="168"/>
        <v>0</v>
      </c>
      <c r="Y847" s="46">
        <f>0</f>
        <v>0</v>
      </c>
      <c r="Z847" s="11"/>
    </row>
    <row r="848" spans="11:26" x14ac:dyDescent="0.45">
      <c r="K848" s="39">
        <f t="shared" si="163"/>
        <v>1.78</v>
      </c>
      <c r="L848" s="40">
        <f t="shared" si="156"/>
        <v>41.78</v>
      </c>
      <c r="M848" s="41">
        <f t="shared" si="157"/>
        <v>36.78</v>
      </c>
      <c r="N848" s="49">
        <f t="shared" si="158"/>
        <v>1.4646676022794236E-2</v>
      </c>
      <c r="O848" s="50">
        <f t="shared" si="159"/>
        <v>9.5193344521573887E-3</v>
      </c>
      <c r="P848" s="50">
        <f t="shared" si="164"/>
        <v>1.4646676022794236E-2</v>
      </c>
      <c r="Q848" s="51">
        <f t="shared" si="165"/>
        <v>9.5193344521573887E-3</v>
      </c>
      <c r="R848" s="4">
        <f t="shared" si="160"/>
        <v>-9.108698647766221E-3</v>
      </c>
      <c r="S848">
        <f t="shared" si="161"/>
        <v>0</v>
      </c>
      <c r="T848">
        <f t="shared" si="162"/>
        <v>0</v>
      </c>
      <c r="U848" s="5">
        <f>0</f>
        <v>0</v>
      </c>
      <c r="V848" s="45">
        <f t="shared" si="166"/>
        <v>0.20302173098916743</v>
      </c>
      <c r="W848" s="45">
        <f t="shared" si="167"/>
        <v>0</v>
      </c>
      <c r="X848" s="45">
        <f t="shared" si="168"/>
        <v>0</v>
      </c>
      <c r="Y848" s="46">
        <f>0</f>
        <v>0</v>
      </c>
      <c r="Z848" s="11"/>
    </row>
    <row r="849" spans="11:26" x14ac:dyDescent="0.45">
      <c r="K849" s="39">
        <f t="shared" si="163"/>
        <v>1.77</v>
      </c>
      <c r="L849" s="40">
        <f t="shared" si="156"/>
        <v>41.77</v>
      </c>
      <c r="M849" s="41">
        <f t="shared" si="157"/>
        <v>36.770000000000003</v>
      </c>
      <c r="N849" s="49">
        <f t="shared" si="158"/>
        <v>1.4634059292006698E-2</v>
      </c>
      <c r="O849" s="50">
        <f t="shared" si="159"/>
        <v>9.511134442826091E-3</v>
      </c>
      <c r="P849" s="50">
        <f t="shared" si="164"/>
        <v>1.4634059292006698E-2</v>
      </c>
      <c r="Q849" s="51">
        <f t="shared" si="165"/>
        <v>9.511134442826091E-3</v>
      </c>
      <c r="R849" s="4">
        <f t="shared" si="160"/>
        <v>-9.0853544960007564E-3</v>
      </c>
      <c r="S849">
        <f t="shared" si="161"/>
        <v>0</v>
      </c>
      <c r="T849">
        <f t="shared" si="162"/>
        <v>0</v>
      </c>
      <c r="U849" s="5">
        <f>0</f>
        <v>0</v>
      </c>
      <c r="V849" s="45">
        <f t="shared" si="166"/>
        <v>0.20311281797564509</v>
      </c>
      <c r="W849" s="45">
        <f t="shared" si="167"/>
        <v>0</v>
      </c>
      <c r="X849" s="45">
        <f t="shared" si="168"/>
        <v>0</v>
      </c>
      <c r="Y849" s="46">
        <f>0</f>
        <v>0</v>
      </c>
      <c r="Z849" s="11"/>
    </row>
    <row r="850" spans="11:26" x14ac:dyDescent="0.45">
      <c r="K850" s="39">
        <f t="shared" si="163"/>
        <v>1.76</v>
      </c>
      <c r="L850" s="40">
        <f t="shared" si="156"/>
        <v>41.76</v>
      </c>
      <c r="M850" s="41">
        <f t="shared" si="157"/>
        <v>36.76</v>
      </c>
      <c r="N850" s="49">
        <f t="shared" si="158"/>
        <v>1.4621453429343465E-2</v>
      </c>
      <c r="O850" s="50">
        <f t="shared" si="159"/>
        <v>9.5029414970298903E-3</v>
      </c>
      <c r="P850" s="50">
        <f t="shared" si="164"/>
        <v>1.4621453429343465E-2</v>
      </c>
      <c r="Q850" s="51">
        <f t="shared" si="165"/>
        <v>9.5029414970298903E-3</v>
      </c>
      <c r="R850" s="4">
        <f t="shared" si="160"/>
        <v>-9.0620457280909741E-3</v>
      </c>
      <c r="S850">
        <f t="shared" si="161"/>
        <v>0</v>
      </c>
      <c r="T850">
        <f t="shared" si="162"/>
        <v>0</v>
      </c>
      <c r="U850" s="5">
        <f>0</f>
        <v>0</v>
      </c>
      <c r="V850" s="45">
        <f t="shared" si="166"/>
        <v>0.20320367152060509</v>
      </c>
      <c r="W850" s="45">
        <f t="shared" si="167"/>
        <v>0</v>
      </c>
      <c r="X850" s="45">
        <f t="shared" si="168"/>
        <v>0</v>
      </c>
      <c r="Y850" s="46">
        <f>0</f>
        <v>0</v>
      </c>
      <c r="Z850" s="11"/>
    </row>
    <row r="851" spans="11:26" x14ac:dyDescent="0.45">
      <c r="K851" s="39">
        <f t="shared" si="163"/>
        <v>1.75</v>
      </c>
      <c r="L851" s="40">
        <f t="shared" si="156"/>
        <v>41.75</v>
      </c>
      <c r="M851" s="41">
        <f t="shared" si="157"/>
        <v>36.75</v>
      </c>
      <c r="N851" s="49">
        <f t="shared" si="158"/>
        <v>1.4608858425442685E-2</v>
      </c>
      <c r="O851" s="50">
        <f t="shared" si="159"/>
        <v>9.4947556086842234E-3</v>
      </c>
      <c r="P851" s="50">
        <f t="shared" si="164"/>
        <v>1.4608858425442685E-2</v>
      </c>
      <c r="Q851" s="51">
        <f t="shared" si="165"/>
        <v>9.4947556086842234E-3</v>
      </c>
      <c r="R851" s="4">
        <f t="shared" si="160"/>
        <v>-9.03877228605654E-3</v>
      </c>
      <c r="S851">
        <f t="shared" si="161"/>
        <v>0</v>
      </c>
      <c r="T851">
        <f t="shared" si="162"/>
        <v>0</v>
      </c>
      <c r="U851" s="5">
        <f>0</f>
        <v>0</v>
      </c>
      <c r="V851" s="45">
        <f t="shared" si="166"/>
        <v>0.20329429197788601</v>
      </c>
      <c r="W851" s="45">
        <f t="shared" si="167"/>
        <v>0</v>
      </c>
      <c r="X851" s="45">
        <f t="shared" si="168"/>
        <v>0</v>
      </c>
      <c r="Y851" s="46">
        <f>0</f>
        <v>0</v>
      </c>
      <c r="Z851" s="11"/>
    </row>
    <row r="852" spans="11:26" x14ac:dyDescent="0.45">
      <c r="K852" s="39">
        <f t="shared" si="163"/>
        <v>1.74</v>
      </c>
      <c r="L852" s="40">
        <f t="shared" si="156"/>
        <v>41.74</v>
      </c>
      <c r="M852" s="41">
        <f t="shared" si="157"/>
        <v>36.74</v>
      </c>
      <c r="N852" s="49">
        <f t="shared" si="158"/>
        <v>1.4596274270950551E-2</v>
      </c>
      <c r="O852" s="50">
        <f t="shared" si="159"/>
        <v>9.4865767717097586E-3</v>
      </c>
      <c r="P852" s="50">
        <f t="shared" si="164"/>
        <v>1.4596274270950551E-2</v>
      </c>
      <c r="Q852" s="51">
        <f t="shared" si="165"/>
        <v>9.4865767717097586E-3</v>
      </c>
      <c r="R852" s="4">
        <f t="shared" si="160"/>
        <v>-9.0155341120307236E-3</v>
      </c>
      <c r="S852">
        <f t="shared" si="161"/>
        <v>0</v>
      </c>
      <c r="T852">
        <f t="shared" si="162"/>
        <v>0</v>
      </c>
      <c r="U852" s="5">
        <f>0</f>
        <v>0</v>
      </c>
      <c r="V852" s="45">
        <f t="shared" si="166"/>
        <v>0.20338467970074658</v>
      </c>
      <c r="W852" s="45">
        <f t="shared" si="167"/>
        <v>0</v>
      </c>
      <c r="X852" s="45">
        <f t="shared" si="168"/>
        <v>0</v>
      </c>
      <c r="Y852" s="46">
        <f>0</f>
        <v>0</v>
      </c>
      <c r="Z852" s="11"/>
    </row>
    <row r="853" spans="11:26" x14ac:dyDescent="0.45">
      <c r="K853" s="39">
        <f t="shared" si="163"/>
        <v>1.73</v>
      </c>
      <c r="L853" s="40">
        <f t="shared" si="156"/>
        <v>41.73</v>
      </c>
      <c r="M853" s="41">
        <f t="shared" si="157"/>
        <v>36.729999999999997</v>
      </c>
      <c r="N853" s="49">
        <f t="shared" si="158"/>
        <v>1.4583700956521315E-2</v>
      </c>
      <c r="O853" s="50">
        <f t="shared" si="159"/>
        <v>9.4784049800323983E-3</v>
      </c>
      <c r="P853" s="50">
        <f t="shared" si="164"/>
        <v>1.4583700956521315E-2</v>
      </c>
      <c r="Q853" s="51">
        <f t="shared" si="165"/>
        <v>9.4784049800323983E-3</v>
      </c>
      <c r="R853" s="4">
        <f t="shared" si="160"/>
        <v>-8.9923311482601742E-3</v>
      </c>
      <c r="S853">
        <f t="shared" si="161"/>
        <v>0</v>
      </c>
      <c r="T853">
        <f t="shared" si="162"/>
        <v>0</v>
      </c>
      <c r="U853" s="5">
        <f>0</f>
        <v>0</v>
      </c>
      <c r="V853" s="45">
        <f t="shared" si="166"/>
        <v>0.20347483504186689</v>
      </c>
      <c r="W853" s="45">
        <f t="shared" si="167"/>
        <v>0</v>
      </c>
      <c r="X853" s="45">
        <f t="shared" si="168"/>
        <v>0</v>
      </c>
      <c r="Y853" s="46">
        <f>0</f>
        <v>0</v>
      </c>
      <c r="Z853" s="11"/>
    </row>
    <row r="854" spans="11:26" x14ac:dyDescent="0.45">
      <c r="K854" s="39">
        <f t="shared" si="163"/>
        <v>1.72</v>
      </c>
      <c r="L854" s="40">
        <f t="shared" si="156"/>
        <v>41.72</v>
      </c>
      <c r="M854" s="41">
        <f t="shared" si="157"/>
        <v>36.72</v>
      </c>
      <c r="N854" s="49">
        <f t="shared" si="158"/>
        <v>1.4571138472817297E-2</v>
      </c>
      <c r="O854" s="50">
        <f t="shared" si="159"/>
        <v>9.4702402275832955E-3</v>
      </c>
      <c r="P854" s="50">
        <f t="shared" si="164"/>
        <v>1.4571138472817297E-2</v>
      </c>
      <c r="Q854" s="51">
        <f t="shared" si="165"/>
        <v>9.4702402275832955E-3</v>
      </c>
      <c r="R854" s="4">
        <f t="shared" si="160"/>
        <v>-8.9691633371047075E-3</v>
      </c>
      <c r="S854">
        <f t="shared" si="161"/>
        <v>0</v>
      </c>
      <c r="T854">
        <f t="shared" si="162"/>
        <v>0</v>
      </c>
      <c r="U854" s="5">
        <f>0</f>
        <v>0</v>
      </c>
      <c r="V854" s="45">
        <f t="shared" si="166"/>
        <v>0.2035647583533495</v>
      </c>
      <c r="W854" s="45">
        <f t="shared" si="167"/>
        <v>0</v>
      </c>
      <c r="X854" s="45">
        <f t="shared" si="168"/>
        <v>0</v>
      </c>
      <c r="Y854" s="46">
        <f>0</f>
        <v>0</v>
      </c>
      <c r="Z854" s="11"/>
    </row>
    <row r="855" spans="11:26" x14ac:dyDescent="0.45">
      <c r="K855" s="39">
        <f t="shared" si="163"/>
        <v>1.71</v>
      </c>
      <c r="L855" s="40">
        <f t="shared" si="156"/>
        <v>41.71</v>
      </c>
      <c r="M855" s="41">
        <f t="shared" si="157"/>
        <v>36.71</v>
      </c>
      <c r="N855" s="49">
        <f t="shared" si="158"/>
        <v>1.4558586810508841E-2</v>
      </c>
      <c r="O855" s="50">
        <f t="shared" si="159"/>
        <v>9.4620825082988129E-3</v>
      </c>
      <c r="P855" s="50">
        <f t="shared" si="164"/>
        <v>1.4558586810508841E-2</v>
      </c>
      <c r="Q855" s="51">
        <f t="shared" si="165"/>
        <v>9.4620825082988129E-3</v>
      </c>
      <c r="R855" s="4">
        <f t="shared" si="160"/>
        <v>-8.9460306210369586E-3</v>
      </c>
      <c r="S855">
        <f t="shared" si="161"/>
        <v>0</v>
      </c>
      <c r="T855">
        <f t="shared" si="162"/>
        <v>0</v>
      </c>
      <c r="U855" s="5">
        <f>0</f>
        <v>0</v>
      </c>
      <c r="V855" s="45">
        <f t="shared" si="166"/>
        <v>0.20365444998672055</v>
      </c>
      <c r="W855" s="45">
        <f t="shared" si="167"/>
        <v>0</v>
      </c>
      <c r="X855" s="45">
        <f t="shared" si="168"/>
        <v>0</v>
      </c>
      <c r="Y855" s="46">
        <f>0</f>
        <v>0</v>
      </c>
      <c r="Z855" s="11"/>
    </row>
    <row r="856" spans="11:26" x14ac:dyDescent="0.45">
      <c r="K856" s="39">
        <f t="shared" si="163"/>
        <v>1.7</v>
      </c>
      <c r="L856" s="40">
        <f t="shared" si="156"/>
        <v>41.7</v>
      </c>
      <c r="M856" s="41">
        <f t="shared" si="157"/>
        <v>36.700000000000003</v>
      </c>
      <c r="N856" s="49">
        <f t="shared" si="158"/>
        <v>1.4546045960274333E-2</v>
      </c>
      <c r="O856" s="50">
        <f t="shared" si="159"/>
        <v>9.4539318161205397E-3</v>
      </c>
      <c r="P856" s="50">
        <f t="shared" si="164"/>
        <v>1.4546045960274333E-2</v>
      </c>
      <c r="Q856" s="51">
        <f t="shared" si="165"/>
        <v>9.4539318161205397E-3</v>
      </c>
      <c r="R856" s="4">
        <f t="shared" si="160"/>
        <v>-8.9229329426421915E-3</v>
      </c>
      <c r="S856">
        <f t="shared" si="161"/>
        <v>0</v>
      </c>
      <c r="T856">
        <f t="shared" si="162"/>
        <v>0</v>
      </c>
      <c r="U856" s="5">
        <f>0</f>
        <v>0</v>
      </c>
      <c r="V856" s="45">
        <f t="shared" si="166"/>
        <v>0.20374391029293093</v>
      </c>
      <c r="W856" s="45">
        <f t="shared" si="167"/>
        <v>0</v>
      </c>
      <c r="X856" s="45">
        <f t="shared" si="168"/>
        <v>0</v>
      </c>
      <c r="Y856" s="46">
        <f>0</f>
        <v>0</v>
      </c>
      <c r="Z856" s="11"/>
    </row>
    <row r="857" spans="11:26" x14ac:dyDescent="0.45">
      <c r="K857" s="39">
        <f t="shared" si="163"/>
        <v>1.69</v>
      </c>
      <c r="L857" s="40">
        <f t="shared" si="156"/>
        <v>41.69</v>
      </c>
      <c r="M857" s="41">
        <f t="shared" si="157"/>
        <v>36.69</v>
      </c>
      <c r="N857" s="49">
        <f t="shared" si="158"/>
        <v>1.453351591280019E-2</v>
      </c>
      <c r="O857" s="50">
        <f t="shared" si="159"/>
        <v>9.445788144995285E-3</v>
      </c>
      <c r="P857" s="50">
        <f t="shared" si="164"/>
        <v>1.453351591280019E-2</v>
      </c>
      <c r="Q857" s="51">
        <f t="shared" si="165"/>
        <v>9.445788144995285E-3</v>
      </c>
      <c r="R857" s="4">
        <f t="shared" si="160"/>
        <v>-8.899870244618021E-3</v>
      </c>
      <c r="S857">
        <f t="shared" si="161"/>
        <v>0</v>
      </c>
      <c r="T857">
        <f t="shared" si="162"/>
        <v>0</v>
      </c>
      <c r="U857" s="5">
        <f>0</f>
        <v>0</v>
      </c>
      <c r="V857" s="45">
        <f t="shared" si="166"/>
        <v>0.20383313962235736</v>
      </c>
      <c r="W857" s="45">
        <f t="shared" si="167"/>
        <v>0</v>
      </c>
      <c r="X857" s="45">
        <f t="shared" si="168"/>
        <v>0</v>
      </c>
      <c r="Y857" s="46">
        <f>0</f>
        <v>0</v>
      </c>
      <c r="Z857" s="11"/>
    </row>
    <row r="858" spans="11:26" x14ac:dyDescent="0.45">
      <c r="K858" s="39">
        <f t="shared" si="163"/>
        <v>1.68</v>
      </c>
      <c r="L858" s="40">
        <f t="shared" ref="L858:L921" si="169">InitialAge_x+K858</f>
        <v>41.68</v>
      </c>
      <c r="M858" s="41">
        <f t="shared" ref="M858:M921" si="170">InitialAge_y+K858</f>
        <v>36.68</v>
      </c>
      <c r="N858" s="49">
        <f t="shared" ref="N858:N921" si="171">muParameter_B*muParameter_c^L858</f>
        <v>1.4520996658780858E-2</v>
      </c>
      <c r="O858" s="50">
        <f t="shared" ref="O858:O921" si="172">muParameter_B*muParameter_c^M858</f>
        <v>9.4376514888750793E-3</v>
      </c>
      <c r="P858" s="50">
        <f t="shared" si="164"/>
        <v>1.4520996658780858E-2</v>
      </c>
      <c r="Q858" s="51">
        <f t="shared" si="165"/>
        <v>9.4376514888750793E-3</v>
      </c>
      <c r="R858" s="4">
        <f t="shared" ref="R858:R921" si="173">V858*Delta-Constant_b1-(O858*(Constant_b12+W858-V858)+N858*(Constant_b13+X858-V858))</f>
        <v>-8.8768424697741669E-3</v>
      </c>
      <c r="S858">
        <f t="shared" ref="S858:S921" si="174">W858*Delta-Constant_b2-(P858*(Constant_b24+Y858-W858)+Q858*(Constant_b34+Y858-X858))</f>
        <v>0</v>
      </c>
      <c r="T858">
        <f t="shared" ref="T858:T921" si="175">X858*Delta-Constant_b3-(Q858*(Constant_b34+Y858-X858))</f>
        <v>0</v>
      </c>
      <c r="U858" s="5">
        <f>0</f>
        <v>0</v>
      </c>
      <c r="V858" s="45">
        <f t="shared" si="166"/>
        <v>0.20392213832480355</v>
      </c>
      <c r="W858" s="45">
        <f t="shared" si="167"/>
        <v>0</v>
      </c>
      <c r="X858" s="45">
        <f t="shared" si="168"/>
        <v>0</v>
      </c>
      <c r="Y858" s="46">
        <f>0</f>
        <v>0</v>
      </c>
      <c r="Z858" s="11"/>
    </row>
    <row r="859" spans="11:26" x14ac:dyDescent="0.45">
      <c r="K859" s="39">
        <f t="shared" ref="K859:K922" si="176">ROUND(K858-StepSize,2)</f>
        <v>1.67</v>
      </c>
      <c r="L859" s="40">
        <f t="shared" si="169"/>
        <v>41.67</v>
      </c>
      <c r="M859" s="41">
        <f t="shared" si="170"/>
        <v>36.67</v>
      </c>
      <c r="N859" s="49">
        <f t="shared" si="171"/>
        <v>1.450848818891879E-2</v>
      </c>
      <c r="O859" s="50">
        <f t="shared" si="172"/>
        <v>9.4295218417171558E-3</v>
      </c>
      <c r="P859" s="50">
        <f t="shared" ref="P859:P922" si="177">N859</f>
        <v>1.450848818891879E-2</v>
      </c>
      <c r="Q859" s="51">
        <f t="shared" ref="Q859:Q922" si="178">O859</f>
        <v>9.4295218417171558E-3</v>
      </c>
      <c r="R859" s="4">
        <f t="shared" si="173"/>
        <v>-8.8538495610321847E-3</v>
      </c>
      <c r="S859">
        <f t="shared" si="174"/>
        <v>0</v>
      </c>
      <c r="T859">
        <f t="shared" si="175"/>
        <v>0</v>
      </c>
      <c r="U859" s="5">
        <f>0</f>
        <v>0</v>
      </c>
      <c r="V859" s="45">
        <f t="shared" ref="V859:V922" si="179">V858-StepSize*(R858)</f>
        <v>0.20401090674950129</v>
      </c>
      <c r="W859" s="45">
        <f t="shared" ref="W859:W922" si="180">W858-StepSize*(S858)</f>
        <v>0</v>
      </c>
      <c r="X859" s="45">
        <f t="shared" ref="X859:X922" si="181">X858-StepSize*(T858)</f>
        <v>0</v>
      </c>
      <c r="Y859" s="46">
        <f>0</f>
        <v>0</v>
      </c>
      <c r="Z859" s="11"/>
    </row>
    <row r="860" spans="11:26" x14ac:dyDescent="0.45">
      <c r="K860" s="39">
        <f t="shared" si="176"/>
        <v>1.66</v>
      </c>
      <c r="L860" s="40">
        <f t="shared" si="169"/>
        <v>41.66</v>
      </c>
      <c r="M860" s="41">
        <f t="shared" si="170"/>
        <v>36.659999999999997</v>
      </c>
      <c r="N860" s="49">
        <f t="shared" si="171"/>
        <v>1.4495990493924447E-2</v>
      </c>
      <c r="O860" s="50">
        <f t="shared" si="172"/>
        <v>9.421399197483948E-3</v>
      </c>
      <c r="P860" s="50">
        <f t="shared" si="177"/>
        <v>1.4495990493924447E-2</v>
      </c>
      <c r="Q860" s="51">
        <f t="shared" si="178"/>
        <v>9.421399197483948E-3</v>
      </c>
      <c r="R860" s="4">
        <f t="shared" si="173"/>
        <v>-8.830891461425211E-3</v>
      </c>
      <c r="S860">
        <f t="shared" si="174"/>
        <v>0</v>
      </c>
      <c r="T860">
        <f t="shared" si="175"/>
        <v>0</v>
      </c>
      <c r="U860" s="5">
        <f>0</f>
        <v>0</v>
      </c>
      <c r="V860" s="45">
        <f t="shared" si="179"/>
        <v>0.20409944524511162</v>
      </c>
      <c r="W860" s="45">
        <f t="shared" si="180"/>
        <v>0</v>
      </c>
      <c r="X860" s="45">
        <f t="shared" si="181"/>
        <v>0</v>
      </c>
      <c r="Y860" s="46">
        <f>0</f>
        <v>0</v>
      </c>
      <c r="Z860" s="11"/>
    </row>
    <row r="861" spans="11:26" x14ac:dyDescent="0.45">
      <c r="K861" s="39">
        <f t="shared" si="176"/>
        <v>1.65</v>
      </c>
      <c r="L861" s="40">
        <f t="shared" si="169"/>
        <v>41.65</v>
      </c>
      <c r="M861" s="41">
        <f t="shared" si="170"/>
        <v>36.65</v>
      </c>
      <c r="N861" s="49">
        <f t="shared" si="171"/>
        <v>1.4483503564516303E-2</v>
      </c>
      <c r="O861" s="50">
        <f t="shared" si="172"/>
        <v>9.4132835501431044E-3</v>
      </c>
      <c r="P861" s="50">
        <f t="shared" si="177"/>
        <v>1.4483503564516303E-2</v>
      </c>
      <c r="Q861" s="51">
        <f t="shared" si="178"/>
        <v>9.4132835501431044E-3</v>
      </c>
      <c r="R861" s="4">
        <f t="shared" si="173"/>
        <v>-8.8079681140977306E-3</v>
      </c>
      <c r="S861">
        <f t="shared" si="174"/>
        <v>0</v>
      </c>
      <c r="T861">
        <f t="shared" si="175"/>
        <v>0</v>
      </c>
      <c r="U861" s="5">
        <f>0</f>
        <v>0</v>
      </c>
      <c r="V861" s="45">
        <f t="shared" si="179"/>
        <v>0.20418775415972587</v>
      </c>
      <c r="W861" s="45">
        <f t="shared" si="180"/>
        <v>0</v>
      </c>
      <c r="X861" s="45">
        <f t="shared" si="181"/>
        <v>0</v>
      </c>
      <c r="Y861" s="46">
        <f>0</f>
        <v>0</v>
      </c>
      <c r="Z861" s="11"/>
    </row>
    <row r="862" spans="11:26" x14ac:dyDescent="0.45">
      <c r="K862" s="39">
        <f t="shared" si="176"/>
        <v>1.64</v>
      </c>
      <c r="L862" s="40">
        <f t="shared" si="169"/>
        <v>41.64</v>
      </c>
      <c r="M862" s="41">
        <f t="shared" si="170"/>
        <v>36.64</v>
      </c>
      <c r="N862" s="49">
        <f t="shared" si="171"/>
        <v>1.447102739142082E-2</v>
      </c>
      <c r="O862" s="50">
        <f t="shared" si="172"/>
        <v>9.4051748936674583E-3</v>
      </c>
      <c r="P862" s="50">
        <f t="shared" si="177"/>
        <v>1.447102739142082E-2</v>
      </c>
      <c r="Q862" s="51">
        <f t="shared" si="178"/>
        <v>9.4051748936674583E-3</v>
      </c>
      <c r="R862" s="4">
        <f t="shared" si="173"/>
        <v>-8.7850794623053202E-3</v>
      </c>
      <c r="S862">
        <f t="shared" si="174"/>
        <v>0</v>
      </c>
      <c r="T862">
        <f t="shared" si="175"/>
        <v>0</v>
      </c>
      <c r="U862" s="5">
        <f>0</f>
        <v>0</v>
      </c>
      <c r="V862" s="45">
        <f t="shared" si="179"/>
        <v>0.20427583384086684</v>
      </c>
      <c r="W862" s="45">
        <f t="shared" si="180"/>
        <v>0</v>
      </c>
      <c r="X862" s="45">
        <f t="shared" si="181"/>
        <v>0</v>
      </c>
      <c r="Y862" s="46">
        <f>0</f>
        <v>0</v>
      </c>
      <c r="Z862" s="11"/>
    </row>
    <row r="863" spans="11:26" x14ac:dyDescent="0.45">
      <c r="K863" s="39">
        <f t="shared" si="176"/>
        <v>1.63</v>
      </c>
      <c r="L863" s="40">
        <f t="shared" si="169"/>
        <v>41.63</v>
      </c>
      <c r="M863" s="41">
        <f t="shared" si="170"/>
        <v>36.630000000000003</v>
      </c>
      <c r="N863" s="49">
        <f t="shared" si="171"/>
        <v>1.4458561965372445E-2</v>
      </c>
      <c r="O863" s="50">
        <f t="shared" si="172"/>
        <v>9.3970732220350437E-3</v>
      </c>
      <c r="P863" s="50">
        <f t="shared" si="177"/>
        <v>1.4458561965372445E-2</v>
      </c>
      <c r="Q863" s="51">
        <f t="shared" si="178"/>
        <v>9.3970732220350437E-3</v>
      </c>
      <c r="R863" s="4">
        <f t="shared" si="173"/>
        <v>-8.7622254494143532E-3</v>
      </c>
      <c r="S863">
        <f t="shared" si="174"/>
        <v>0</v>
      </c>
      <c r="T863">
        <f t="shared" si="175"/>
        <v>0</v>
      </c>
      <c r="U863" s="5">
        <f>0</f>
        <v>0</v>
      </c>
      <c r="V863" s="45">
        <f t="shared" si="179"/>
        <v>0.2043636846354899</v>
      </c>
      <c r="W863" s="45">
        <f t="shared" si="180"/>
        <v>0</v>
      </c>
      <c r="X863" s="45">
        <f t="shared" si="181"/>
        <v>0</v>
      </c>
      <c r="Y863" s="46">
        <f>0</f>
        <v>0</v>
      </c>
      <c r="Z863" s="11"/>
    </row>
    <row r="864" spans="11:26" x14ac:dyDescent="0.45">
      <c r="K864" s="39">
        <f t="shared" si="176"/>
        <v>1.62</v>
      </c>
      <c r="L864" s="40">
        <f t="shared" si="169"/>
        <v>41.62</v>
      </c>
      <c r="M864" s="41">
        <f t="shared" si="170"/>
        <v>36.619999999999997</v>
      </c>
      <c r="N864" s="49">
        <f t="shared" si="171"/>
        <v>1.4446107277113604E-2</v>
      </c>
      <c r="O864" s="50">
        <f t="shared" si="172"/>
        <v>9.3889785292290574E-3</v>
      </c>
      <c r="P864" s="50">
        <f t="shared" si="177"/>
        <v>1.4446107277113604E-2</v>
      </c>
      <c r="Q864" s="51">
        <f t="shared" si="178"/>
        <v>9.3889785292290574E-3</v>
      </c>
      <c r="R864" s="4">
        <f t="shared" si="173"/>
        <v>-8.7394060189017915E-3</v>
      </c>
      <c r="S864">
        <f t="shared" si="174"/>
        <v>0</v>
      </c>
      <c r="T864">
        <f t="shared" si="175"/>
        <v>0</v>
      </c>
      <c r="U864" s="5">
        <f>0</f>
        <v>0</v>
      </c>
      <c r="V864" s="45">
        <f t="shared" si="179"/>
        <v>0.20445130688998406</v>
      </c>
      <c r="W864" s="45">
        <f t="shared" si="180"/>
        <v>0</v>
      </c>
      <c r="X864" s="45">
        <f t="shared" si="181"/>
        <v>0</v>
      </c>
      <c r="Y864" s="46">
        <f>0</f>
        <v>0</v>
      </c>
      <c r="Z864" s="11"/>
    </row>
    <row r="865" spans="11:26" x14ac:dyDescent="0.45">
      <c r="K865" s="39">
        <f t="shared" si="176"/>
        <v>1.61</v>
      </c>
      <c r="L865" s="40">
        <f t="shared" si="169"/>
        <v>41.61</v>
      </c>
      <c r="M865" s="41">
        <f t="shared" si="170"/>
        <v>36.61</v>
      </c>
      <c r="N865" s="49">
        <f t="shared" si="171"/>
        <v>1.4433663317394719E-2</v>
      </c>
      <c r="O865" s="50">
        <f t="shared" si="172"/>
        <v>9.3808908092379208E-3</v>
      </c>
      <c r="P865" s="50">
        <f t="shared" si="177"/>
        <v>1.4433663317394719E-2</v>
      </c>
      <c r="Q865" s="51">
        <f t="shared" si="178"/>
        <v>9.3808908092379208E-3</v>
      </c>
      <c r="R865" s="4">
        <f t="shared" si="173"/>
        <v>-8.7166211143549586E-3</v>
      </c>
      <c r="S865">
        <f t="shared" si="174"/>
        <v>0</v>
      </c>
      <c r="T865">
        <f t="shared" si="175"/>
        <v>0</v>
      </c>
      <c r="U865" s="5">
        <f>0</f>
        <v>0</v>
      </c>
      <c r="V865" s="45">
        <f t="shared" si="179"/>
        <v>0.20453870095017307</v>
      </c>
      <c r="W865" s="45">
        <f t="shared" si="180"/>
        <v>0</v>
      </c>
      <c r="X865" s="45">
        <f t="shared" si="181"/>
        <v>0</v>
      </c>
      <c r="Y865" s="46">
        <f>0</f>
        <v>0</v>
      </c>
      <c r="Z865" s="11"/>
    </row>
    <row r="866" spans="11:26" x14ac:dyDescent="0.45">
      <c r="K866" s="39">
        <f t="shared" si="176"/>
        <v>1.6</v>
      </c>
      <c r="L866" s="40">
        <f t="shared" si="169"/>
        <v>41.6</v>
      </c>
      <c r="M866" s="41">
        <f t="shared" si="170"/>
        <v>36.6</v>
      </c>
      <c r="N866" s="49">
        <f t="shared" si="171"/>
        <v>1.4421230076974153E-2</v>
      </c>
      <c r="O866" s="50">
        <f t="shared" si="172"/>
        <v>9.3728100560552061E-3</v>
      </c>
      <c r="P866" s="50">
        <f t="shared" si="177"/>
        <v>1.4421230076974153E-2</v>
      </c>
      <c r="Q866" s="51">
        <f t="shared" si="178"/>
        <v>9.3728100560552061E-3</v>
      </c>
      <c r="R866" s="4">
        <f t="shared" si="173"/>
        <v>-8.6938706794712269E-3</v>
      </c>
      <c r="S866">
        <f t="shared" si="174"/>
        <v>0</v>
      </c>
      <c r="T866">
        <f t="shared" si="175"/>
        <v>0</v>
      </c>
      <c r="U866" s="5">
        <f>0</f>
        <v>0</v>
      </c>
      <c r="V866" s="45">
        <f t="shared" si="179"/>
        <v>0.20462586716131662</v>
      </c>
      <c r="W866" s="45">
        <f t="shared" si="180"/>
        <v>0</v>
      </c>
      <c r="X866" s="45">
        <f t="shared" si="181"/>
        <v>0</v>
      </c>
      <c r="Y866" s="46">
        <f>0</f>
        <v>0</v>
      </c>
      <c r="Z866" s="11"/>
    </row>
    <row r="867" spans="11:26" x14ac:dyDescent="0.45">
      <c r="K867" s="39">
        <f t="shared" si="176"/>
        <v>1.59</v>
      </c>
      <c r="L867" s="40">
        <f t="shared" si="169"/>
        <v>41.59</v>
      </c>
      <c r="M867" s="41">
        <f t="shared" si="170"/>
        <v>36.590000000000003</v>
      </c>
      <c r="N867" s="49">
        <f t="shared" si="171"/>
        <v>1.4408807546618245E-2</v>
      </c>
      <c r="O867" s="50">
        <f t="shared" si="172"/>
        <v>9.3647362636796547E-3</v>
      </c>
      <c r="P867" s="50">
        <f t="shared" si="177"/>
        <v>1.4408807546618245E-2</v>
      </c>
      <c r="Q867" s="51">
        <f t="shared" si="178"/>
        <v>9.3647362636796547E-3</v>
      </c>
      <c r="R867" s="4">
        <f t="shared" si="173"/>
        <v>-8.6711546580577788E-3</v>
      </c>
      <c r="S867">
        <f t="shared" si="174"/>
        <v>0</v>
      </c>
      <c r="T867">
        <f t="shared" si="175"/>
        <v>0</v>
      </c>
      <c r="U867" s="5">
        <f>0</f>
        <v>0</v>
      </c>
      <c r="V867" s="45">
        <f t="shared" si="179"/>
        <v>0.20471280586811133</v>
      </c>
      <c r="W867" s="45">
        <f t="shared" si="180"/>
        <v>0</v>
      </c>
      <c r="X867" s="45">
        <f t="shared" si="181"/>
        <v>0</v>
      </c>
      <c r="Y867" s="46">
        <f>0</f>
        <v>0</v>
      </c>
      <c r="Z867" s="11"/>
    </row>
    <row r="868" spans="11:26" x14ac:dyDescent="0.45">
      <c r="K868" s="39">
        <f t="shared" si="176"/>
        <v>1.58</v>
      </c>
      <c r="L868" s="40">
        <f t="shared" si="169"/>
        <v>41.58</v>
      </c>
      <c r="M868" s="41">
        <f t="shared" si="170"/>
        <v>36.58</v>
      </c>
      <c r="N868" s="49">
        <f t="shared" si="171"/>
        <v>1.4396395717101272E-2</v>
      </c>
      <c r="O868" s="50">
        <f t="shared" si="172"/>
        <v>9.3566694261151863E-3</v>
      </c>
      <c r="P868" s="50">
        <f t="shared" si="177"/>
        <v>1.4396395717101272E-2</v>
      </c>
      <c r="Q868" s="51">
        <f t="shared" si="178"/>
        <v>9.3566694261151863E-3</v>
      </c>
      <c r="R868" s="4">
        <f t="shared" si="173"/>
        <v>-8.648472994031391E-3</v>
      </c>
      <c r="S868">
        <f t="shared" si="174"/>
        <v>0</v>
      </c>
      <c r="T868">
        <f t="shared" si="175"/>
        <v>0</v>
      </c>
      <c r="U868" s="5">
        <f>0</f>
        <v>0</v>
      </c>
      <c r="V868" s="45">
        <f t="shared" si="179"/>
        <v>0.20479951741469191</v>
      </c>
      <c r="W868" s="45">
        <f t="shared" si="180"/>
        <v>0</v>
      </c>
      <c r="X868" s="45">
        <f t="shared" si="181"/>
        <v>0</v>
      </c>
      <c r="Y868" s="46">
        <f>0</f>
        <v>0</v>
      </c>
      <c r="Z868" s="11"/>
    </row>
    <row r="869" spans="11:26" x14ac:dyDescent="0.45">
      <c r="K869" s="39">
        <f t="shared" si="176"/>
        <v>1.57</v>
      </c>
      <c r="L869" s="40">
        <f t="shared" si="169"/>
        <v>41.57</v>
      </c>
      <c r="M869" s="41">
        <f t="shared" si="170"/>
        <v>36.57</v>
      </c>
      <c r="N869" s="49">
        <f t="shared" si="171"/>
        <v>1.438399457920549E-2</v>
      </c>
      <c r="O869" s="50">
        <f t="shared" si="172"/>
        <v>9.348609537370909E-3</v>
      </c>
      <c r="P869" s="50">
        <f t="shared" si="177"/>
        <v>1.438399457920549E-2</v>
      </c>
      <c r="Q869" s="51">
        <f t="shared" si="178"/>
        <v>9.348609537370909E-3</v>
      </c>
      <c r="R869" s="4">
        <f t="shared" si="173"/>
        <v>-8.6258256314182095E-3</v>
      </c>
      <c r="S869">
        <f t="shared" si="174"/>
        <v>0</v>
      </c>
      <c r="T869">
        <f t="shared" si="175"/>
        <v>0</v>
      </c>
      <c r="U869" s="5">
        <f>0</f>
        <v>0</v>
      </c>
      <c r="V869" s="45">
        <f t="shared" si="179"/>
        <v>0.20488600214463221</v>
      </c>
      <c r="W869" s="45">
        <f t="shared" si="180"/>
        <v>0</v>
      </c>
      <c r="X869" s="45">
        <f t="shared" si="181"/>
        <v>0</v>
      </c>
      <c r="Y869" s="46">
        <f>0</f>
        <v>0</v>
      </c>
      <c r="Z869" s="11"/>
    </row>
    <row r="870" spans="11:26" x14ac:dyDescent="0.45">
      <c r="K870" s="39">
        <f t="shared" si="176"/>
        <v>1.56</v>
      </c>
      <c r="L870" s="40">
        <f t="shared" si="169"/>
        <v>41.56</v>
      </c>
      <c r="M870" s="41">
        <f t="shared" si="170"/>
        <v>36.56</v>
      </c>
      <c r="N870" s="49">
        <f t="shared" si="171"/>
        <v>1.4371604123721063E-2</v>
      </c>
      <c r="O870" s="50">
        <f t="shared" si="172"/>
        <v>9.3405565914610467E-3</v>
      </c>
      <c r="P870" s="50">
        <f t="shared" si="177"/>
        <v>1.4371604123721063E-2</v>
      </c>
      <c r="Q870" s="51">
        <f t="shared" si="178"/>
        <v>9.3405565914610467E-3</v>
      </c>
      <c r="R870" s="4">
        <f t="shared" si="173"/>
        <v>-8.6032125143533904E-3</v>
      </c>
      <c r="S870">
        <f t="shared" si="174"/>
        <v>0</v>
      </c>
      <c r="T870">
        <f t="shared" si="175"/>
        <v>0</v>
      </c>
      <c r="U870" s="5">
        <f>0</f>
        <v>0</v>
      </c>
      <c r="V870" s="45">
        <f t="shared" si="179"/>
        <v>0.20497226040094638</v>
      </c>
      <c r="W870" s="45">
        <f t="shared" si="180"/>
        <v>0</v>
      </c>
      <c r="X870" s="45">
        <f t="shared" si="181"/>
        <v>0</v>
      </c>
      <c r="Y870" s="46">
        <f>0</f>
        <v>0</v>
      </c>
      <c r="Z870" s="11"/>
    </row>
    <row r="871" spans="11:26" x14ac:dyDescent="0.45">
      <c r="K871" s="39">
        <f t="shared" si="176"/>
        <v>1.55</v>
      </c>
      <c r="L871" s="40">
        <f t="shared" si="169"/>
        <v>41.55</v>
      </c>
      <c r="M871" s="41">
        <f t="shared" si="170"/>
        <v>36.549999999999997</v>
      </c>
      <c r="N871" s="49">
        <f t="shared" si="171"/>
        <v>1.4359224341446097E-2</v>
      </c>
      <c r="O871" s="50">
        <f t="shared" si="172"/>
        <v>9.3325105824050032E-3</v>
      </c>
      <c r="P871" s="50">
        <f t="shared" si="177"/>
        <v>1.4359224341446097E-2</v>
      </c>
      <c r="Q871" s="51">
        <f t="shared" si="178"/>
        <v>9.3325105824050032E-3</v>
      </c>
      <c r="R871" s="4">
        <f t="shared" si="173"/>
        <v>-8.5806335870809644E-3</v>
      </c>
      <c r="S871">
        <f t="shared" si="174"/>
        <v>0</v>
      </c>
      <c r="T871">
        <f t="shared" si="175"/>
        <v>0</v>
      </c>
      <c r="U871" s="5">
        <f>0</f>
        <v>0</v>
      </c>
      <c r="V871" s="45">
        <f t="shared" si="179"/>
        <v>0.2050582925260899</v>
      </c>
      <c r="W871" s="45">
        <f t="shared" si="180"/>
        <v>0</v>
      </c>
      <c r="X871" s="45">
        <f t="shared" si="181"/>
        <v>0</v>
      </c>
      <c r="Y871" s="46">
        <f>0</f>
        <v>0</v>
      </c>
      <c r="Z871" s="11"/>
    </row>
    <row r="872" spans="11:26" x14ac:dyDescent="0.45">
      <c r="K872" s="39">
        <f t="shared" si="176"/>
        <v>1.54</v>
      </c>
      <c r="L872" s="40">
        <f t="shared" si="169"/>
        <v>41.54</v>
      </c>
      <c r="M872" s="41">
        <f t="shared" si="170"/>
        <v>36.54</v>
      </c>
      <c r="N872" s="49">
        <f t="shared" si="171"/>
        <v>1.434685522318664E-2</v>
      </c>
      <c r="O872" s="50">
        <f t="shared" si="172"/>
        <v>9.32447150422735E-3</v>
      </c>
      <c r="P872" s="50">
        <f t="shared" si="177"/>
        <v>1.434685522318664E-2</v>
      </c>
      <c r="Q872" s="51">
        <f t="shared" si="178"/>
        <v>9.32447150422735E-3</v>
      </c>
      <c r="R872" s="4">
        <f t="shared" si="173"/>
        <v>-8.5580887939535645E-3</v>
      </c>
      <c r="S872">
        <f t="shared" si="174"/>
        <v>0</v>
      </c>
      <c r="T872">
        <f t="shared" si="175"/>
        <v>0</v>
      </c>
      <c r="U872" s="5">
        <f>0</f>
        <v>0</v>
      </c>
      <c r="V872" s="45">
        <f t="shared" si="179"/>
        <v>0.20514409886196069</v>
      </c>
      <c r="W872" s="45">
        <f t="shared" si="180"/>
        <v>0</v>
      </c>
      <c r="X872" s="45">
        <f t="shared" si="181"/>
        <v>0</v>
      </c>
      <c r="Y872" s="46">
        <f>0</f>
        <v>0</v>
      </c>
      <c r="Z872" s="11"/>
    </row>
    <row r="873" spans="11:26" x14ac:dyDescent="0.45">
      <c r="K873" s="39">
        <f t="shared" si="176"/>
        <v>1.53</v>
      </c>
      <c r="L873" s="40">
        <f t="shared" si="169"/>
        <v>41.53</v>
      </c>
      <c r="M873" s="41">
        <f t="shared" si="170"/>
        <v>36.53</v>
      </c>
      <c r="N873" s="49">
        <f t="shared" si="171"/>
        <v>1.4334496759756642E-2</v>
      </c>
      <c r="O873" s="50">
        <f t="shared" si="172"/>
        <v>9.3164393509577743E-3</v>
      </c>
      <c r="P873" s="50">
        <f t="shared" si="177"/>
        <v>1.4334496759756642E-2</v>
      </c>
      <c r="Q873" s="51">
        <f t="shared" si="178"/>
        <v>9.3164393509577743E-3</v>
      </c>
      <c r="R873" s="4">
        <f t="shared" si="173"/>
        <v>-8.535578079432133E-3</v>
      </c>
      <c r="S873">
        <f t="shared" si="174"/>
        <v>0</v>
      </c>
      <c r="T873">
        <f t="shared" si="175"/>
        <v>0</v>
      </c>
      <c r="U873" s="5">
        <f>0</f>
        <v>0</v>
      </c>
      <c r="V873" s="45">
        <f t="shared" si="179"/>
        <v>0.20522967974990022</v>
      </c>
      <c r="W873" s="45">
        <f t="shared" si="180"/>
        <v>0</v>
      </c>
      <c r="X873" s="45">
        <f t="shared" si="181"/>
        <v>0</v>
      </c>
      <c r="Y873" s="46">
        <f>0</f>
        <v>0</v>
      </c>
      <c r="Z873" s="11"/>
    </row>
    <row r="874" spans="11:26" x14ac:dyDescent="0.45">
      <c r="K874" s="39">
        <f t="shared" si="176"/>
        <v>1.52</v>
      </c>
      <c r="L874" s="40">
        <f t="shared" si="169"/>
        <v>41.52</v>
      </c>
      <c r="M874" s="41">
        <f t="shared" si="170"/>
        <v>36.520000000000003</v>
      </c>
      <c r="N874" s="49">
        <f t="shared" si="171"/>
        <v>1.4322148941977969E-2</v>
      </c>
      <c r="O874" s="50">
        <f t="shared" si="172"/>
        <v>9.3084141166311224E-3</v>
      </c>
      <c r="P874" s="50">
        <f t="shared" si="177"/>
        <v>1.4322148941977969E-2</v>
      </c>
      <c r="Q874" s="51">
        <f t="shared" si="178"/>
        <v>9.3084141166311224E-3</v>
      </c>
      <c r="R874" s="4">
        <f t="shared" si="173"/>
        <v>-8.5131013880857184E-3</v>
      </c>
      <c r="S874">
        <f t="shared" si="174"/>
        <v>0</v>
      </c>
      <c r="T874">
        <f t="shared" si="175"/>
        <v>0</v>
      </c>
      <c r="U874" s="5">
        <f>0</f>
        <v>0</v>
      </c>
      <c r="V874" s="45">
        <f t="shared" si="179"/>
        <v>0.20531503553069455</v>
      </c>
      <c r="W874" s="45">
        <f t="shared" si="180"/>
        <v>0</v>
      </c>
      <c r="X874" s="45">
        <f t="shared" si="181"/>
        <v>0</v>
      </c>
      <c r="Y874" s="46">
        <f>0</f>
        <v>0</v>
      </c>
      <c r="Z874" s="11"/>
    </row>
    <row r="875" spans="11:26" x14ac:dyDescent="0.45">
      <c r="K875" s="39">
        <f t="shared" si="176"/>
        <v>1.51</v>
      </c>
      <c r="L875" s="40">
        <f t="shared" si="169"/>
        <v>41.51</v>
      </c>
      <c r="M875" s="41">
        <f t="shared" si="170"/>
        <v>36.51</v>
      </c>
      <c r="N875" s="49">
        <f t="shared" si="171"/>
        <v>1.4309811760680396E-2</v>
      </c>
      <c r="O875" s="50">
        <f t="shared" si="172"/>
        <v>9.3003957952873771E-3</v>
      </c>
      <c r="P875" s="50">
        <f t="shared" si="177"/>
        <v>1.4309811760680396E-2</v>
      </c>
      <c r="Q875" s="51">
        <f t="shared" si="178"/>
        <v>9.3003957952873771E-3</v>
      </c>
      <c r="R875" s="4">
        <f t="shared" si="173"/>
        <v>-8.4906586645912292E-3</v>
      </c>
      <c r="S875">
        <f t="shared" si="174"/>
        <v>0</v>
      </c>
      <c r="T875">
        <f t="shared" si="175"/>
        <v>0</v>
      </c>
      <c r="U875" s="5">
        <f>0</f>
        <v>0</v>
      </c>
      <c r="V875" s="45">
        <f t="shared" si="179"/>
        <v>0.20540016654457541</v>
      </c>
      <c r="W875" s="45">
        <f t="shared" si="180"/>
        <v>0</v>
      </c>
      <c r="X875" s="45">
        <f t="shared" si="181"/>
        <v>0</v>
      </c>
      <c r="Y875" s="46">
        <f>0</f>
        <v>0</v>
      </c>
      <c r="Z875" s="11"/>
    </row>
    <row r="876" spans="11:26" x14ac:dyDescent="0.45">
      <c r="K876" s="39">
        <f t="shared" si="176"/>
        <v>1.5</v>
      </c>
      <c r="L876" s="40">
        <f t="shared" si="169"/>
        <v>41.5</v>
      </c>
      <c r="M876" s="41">
        <f t="shared" si="170"/>
        <v>36.5</v>
      </c>
      <c r="N876" s="49">
        <f t="shared" si="171"/>
        <v>1.4297485206701604E-2</v>
      </c>
      <c r="O876" s="50">
        <f t="shared" si="172"/>
        <v>9.2923843809716595E-3</v>
      </c>
      <c r="P876" s="50">
        <f t="shared" si="177"/>
        <v>1.4297485206701604E-2</v>
      </c>
      <c r="Q876" s="51">
        <f t="shared" si="178"/>
        <v>9.2923843809716595E-3</v>
      </c>
      <c r="R876" s="4">
        <f t="shared" si="173"/>
        <v>-8.468249853733182E-3</v>
      </c>
      <c r="S876">
        <f t="shared" si="174"/>
        <v>0</v>
      </c>
      <c r="T876">
        <f t="shared" si="175"/>
        <v>0</v>
      </c>
      <c r="U876" s="5">
        <f>0</f>
        <v>0</v>
      </c>
      <c r="V876" s="45">
        <f t="shared" si="179"/>
        <v>0.20548507313122133</v>
      </c>
      <c r="W876" s="45">
        <f t="shared" si="180"/>
        <v>0</v>
      </c>
      <c r="X876" s="45">
        <f t="shared" si="181"/>
        <v>0</v>
      </c>
      <c r="Y876" s="46">
        <f>0</f>
        <v>0</v>
      </c>
      <c r="Z876" s="11"/>
    </row>
    <row r="877" spans="11:26" x14ac:dyDescent="0.45">
      <c r="K877" s="39">
        <f t="shared" si="176"/>
        <v>1.49</v>
      </c>
      <c r="L877" s="40">
        <f t="shared" si="169"/>
        <v>41.49</v>
      </c>
      <c r="M877" s="41">
        <f t="shared" si="170"/>
        <v>36.49</v>
      </c>
      <c r="N877" s="49">
        <f t="shared" si="171"/>
        <v>1.4285169270887157E-2</v>
      </c>
      <c r="O877" s="50">
        <f t="shared" si="172"/>
        <v>9.2843798677342132E-3</v>
      </c>
      <c r="P877" s="50">
        <f t="shared" si="177"/>
        <v>1.4285169270887157E-2</v>
      </c>
      <c r="Q877" s="51">
        <f t="shared" si="178"/>
        <v>9.2843798677342132E-3</v>
      </c>
      <c r="R877" s="4">
        <f t="shared" si="173"/>
        <v>-8.4458749004034522E-3</v>
      </c>
      <c r="S877">
        <f t="shared" si="174"/>
        <v>0</v>
      </c>
      <c r="T877">
        <f t="shared" si="175"/>
        <v>0</v>
      </c>
      <c r="U877" s="5">
        <f>0</f>
        <v>0</v>
      </c>
      <c r="V877" s="45">
        <f t="shared" si="179"/>
        <v>0.20556975562975865</v>
      </c>
      <c r="W877" s="45">
        <f t="shared" si="180"/>
        <v>0</v>
      </c>
      <c r="X877" s="45">
        <f t="shared" si="181"/>
        <v>0</v>
      </c>
      <c r="Y877" s="46">
        <f>0</f>
        <v>0</v>
      </c>
      <c r="Z877" s="11"/>
    </row>
    <row r="878" spans="11:26" x14ac:dyDescent="0.45">
      <c r="K878" s="39">
        <f t="shared" si="176"/>
        <v>1.48</v>
      </c>
      <c r="L878" s="40">
        <f t="shared" si="169"/>
        <v>41.48</v>
      </c>
      <c r="M878" s="41">
        <f t="shared" si="170"/>
        <v>36.479999999999997</v>
      </c>
      <c r="N878" s="49">
        <f t="shared" si="171"/>
        <v>1.4272863944090495E-2</v>
      </c>
      <c r="O878" s="50">
        <f t="shared" si="172"/>
        <v>9.2763822496304046E-3</v>
      </c>
      <c r="P878" s="50">
        <f t="shared" si="177"/>
        <v>1.4272863944090495E-2</v>
      </c>
      <c r="Q878" s="51">
        <f t="shared" si="178"/>
        <v>9.2763822496304046E-3</v>
      </c>
      <c r="R878" s="4">
        <f t="shared" si="173"/>
        <v>-8.423533749601024E-3</v>
      </c>
      <c r="S878">
        <f t="shared" si="174"/>
        <v>0</v>
      </c>
      <c r="T878">
        <f t="shared" si="175"/>
        <v>0</v>
      </c>
      <c r="U878" s="5">
        <f>0</f>
        <v>0</v>
      </c>
      <c r="V878" s="45">
        <f t="shared" si="179"/>
        <v>0.20565421437876269</v>
      </c>
      <c r="W878" s="45">
        <f t="shared" si="180"/>
        <v>0</v>
      </c>
      <c r="X878" s="45">
        <f t="shared" si="181"/>
        <v>0</v>
      </c>
      <c r="Y878" s="46">
        <f>0</f>
        <v>0</v>
      </c>
      <c r="Z878" s="11"/>
    </row>
    <row r="879" spans="11:26" x14ac:dyDescent="0.45">
      <c r="K879" s="39">
        <f t="shared" si="176"/>
        <v>1.47</v>
      </c>
      <c r="L879" s="40">
        <f t="shared" si="169"/>
        <v>41.47</v>
      </c>
      <c r="M879" s="41">
        <f t="shared" si="170"/>
        <v>36.47</v>
      </c>
      <c r="N879" s="49">
        <f t="shared" si="171"/>
        <v>1.4260569217172966E-2</v>
      </c>
      <c r="O879" s="50">
        <f t="shared" si="172"/>
        <v>9.2683915207207365E-3</v>
      </c>
      <c r="P879" s="50">
        <f t="shared" si="177"/>
        <v>1.4260569217172966E-2</v>
      </c>
      <c r="Q879" s="51">
        <f t="shared" si="178"/>
        <v>9.2683915207207365E-3</v>
      </c>
      <c r="R879" s="4">
        <f t="shared" si="173"/>
        <v>-8.4012263464318011E-3</v>
      </c>
      <c r="S879">
        <f t="shared" si="174"/>
        <v>0</v>
      </c>
      <c r="T879">
        <f t="shared" si="175"/>
        <v>0</v>
      </c>
      <c r="U879" s="5">
        <f>0</f>
        <v>0</v>
      </c>
      <c r="V879" s="45">
        <f t="shared" si="179"/>
        <v>0.20573844971625871</v>
      </c>
      <c r="W879" s="45">
        <f t="shared" si="180"/>
        <v>0</v>
      </c>
      <c r="X879" s="45">
        <f t="shared" si="181"/>
        <v>0</v>
      </c>
      <c r="Y879" s="46">
        <f>0</f>
        <v>0</v>
      </c>
      <c r="Z879" s="11"/>
    </row>
    <row r="880" spans="11:26" x14ac:dyDescent="0.45">
      <c r="K880" s="39">
        <f t="shared" si="176"/>
        <v>1.46</v>
      </c>
      <c r="L880" s="40">
        <f t="shared" si="169"/>
        <v>41.46</v>
      </c>
      <c r="M880" s="41">
        <f t="shared" si="170"/>
        <v>36.46</v>
      </c>
      <c r="N880" s="49">
        <f t="shared" si="171"/>
        <v>1.4248285081003769E-2</v>
      </c>
      <c r="O880" s="50">
        <f t="shared" si="172"/>
        <v>9.2604076750708118E-3</v>
      </c>
      <c r="P880" s="50">
        <f t="shared" si="177"/>
        <v>1.4248285081003769E-2</v>
      </c>
      <c r="Q880" s="51">
        <f t="shared" si="178"/>
        <v>9.2604076750708118E-3</v>
      </c>
      <c r="R880" s="4">
        <f t="shared" si="173"/>
        <v>-8.3789526361082757E-3</v>
      </c>
      <c r="S880">
        <f t="shared" si="174"/>
        <v>0</v>
      </c>
      <c r="T880">
        <f t="shared" si="175"/>
        <v>0</v>
      </c>
      <c r="U880" s="5">
        <f>0</f>
        <v>0</v>
      </c>
      <c r="V880" s="45">
        <f t="shared" si="179"/>
        <v>0.20582246197972304</v>
      </c>
      <c r="W880" s="45">
        <f t="shared" si="180"/>
        <v>0</v>
      </c>
      <c r="X880" s="45">
        <f t="shared" si="181"/>
        <v>0</v>
      </c>
      <c r="Y880" s="46">
        <f>0</f>
        <v>0</v>
      </c>
      <c r="Z880" s="11"/>
    </row>
    <row r="881" spans="11:26" x14ac:dyDescent="0.45">
      <c r="K881" s="39">
        <f t="shared" si="176"/>
        <v>1.45</v>
      </c>
      <c r="L881" s="40">
        <f t="shared" si="169"/>
        <v>41.45</v>
      </c>
      <c r="M881" s="41">
        <f t="shared" si="170"/>
        <v>36.450000000000003</v>
      </c>
      <c r="N881" s="49">
        <f t="shared" si="171"/>
        <v>1.4236011526459976E-2</v>
      </c>
      <c r="O881" s="50">
        <f t="shared" si="172"/>
        <v>9.2524307067513526E-3</v>
      </c>
      <c r="P881" s="50">
        <f t="shared" si="177"/>
        <v>1.4236011526459976E-2</v>
      </c>
      <c r="Q881" s="51">
        <f t="shared" si="178"/>
        <v>9.2524307067513526E-3</v>
      </c>
      <c r="R881" s="4">
        <f t="shared" si="173"/>
        <v>-8.3567125639493825E-3</v>
      </c>
      <c r="S881">
        <f t="shared" si="174"/>
        <v>0</v>
      </c>
      <c r="T881">
        <f t="shared" si="175"/>
        <v>0</v>
      </c>
      <c r="U881" s="5">
        <f>0</f>
        <v>0</v>
      </c>
      <c r="V881" s="45">
        <f t="shared" si="179"/>
        <v>0.20590625150608413</v>
      </c>
      <c r="W881" s="45">
        <f t="shared" si="180"/>
        <v>0</v>
      </c>
      <c r="X881" s="45">
        <f t="shared" si="181"/>
        <v>0</v>
      </c>
      <c r="Y881" s="46">
        <f>0</f>
        <v>0</v>
      </c>
      <c r="Z881" s="11"/>
    </row>
    <row r="882" spans="11:26" x14ac:dyDescent="0.45">
      <c r="K882" s="39">
        <f t="shared" si="176"/>
        <v>1.44</v>
      </c>
      <c r="L882" s="40">
        <f t="shared" si="169"/>
        <v>41.44</v>
      </c>
      <c r="M882" s="41">
        <f t="shared" si="170"/>
        <v>36.44</v>
      </c>
      <c r="N882" s="49">
        <f t="shared" si="171"/>
        <v>1.4223748544426491E-2</v>
      </c>
      <c r="O882" s="50">
        <f t="shared" si="172"/>
        <v>9.2444606098381812E-3</v>
      </c>
      <c r="P882" s="50">
        <f t="shared" si="177"/>
        <v>1.4223748544426491E-2</v>
      </c>
      <c r="Q882" s="51">
        <f t="shared" si="178"/>
        <v>9.2444606098381812E-3</v>
      </c>
      <c r="R882" s="4">
        <f t="shared" si="173"/>
        <v>-8.3345060753801537E-3</v>
      </c>
      <c r="S882">
        <f t="shared" si="174"/>
        <v>0</v>
      </c>
      <c r="T882">
        <f t="shared" si="175"/>
        <v>0</v>
      </c>
      <c r="U882" s="5">
        <f>0</f>
        <v>0</v>
      </c>
      <c r="V882" s="45">
        <f t="shared" si="179"/>
        <v>0.20598981863172364</v>
      </c>
      <c r="W882" s="45">
        <f t="shared" si="180"/>
        <v>0</v>
      </c>
      <c r="X882" s="45">
        <f t="shared" si="181"/>
        <v>0</v>
      </c>
      <c r="Y882" s="46">
        <f>0</f>
        <v>0</v>
      </c>
      <c r="Z882" s="11"/>
    </row>
    <row r="883" spans="11:26" x14ac:dyDescent="0.45">
      <c r="K883" s="39">
        <f t="shared" si="176"/>
        <v>1.43</v>
      </c>
      <c r="L883" s="40">
        <f t="shared" si="169"/>
        <v>41.43</v>
      </c>
      <c r="M883" s="41">
        <f t="shared" si="170"/>
        <v>36.43</v>
      </c>
      <c r="N883" s="49">
        <f t="shared" si="171"/>
        <v>1.4211496125796121E-2</v>
      </c>
      <c r="O883" s="50">
        <f t="shared" si="172"/>
        <v>9.2364973784122371E-3</v>
      </c>
      <c r="P883" s="50">
        <f t="shared" si="177"/>
        <v>1.4211496125796121E-2</v>
      </c>
      <c r="Q883" s="51">
        <f t="shared" si="178"/>
        <v>9.2364973784122371E-3</v>
      </c>
      <c r="R883" s="4">
        <f t="shared" si="173"/>
        <v>-8.3123331159316097E-3</v>
      </c>
      <c r="S883">
        <f t="shared" si="174"/>
        <v>0</v>
      </c>
      <c r="T883">
        <f t="shared" si="175"/>
        <v>0</v>
      </c>
      <c r="U883" s="5">
        <f>0</f>
        <v>0</v>
      </c>
      <c r="V883" s="45">
        <f t="shared" si="179"/>
        <v>0.20607316369247744</v>
      </c>
      <c r="W883" s="45">
        <f t="shared" si="180"/>
        <v>0</v>
      </c>
      <c r="X883" s="45">
        <f t="shared" si="181"/>
        <v>0</v>
      </c>
      <c r="Y883" s="46">
        <f>0</f>
        <v>0</v>
      </c>
      <c r="Z883" s="11"/>
    </row>
    <row r="884" spans="11:26" x14ac:dyDescent="0.45">
      <c r="K884" s="39">
        <f t="shared" si="176"/>
        <v>1.42</v>
      </c>
      <c r="L884" s="40">
        <f t="shared" si="169"/>
        <v>41.42</v>
      </c>
      <c r="M884" s="41">
        <f t="shared" si="170"/>
        <v>36.42</v>
      </c>
      <c r="N884" s="49">
        <f t="shared" si="171"/>
        <v>1.4199254261469486E-2</v>
      </c>
      <c r="O884" s="50">
        <f t="shared" si="172"/>
        <v>9.2285410065595479E-3</v>
      </c>
      <c r="P884" s="50">
        <f t="shared" si="177"/>
        <v>1.4199254261469486E-2</v>
      </c>
      <c r="Q884" s="51">
        <f t="shared" si="178"/>
        <v>9.2285410065595479E-3</v>
      </c>
      <c r="R884" s="4">
        <f t="shared" si="173"/>
        <v>-8.2901936312404015E-3</v>
      </c>
      <c r="S884">
        <f t="shared" si="174"/>
        <v>0</v>
      </c>
      <c r="T884">
        <f t="shared" si="175"/>
        <v>0</v>
      </c>
      <c r="U884" s="5">
        <f>0</f>
        <v>0</v>
      </c>
      <c r="V884" s="45">
        <f t="shared" si="179"/>
        <v>0.20615628702363675</v>
      </c>
      <c r="W884" s="45">
        <f t="shared" si="180"/>
        <v>0</v>
      </c>
      <c r="X884" s="45">
        <f t="shared" si="181"/>
        <v>0</v>
      </c>
      <c r="Y884" s="46">
        <f>0</f>
        <v>0</v>
      </c>
      <c r="Z884" s="11"/>
    </row>
    <row r="885" spans="11:26" x14ac:dyDescent="0.45">
      <c r="K885" s="39">
        <f t="shared" si="176"/>
        <v>1.41</v>
      </c>
      <c r="L885" s="40">
        <f t="shared" si="169"/>
        <v>41.41</v>
      </c>
      <c r="M885" s="41">
        <f t="shared" si="170"/>
        <v>36.409999999999997</v>
      </c>
      <c r="N885" s="49">
        <f t="shared" si="171"/>
        <v>1.4187022942355023E-2</v>
      </c>
      <c r="O885" s="50">
        <f t="shared" si="172"/>
        <v>9.2205914883712308E-3</v>
      </c>
      <c r="P885" s="50">
        <f t="shared" si="177"/>
        <v>1.4187022942355023E-2</v>
      </c>
      <c r="Q885" s="51">
        <f t="shared" si="178"/>
        <v>9.2205914883712308E-3</v>
      </c>
      <c r="R885" s="4">
        <f t="shared" si="173"/>
        <v>-8.2680875670486081E-3</v>
      </c>
      <c r="S885">
        <f t="shared" si="174"/>
        <v>0</v>
      </c>
      <c r="T885">
        <f t="shared" si="175"/>
        <v>0</v>
      </c>
      <c r="U885" s="5">
        <f>0</f>
        <v>0</v>
      </c>
      <c r="V885" s="45">
        <f t="shared" si="179"/>
        <v>0.20623918895994917</v>
      </c>
      <c r="W885" s="45">
        <f t="shared" si="180"/>
        <v>0</v>
      </c>
      <c r="X885" s="45">
        <f t="shared" si="181"/>
        <v>0</v>
      </c>
      <c r="Y885" s="46">
        <f>0</f>
        <v>0</v>
      </c>
      <c r="Z885" s="11"/>
    </row>
    <row r="886" spans="11:26" x14ac:dyDescent="0.45">
      <c r="K886" s="39">
        <f t="shared" si="176"/>
        <v>1.4</v>
      </c>
      <c r="L886" s="40">
        <f t="shared" si="169"/>
        <v>41.4</v>
      </c>
      <c r="M886" s="41">
        <f t="shared" si="170"/>
        <v>36.4</v>
      </c>
      <c r="N886" s="49">
        <f t="shared" si="171"/>
        <v>1.4174802159369058E-2</v>
      </c>
      <c r="O886" s="50">
        <f t="shared" si="172"/>
        <v>9.2126488179435102E-3</v>
      </c>
      <c r="P886" s="50">
        <f t="shared" si="177"/>
        <v>1.4174802159369058E-2</v>
      </c>
      <c r="Q886" s="51">
        <f t="shared" si="178"/>
        <v>9.2126488179435102E-3</v>
      </c>
      <c r="R886" s="4">
        <f t="shared" si="173"/>
        <v>-8.2460148692035662E-3</v>
      </c>
      <c r="S886">
        <f t="shared" si="174"/>
        <v>0</v>
      </c>
      <c r="T886">
        <f t="shared" si="175"/>
        <v>0</v>
      </c>
      <c r="U886" s="5">
        <f>0</f>
        <v>0</v>
      </c>
      <c r="V886" s="45">
        <f t="shared" si="179"/>
        <v>0.20632186983561965</v>
      </c>
      <c r="W886" s="45">
        <f t="shared" si="180"/>
        <v>0</v>
      </c>
      <c r="X886" s="45">
        <f t="shared" si="181"/>
        <v>0</v>
      </c>
      <c r="Y886" s="46">
        <f>0</f>
        <v>0</v>
      </c>
      <c r="Z886" s="11"/>
    </row>
    <row r="887" spans="11:26" x14ac:dyDescent="0.45">
      <c r="K887" s="39">
        <f t="shared" si="176"/>
        <v>1.39</v>
      </c>
      <c r="L887" s="40">
        <f t="shared" si="169"/>
        <v>41.39</v>
      </c>
      <c r="M887" s="41">
        <f t="shared" si="170"/>
        <v>36.39</v>
      </c>
      <c r="N887" s="49">
        <f t="shared" si="171"/>
        <v>1.41625919034357E-2</v>
      </c>
      <c r="O887" s="50">
        <f t="shared" si="172"/>
        <v>9.2047129893776825E-3</v>
      </c>
      <c r="P887" s="50">
        <f t="shared" si="177"/>
        <v>1.41625919034357E-2</v>
      </c>
      <c r="Q887" s="51">
        <f t="shared" si="178"/>
        <v>9.2047129893776825E-3</v>
      </c>
      <c r="R887" s="4">
        <f t="shared" si="173"/>
        <v>-8.2239754836575217E-3</v>
      </c>
      <c r="S887">
        <f t="shared" si="174"/>
        <v>0</v>
      </c>
      <c r="T887">
        <f t="shared" si="175"/>
        <v>0</v>
      </c>
      <c r="U887" s="5">
        <f>0</f>
        <v>0</v>
      </c>
      <c r="V887" s="45">
        <f t="shared" si="179"/>
        <v>0.20640432998431169</v>
      </c>
      <c r="W887" s="45">
        <f t="shared" si="180"/>
        <v>0</v>
      </c>
      <c r="X887" s="45">
        <f t="shared" si="181"/>
        <v>0</v>
      </c>
      <c r="Y887" s="46">
        <f>0</f>
        <v>0</v>
      </c>
      <c r="Z887" s="11"/>
    </row>
    <row r="888" spans="11:26" x14ac:dyDescent="0.45">
      <c r="K888" s="39">
        <f t="shared" si="176"/>
        <v>1.38</v>
      </c>
      <c r="L888" s="40">
        <f t="shared" si="169"/>
        <v>41.38</v>
      </c>
      <c r="M888" s="41">
        <f t="shared" si="170"/>
        <v>36.380000000000003</v>
      </c>
      <c r="N888" s="49">
        <f t="shared" si="171"/>
        <v>1.4150392165486875E-2</v>
      </c>
      <c r="O888" s="50">
        <f t="shared" si="172"/>
        <v>9.1967839967801272E-3</v>
      </c>
      <c r="P888" s="50">
        <f t="shared" si="177"/>
        <v>1.4150392165486875E-2</v>
      </c>
      <c r="Q888" s="51">
        <f t="shared" si="178"/>
        <v>9.1967839967801272E-3</v>
      </c>
      <c r="R888" s="4">
        <f t="shared" si="173"/>
        <v>-8.2019693564674631E-3</v>
      </c>
      <c r="S888">
        <f t="shared" si="174"/>
        <v>0</v>
      </c>
      <c r="T888">
        <f t="shared" si="175"/>
        <v>0</v>
      </c>
      <c r="U888" s="5">
        <f>0</f>
        <v>0</v>
      </c>
      <c r="V888" s="45">
        <f t="shared" si="179"/>
        <v>0.20648656973914825</v>
      </c>
      <c r="W888" s="45">
        <f t="shared" si="180"/>
        <v>0</v>
      </c>
      <c r="X888" s="45">
        <f t="shared" si="181"/>
        <v>0</v>
      </c>
      <c r="Y888" s="46">
        <f>0</f>
        <v>0</v>
      </c>
      <c r="Z888" s="11"/>
    </row>
    <row r="889" spans="11:26" x14ac:dyDescent="0.45">
      <c r="K889" s="39">
        <f t="shared" si="176"/>
        <v>1.37</v>
      </c>
      <c r="L889" s="40">
        <f t="shared" si="169"/>
        <v>41.37</v>
      </c>
      <c r="M889" s="41">
        <f t="shared" si="170"/>
        <v>36.369999999999997</v>
      </c>
      <c r="N889" s="49">
        <f t="shared" si="171"/>
        <v>1.4138202936462327E-2</v>
      </c>
      <c r="O889" s="50">
        <f t="shared" si="172"/>
        <v>9.188861834262296E-3</v>
      </c>
      <c r="P889" s="50">
        <f t="shared" si="177"/>
        <v>1.4138202936462327E-2</v>
      </c>
      <c r="Q889" s="51">
        <f t="shared" si="178"/>
        <v>9.188861834262296E-3</v>
      </c>
      <c r="R889" s="4">
        <f t="shared" si="173"/>
        <v>-8.1799964337948596E-3</v>
      </c>
      <c r="S889">
        <f t="shared" si="174"/>
        <v>0</v>
      </c>
      <c r="T889">
        <f t="shared" si="175"/>
        <v>0</v>
      </c>
      <c r="U889" s="5">
        <f>0</f>
        <v>0</v>
      </c>
      <c r="V889" s="45">
        <f t="shared" si="179"/>
        <v>0.20656858943271292</v>
      </c>
      <c r="W889" s="45">
        <f t="shared" si="180"/>
        <v>0</v>
      </c>
      <c r="X889" s="45">
        <f t="shared" si="181"/>
        <v>0</v>
      </c>
      <c r="Y889" s="46">
        <f>0</f>
        <v>0</v>
      </c>
      <c r="Z889" s="11"/>
    </row>
    <row r="890" spans="11:26" x14ac:dyDescent="0.45">
      <c r="K890" s="39">
        <f t="shared" si="176"/>
        <v>1.36</v>
      </c>
      <c r="L890" s="40">
        <f t="shared" si="169"/>
        <v>41.36</v>
      </c>
      <c r="M890" s="41">
        <f t="shared" si="170"/>
        <v>36.36</v>
      </c>
      <c r="N890" s="49">
        <f t="shared" si="171"/>
        <v>1.4126024207309632E-2</v>
      </c>
      <c r="O890" s="50">
        <f t="shared" si="172"/>
        <v>9.1809464959407318E-3</v>
      </c>
      <c r="P890" s="50">
        <f t="shared" si="177"/>
        <v>1.4126024207309632E-2</v>
      </c>
      <c r="Q890" s="51">
        <f t="shared" si="178"/>
        <v>9.1809464959407318E-3</v>
      </c>
      <c r="R890" s="4">
        <f t="shared" si="173"/>
        <v>-8.1580566619054752E-3</v>
      </c>
      <c r="S890">
        <f t="shared" si="174"/>
        <v>0</v>
      </c>
      <c r="T890">
        <f t="shared" si="175"/>
        <v>0</v>
      </c>
      <c r="U890" s="5">
        <f>0</f>
        <v>0</v>
      </c>
      <c r="V890" s="45">
        <f t="shared" si="179"/>
        <v>0.20665038939705085</v>
      </c>
      <c r="W890" s="45">
        <f t="shared" si="180"/>
        <v>0</v>
      </c>
      <c r="X890" s="45">
        <f t="shared" si="181"/>
        <v>0</v>
      </c>
      <c r="Y890" s="46">
        <f>0</f>
        <v>0</v>
      </c>
      <c r="Z890" s="11"/>
    </row>
    <row r="891" spans="11:26" x14ac:dyDescent="0.45">
      <c r="K891" s="39">
        <f t="shared" si="176"/>
        <v>1.35</v>
      </c>
      <c r="L891" s="40">
        <f t="shared" si="169"/>
        <v>41.35</v>
      </c>
      <c r="M891" s="41">
        <f t="shared" si="170"/>
        <v>36.35</v>
      </c>
      <c r="N891" s="49">
        <f t="shared" si="171"/>
        <v>1.4113855968984127E-2</v>
      </c>
      <c r="O891" s="50">
        <f t="shared" si="172"/>
        <v>9.1730379759370258E-3</v>
      </c>
      <c r="P891" s="50">
        <f t="shared" si="177"/>
        <v>1.4113855968984127E-2</v>
      </c>
      <c r="Q891" s="51">
        <f t="shared" si="178"/>
        <v>9.1730379759370258E-3</v>
      </c>
      <c r="R891" s="4">
        <f t="shared" si="173"/>
        <v>-8.1361499871690501E-3</v>
      </c>
      <c r="S891">
        <f t="shared" si="174"/>
        <v>0</v>
      </c>
      <c r="T891">
        <f t="shared" si="175"/>
        <v>0</v>
      </c>
      <c r="U891" s="5">
        <f>0</f>
        <v>0</v>
      </c>
      <c r="V891" s="45">
        <f t="shared" si="179"/>
        <v>0.20673196996366991</v>
      </c>
      <c r="W891" s="45">
        <f t="shared" si="180"/>
        <v>0</v>
      </c>
      <c r="X891" s="45">
        <f t="shared" si="181"/>
        <v>0</v>
      </c>
      <c r="Y891" s="46">
        <f>0</f>
        <v>0</v>
      </c>
      <c r="Z891" s="11"/>
    </row>
    <row r="892" spans="11:26" x14ac:dyDescent="0.45">
      <c r="K892" s="39">
        <f t="shared" si="176"/>
        <v>1.34</v>
      </c>
      <c r="L892" s="40">
        <f t="shared" si="169"/>
        <v>41.34</v>
      </c>
      <c r="M892" s="41">
        <f t="shared" si="170"/>
        <v>36.340000000000003</v>
      </c>
      <c r="N892" s="49">
        <f t="shared" si="171"/>
        <v>1.4101698212448947E-2</v>
      </c>
      <c r="O892" s="50">
        <f t="shared" si="172"/>
        <v>9.1651362683778399E-3</v>
      </c>
      <c r="P892" s="50">
        <f t="shared" si="177"/>
        <v>1.4101698212448947E-2</v>
      </c>
      <c r="Q892" s="51">
        <f t="shared" si="178"/>
        <v>9.1651362683778399E-3</v>
      </c>
      <c r="R892" s="4">
        <f t="shared" si="173"/>
        <v>-8.1142763560591163E-3</v>
      </c>
      <c r="S892">
        <f t="shared" si="174"/>
        <v>0</v>
      </c>
      <c r="T892">
        <f t="shared" si="175"/>
        <v>0</v>
      </c>
      <c r="U892" s="5">
        <f>0</f>
        <v>0</v>
      </c>
      <c r="V892" s="45">
        <f t="shared" si="179"/>
        <v>0.20681333146354161</v>
      </c>
      <c r="W892" s="45">
        <f t="shared" si="180"/>
        <v>0</v>
      </c>
      <c r="X892" s="45">
        <f t="shared" si="181"/>
        <v>0</v>
      </c>
      <c r="Y892" s="46">
        <f>0</f>
        <v>0</v>
      </c>
      <c r="Z892" s="11"/>
    </row>
    <row r="893" spans="11:26" x14ac:dyDescent="0.45">
      <c r="K893" s="39">
        <f t="shared" si="176"/>
        <v>1.33</v>
      </c>
      <c r="L893" s="40">
        <f t="shared" si="169"/>
        <v>41.33</v>
      </c>
      <c r="M893" s="41">
        <f t="shared" si="170"/>
        <v>36.33</v>
      </c>
      <c r="N893" s="49">
        <f t="shared" si="171"/>
        <v>1.408955092867502E-2</v>
      </c>
      <c r="O893" s="50">
        <f t="shared" si="172"/>
        <v>9.1572413673948905E-3</v>
      </c>
      <c r="P893" s="50">
        <f t="shared" si="177"/>
        <v>1.408955092867502E-2</v>
      </c>
      <c r="Q893" s="51">
        <f t="shared" si="178"/>
        <v>9.1572413673948905E-3</v>
      </c>
      <c r="R893" s="4">
        <f t="shared" si="173"/>
        <v>-8.0924357151527689E-3</v>
      </c>
      <c r="S893">
        <f t="shared" si="174"/>
        <v>0</v>
      </c>
      <c r="T893">
        <f t="shared" si="175"/>
        <v>0</v>
      </c>
      <c r="U893" s="5">
        <f>0</f>
        <v>0</v>
      </c>
      <c r="V893" s="45">
        <f t="shared" si="179"/>
        <v>0.20689447422710219</v>
      </c>
      <c r="W893" s="45">
        <f t="shared" si="180"/>
        <v>0</v>
      </c>
      <c r="X893" s="45">
        <f t="shared" si="181"/>
        <v>0</v>
      </c>
      <c r="Y893" s="46">
        <f>0</f>
        <v>0</v>
      </c>
      <c r="Z893" s="11"/>
    </row>
    <row r="894" spans="11:26" x14ac:dyDescent="0.45">
      <c r="K894" s="39">
        <f t="shared" si="176"/>
        <v>1.32</v>
      </c>
      <c r="L894" s="40">
        <f t="shared" si="169"/>
        <v>41.32</v>
      </c>
      <c r="M894" s="41">
        <f t="shared" si="170"/>
        <v>36.32</v>
      </c>
      <c r="N894" s="49">
        <f t="shared" si="171"/>
        <v>1.4077414108641058E-2</v>
      </c>
      <c r="O894" s="50">
        <f t="shared" si="172"/>
        <v>9.1493532671249652E-3</v>
      </c>
      <c r="P894" s="50">
        <f t="shared" si="177"/>
        <v>1.4077414108641058E-2</v>
      </c>
      <c r="Q894" s="51">
        <f t="shared" si="178"/>
        <v>9.1493532671249652E-3</v>
      </c>
      <c r="R894" s="4">
        <f t="shared" si="173"/>
        <v>-8.0706280111304228E-3</v>
      </c>
      <c r="S894">
        <f t="shared" si="174"/>
        <v>0</v>
      </c>
      <c r="T894">
        <f t="shared" si="175"/>
        <v>0</v>
      </c>
      <c r="U894" s="5">
        <f>0</f>
        <v>0</v>
      </c>
      <c r="V894" s="45">
        <f t="shared" si="179"/>
        <v>0.20697539858425373</v>
      </c>
      <c r="W894" s="45">
        <f t="shared" si="180"/>
        <v>0</v>
      </c>
      <c r="X894" s="45">
        <f t="shared" si="181"/>
        <v>0</v>
      </c>
      <c r="Y894" s="46">
        <f>0</f>
        <v>0</v>
      </c>
      <c r="Z894" s="11"/>
    </row>
    <row r="895" spans="11:26" x14ac:dyDescent="0.45">
      <c r="K895" s="39">
        <f t="shared" si="176"/>
        <v>1.31</v>
      </c>
      <c r="L895" s="40">
        <f t="shared" si="169"/>
        <v>41.31</v>
      </c>
      <c r="M895" s="41">
        <f t="shared" si="170"/>
        <v>36.31</v>
      </c>
      <c r="N895" s="49">
        <f t="shared" si="171"/>
        <v>1.4065287743333528E-2</v>
      </c>
      <c r="O895" s="50">
        <f t="shared" si="172"/>
        <v>9.1414719617098836E-3</v>
      </c>
      <c r="P895" s="50">
        <f t="shared" si="177"/>
        <v>1.4065287743333528E-2</v>
      </c>
      <c r="Q895" s="51">
        <f t="shared" si="178"/>
        <v>9.1414719617098836E-3</v>
      </c>
      <c r="R895" s="4">
        <f t="shared" si="173"/>
        <v>-8.0488531907755689E-3</v>
      </c>
      <c r="S895">
        <f t="shared" si="174"/>
        <v>0</v>
      </c>
      <c r="T895">
        <f t="shared" si="175"/>
        <v>0</v>
      </c>
      <c r="U895" s="5">
        <f>0</f>
        <v>0</v>
      </c>
      <c r="V895" s="45">
        <f t="shared" si="179"/>
        <v>0.20705610486436504</v>
      </c>
      <c r="W895" s="45">
        <f t="shared" si="180"/>
        <v>0</v>
      </c>
      <c r="X895" s="45">
        <f t="shared" si="181"/>
        <v>0</v>
      </c>
      <c r="Y895" s="46">
        <f>0</f>
        <v>0</v>
      </c>
      <c r="Z895" s="11"/>
    </row>
    <row r="896" spans="11:26" x14ac:dyDescent="0.45">
      <c r="K896" s="39">
        <f t="shared" si="176"/>
        <v>1.3</v>
      </c>
      <c r="L896" s="40">
        <f t="shared" si="169"/>
        <v>41.3</v>
      </c>
      <c r="M896" s="41">
        <f t="shared" si="170"/>
        <v>36.299999999999997</v>
      </c>
      <c r="N896" s="49">
        <f t="shared" si="171"/>
        <v>1.4053171823746668E-2</v>
      </c>
      <c r="O896" s="50">
        <f t="shared" si="172"/>
        <v>9.1335974452965134E-3</v>
      </c>
      <c r="P896" s="50">
        <f t="shared" si="177"/>
        <v>1.4053171823746668E-2</v>
      </c>
      <c r="Q896" s="51">
        <f t="shared" si="178"/>
        <v>9.1335974452965134E-3</v>
      </c>
      <c r="R896" s="4">
        <f t="shared" si="173"/>
        <v>-8.0271112009745529E-3</v>
      </c>
      <c r="S896">
        <f t="shared" si="174"/>
        <v>0</v>
      </c>
      <c r="T896">
        <f t="shared" si="175"/>
        <v>0</v>
      </c>
      <c r="U896" s="5">
        <f>0</f>
        <v>0</v>
      </c>
      <c r="V896" s="45">
        <f t="shared" si="179"/>
        <v>0.2071365933962728</v>
      </c>
      <c r="W896" s="45">
        <f t="shared" si="180"/>
        <v>0</v>
      </c>
      <c r="X896" s="45">
        <f t="shared" si="181"/>
        <v>0</v>
      </c>
      <c r="Y896" s="46">
        <f>0</f>
        <v>0</v>
      </c>
      <c r="Z896" s="11"/>
    </row>
    <row r="897" spans="11:26" x14ac:dyDescent="0.45">
      <c r="K897" s="39">
        <f t="shared" si="176"/>
        <v>1.29</v>
      </c>
      <c r="L897" s="40">
        <f t="shared" si="169"/>
        <v>41.29</v>
      </c>
      <c r="M897" s="41">
        <f t="shared" si="170"/>
        <v>36.29</v>
      </c>
      <c r="N897" s="49">
        <f t="shared" si="171"/>
        <v>1.4041066340882482E-2</v>
      </c>
      <c r="O897" s="50">
        <f t="shared" si="172"/>
        <v>9.1257297120367828E-3</v>
      </c>
      <c r="P897" s="50">
        <f t="shared" si="177"/>
        <v>1.4041066340882482E-2</v>
      </c>
      <c r="Q897" s="51">
        <f t="shared" si="178"/>
        <v>9.1257297120367828E-3</v>
      </c>
      <c r="R897" s="4">
        <f t="shared" si="173"/>
        <v>-8.0054019887163489E-3</v>
      </c>
      <c r="S897">
        <f t="shared" si="174"/>
        <v>0</v>
      </c>
      <c r="T897">
        <f t="shared" si="175"/>
        <v>0</v>
      </c>
      <c r="U897" s="5">
        <f>0</f>
        <v>0</v>
      </c>
      <c r="V897" s="45">
        <f t="shared" si="179"/>
        <v>0.20721686450828256</v>
      </c>
      <c r="W897" s="45">
        <f t="shared" si="180"/>
        <v>0</v>
      </c>
      <c r="X897" s="45">
        <f t="shared" si="181"/>
        <v>0</v>
      </c>
      <c r="Y897" s="46">
        <f>0</f>
        <v>0</v>
      </c>
      <c r="Z897" s="11"/>
    </row>
    <row r="898" spans="11:26" x14ac:dyDescent="0.45">
      <c r="K898" s="39">
        <f t="shared" si="176"/>
        <v>1.28</v>
      </c>
      <c r="L898" s="40">
        <f t="shared" si="169"/>
        <v>41.28</v>
      </c>
      <c r="M898" s="41">
        <f t="shared" si="170"/>
        <v>36.28</v>
      </c>
      <c r="N898" s="49">
        <f t="shared" si="171"/>
        <v>1.4028971285750709E-2</v>
      </c>
      <c r="O898" s="50">
        <f t="shared" si="172"/>
        <v>9.1178687560876364E-3</v>
      </c>
      <c r="P898" s="50">
        <f t="shared" si="177"/>
        <v>1.4028971285750709E-2</v>
      </c>
      <c r="Q898" s="51">
        <f t="shared" si="178"/>
        <v>9.1178687560876364E-3</v>
      </c>
      <c r="R898" s="4">
        <f t="shared" si="173"/>
        <v>-7.9837255010923192E-3</v>
      </c>
      <c r="S898">
        <f t="shared" si="174"/>
        <v>0</v>
      </c>
      <c r="T898">
        <f t="shared" si="175"/>
        <v>0</v>
      </c>
      <c r="U898" s="5">
        <f>0</f>
        <v>0</v>
      </c>
      <c r="V898" s="45">
        <f t="shared" si="179"/>
        <v>0.20729691852816973</v>
      </c>
      <c r="W898" s="45">
        <f t="shared" si="180"/>
        <v>0</v>
      </c>
      <c r="X898" s="45">
        <f t="shared" si="181"/>
        <v>0</v>
      </c>
      <c r="Y898" s="46">
        <f>0</f>
        <v>0</v>
      </c>
      <c r="Z898" s="11"/>
    </row>
    <row r="899" spans="11:26" x14ac:dyDescent="0.45">
      <c r="K899" s="39">
        <f t="shared" si="176"/>
        <v>1.27</v>
      </c>
      <c r="L899" s="40">
        <f t="shared" si="169"/>
        <v>41.27</v>
      </c>
      <c r="M899" s="41">
        <f t="shared" si="170"/>
        <v>36.270000000000003</v>
      </c>
      <c r="N899" s="49">
        <f t="shared" si="171"/>
        <v>1.4016886649368846E-2</v>
      </c>
      <c r="O899" s="50">
        <f t="shared" si="172"/>
        <v>9.1100145716110602E-3</v>
      </c>
      <c r="P899" s="50">
        <f t="shared" si="177"/>
        <v>1.4016886649368846E-2</v>
      </c>
      <c r="Q899" s="51">
        <f t="shared" si="178"/>
        <v>9.1100145716110602E-3</v>
      </c>
      <c r="R899" s="4">
        <f t="shared" si="173"/>
        <v>-7.9620816852959773E-3</v>
      </c>
      <c r="S899">
        <f t="shared" si="174"/>
        <v>0</v>
      </c>
      <c r="T899">
        <f t="shared" si="175"/>
        <v>0</v>
      </c>
      <c r="U899" s="5">
        <f>0</f>
        <v>0</v>
      </c>
      <c r="V899" s="45">
        <f t="shared" si="179"/>
        <v>0.20737675578318066</v>
      </c>
      <c r="W899" s="45">
        <f t="shared" si="180"/>
        <v>0</v>
      </c>
      <c r="X899" s="45">
        <f t="shared" si="181"/>
        <v>0</v>
      </c>
      <c r="Y899" s="46">
        <f>0</f>
        <v>0</v>
      </c>
      <c r="Z899" s="11"/>
    </row>
    <row r="900" spans="11:26" x14ac:dyDescent="0.45">
      <c r="K900" s="39">
        <f t="shared" si="176"/>
        <v>1.26</v>
      </c>
      <c r="L900" s="40">
        <f t="shared" si="169"/>
        <v>41.26</v>
      </c>
      <c r="M900" s="41">
        <f t="shared" si="170"/>
        <v>36.26</v>
      </c>
      <c r="N900" s="49">
        <f t="shared" si="171"/>
        <v>1.4004812422762115E-2</v>
      </c>
      <c r="O900" s="50">
        <f t="shared" si="172"/>
        <v>9.1021671527740655E-3</v>
      </c>
      <c r="P900" s="50">
        <f t="shared" si="177"/>
        <v>1.4004812422762115E-2</v>
      </c>
      <c r="Q900" s="51">
        <f t="shared" si="178"/>
        <v>9.1021671527740655E-3</v>
      </c>
      <c r="R900" s="4">
        <f t="shared" si="173"/>
        <v>-7.9404704886227827E-3</v>
      </c>
      <c r="S900">
        <f t="shared" si="174"/>
        <v>0</v>
      </c>
      <c r="T900">
        <f t="shared" si="175"/>
        <v>0</v>
      </c>
      <c r="U900" s="5">
        <f>0</f>
        <v>0</v>
      </c>
      <c r="V900" s="45">
        <f t="shared" si="179"/>
        <v>0.2074563766000336</v>
      </c>
      <c r="W900" s="45">
        <f t="shared" si="180"/>
        <v>0</v>
      </c>
      <c r="X900" s="45">
        <f t="shared" si="181"/>
        <v>0</v>
      </c>
      <c r="Y900" s="46">
        <f>0</f>
        <v>0</v>
      </c>
      <c r="Z900" s="11"/>
    </row>
    <row r="901" spans="11:26" x14ac:dyDescent="0.45">
      <c r="K901" s="39">
        <f t="shared" si="176"/>
        <v>1.25</v>
      </c>
      <c r="L901" s="40">
        <f t="shared" si="169"/>
        <v>41.25</v>
      </c>
      <c r="M901" s="41">
        <f t="shared" si="170"/>
        <v>36.25</v>
      </c>
      <c r="N901" s="49">
        <f t="shared" si="171"/>
        <v>1.3992748596963483E-2</v>
      </c>
      <c r="O901" s="50">
        <f t="shared" si="172"/>
        <v>9.0943264937486997E-3</v>
      </c>
      <c r="P901" s="50">
        <f t="shared" si="177"/>
        <v>1.3992748596963483E-2</v>
      </c>
      <c r="Q901" s="51">
        <f t="shared" si="178"/>
        <v>9.0943264937486997E-3</v>
      </c>
      <c r="R901" s="4">
        <f t="shared" si="173"/>
        <v>-7.9188918584698828E-3</v>
      </c>
      <c r="S901">
        <f t="shared" si="174"/>
        <v>0</v>
      </c>
      <c r="T901">
        <f t="shared" si="175"/>
        <v>0</v>
      </c>
      <c r="U901" s="5">
        <f>0</f>
        <v>0</v>
      </c>
      <c r="V901" s="45">
        <f t="shared" si="179"/>
        <v>0.20753578130491984</v>
      </c>
      <c r="W901" s="45">
        <f t="shared" si="180"/>
        <v>0</v>
      </c>
      <c r="X901" s="45">
        <f t="shared" si="181"/>
        <v>0</v>
      </c>
      <c r="Y901" s="46">
        <f>0</f>
        <v>0</v>
      </c>
      <c r="Z901" s="11"/>
    </row>
    <row r="902" spans="11:26" x14ac:dyDescent="0.45">
      <c r="K902" s="39">
        <f t="shared" si="176"/>
        <v>1.24</v>
      </c>
      <c r="L902" s="40">
        <f t="shared" si="169"/>
        <v>41.24</v>
      </c>
      <c r="M902" s="41">
        <f t="shared" si="170"/>
        <v>36.24</v>
      </c>
      <c r="N902" s="49">
        <f t="shared" si="171"/>
        <v>1.3980695163013633E-2</v>
      </c>
      <c r="O902" s="50">
        <f t="shared" si="172"/>
        <v>9.0864925887120199E-3</v>
      </c>
      <c r="P902" s="50">
        <f t="shared" si="177"/>
        <v>1.3980695163013633E-2</v>
      </c>
      <c r="Q902" s="51">
        <f t="shared" si="178"/>
        <v>9.0864925887120199E-3</v>
      </c>
      <c r="R902" s="4">
        <f t="shared" si="173"/>
        <v>-7.8973457423359168E-3</v>
      </c>
      <c r="S902">
        <f t="shared" si="174"/>
        <v>0</v>
      </c>
      <c r="T902">
        <f t="shared" si="175"/>
        <v>0</v>
      </c>
      <c r="U902" s="5">
        <f>0</f>
        <v>0</v>
      </c>
      <c r="V902" s="45">
        <f t="shared" si="179"/>
        <v>0.20761497022350453</v>
      </c>
      <c r="W902" s="45">
        <f t="shared" si="180"/>
        <v>0</v>
      </c>
      <c r="X902" s="45">
        <f t="shared" si="181"/>
        <v>0</v>
      </c>
      <c r="Y902" s="46">
        <f>0</f>
        <v>0</v>
      </c>
      <c r="Z902" s="11"/>
    </row>
    <row r="903" spans="11:26" x14ac:dyDescent="0.45">
      <c r="K903" s="39">
        <f t="shared" si="176"/>
        <v>1.23</v>
      </c>
      <c r="L903" s="40">
        <f t="shared" si="169"/>
        <v>41.23</v>
      </c>
      <c r="M903" s="41">
        <f t="shared" si="170"/>
        <v>36.229999999999997</v>
      </c>
      <c r="N903" s="49">
        <f t="shared" si="171"/>
        <v>1.3968652111960961E-2</v>
      </c>
      <c r="O903" s="50">
        <f t="shared" si="172"/>
        <v>9.0786654318460933E-3</v>
      </c>
      <c r="P903" s="50">
        <f t="shared" si="177"/>
        <v>1.3968652111960961E-2</v>
      </c>
      <c r="Q903" s="51">
        <f t="shared" si="178"/>
        <v>9.0786654318460933E-3</v>
      </c>
      <c r="R903" s="4">
        <f t="shared" si="173"/>
        <v>-7.8758320878207361E-3</v>
      </c>
      <c r="S903">
        <f t="shared" si="174"/>
        <v>0</v>
      </c>
      <c r="T903">
        <f t="shared" si="175"/>
        <v>0</v>
      </c>
      <c r="U903" s="5">
        <f>0</f>
        <v>0</v>
      </c>
      <c r="V903" s="45">
        <f t="shared" si="179"/>
        <v>0.20769394368092789</v>
      </c>
      <c r="W903" s="45">
        <f t="shared" si="180"/>
        <v>0</v>
      </c>
      <c r="X903" s="45">
        <f t="shared" si="181"/>
        <v>0</v>
      </c>
      <c r="Y903" s="46">
        <f>0</f>
        <v>0</v>
      </c>
      <c r="Z903" s="11"/>
    </row>
    <row r="904" spans="11:26" x14ac:dyDescent="0.45">
      <c r="K904" s="39">
        <f t="shared" si="176"/>
        <v>1.22</v>
      </c>
      <c r="L904" s="40">
        <f t="shared" si="169"/>
        <v>41.22</v>
      </c>
      <c r="M904" s="41">
        <f t="shared" si="170"/>
        <v>36.22</v>
      </c>
      <c r="N904" s="49">
        <f t="shared" si="171"/>
        <v>1.3956619434861591E-2</v>
      </c>
      <c r="O904" s="50">
        <f t="shared" si="172"/>
        <v>9.0708450173380192E-3</v>
      </c>
      <c r="P904" s="50">
        <f t="shared" si="177"/>
        <v>1.3956619434861591E-2</v>
      </c>
      <c r="Q904" s="51">
        <f t="shared" si="178"/>
        <v>9.0708450173380192E-3</v>
      </c>
      <c r="R904" s="4">
        <f t="shared" si="173"/>
        <v>-7.8543508426252538E-3</v>
      </c>
      <c r="S904">
        <f t="shared" si="174"/>
        <v>0</v>
      </c>
      <c r="T904">
        <f t="shared" si="175"/>
        <v>0</v>
      </c>
      <c r="U904" s="5">
        <f>0</f>
        <v>0</v>
      </c>
      <c r="V904" s="45">
        <f t="shared" si="179"/>
        <v>0.20777270200180609</v>
      </c>
      <c r="W904" s="45">
        <f t="shared" si="180"/>
        <v>0</v>
      </c>
      <c r="X904" s="45">
        <f t="shared" si="181"/>
        <v>0</v>
      </c>
      <c r="Y904" s="46">
        <f>0</f>
        <v>0</v>
      </c>
      <c r="Z904" s="11"/>
    </row>
    <row r="905" spans="11:26" x14ac:dyDescent="0.45">
      <c r="K905" s="39">
        <f t="shared" si="176"/>
        <v>1.21</v>
      </c>
      <c r="L905" s="40">
        <f t="shared" si="169"/>
        <v>41.21</v>
      </c>
      <c r="M905" s="41">
        <f t="shared" si="170"/>
        <v>36.21</v>
      </c>
      <c r="N905" s="49">
        <f t="shared" si="171"/>
        <v>1.3944597122779331E-2</v>
      </c>
      <c r="O905" s="50">
        <f t="shared" si="172"/>
        <v>9.0630313393798845E-3</v>
      </c>
      <c r="P905" s="50">
        <f t="shared" si="177"/>
        <v>1.3944597122779331E-2</v>
      </c>
      <c r="Q905" s="51">
        <f t="shared" si="178"/>
        <v>9.0630313393798845E-3</v>
      </c>
      <c r="R905" s="4">
        <f t="shared" si="173"/>
        <v>-7.8329019545511323E-3</v>
      </c>
      <c r="S905">
        <f t="shared" si="174"/>
        <v>0</v>
      </c>
      <c r="T905">
        <f t="shared" si="175"/>
        <v>0</v>
      </c>
      <c r="U905" s="5">
        <f>0</f>
        <v>0</v>
      </c>
      <c r="V905" s="45">
        <f t="shared" si="179"/>
        <v>0.20785124551023235</v>
      </c>
      <c r="W905" s="45">
        <f t="shared" si="180"/>
        <v>0</v>
      </c>
      <c r="X905" s="45">
        <f t="shared" si="181"/>
        <v>0</v>
      </c>
      <c r="Y905" s="46">
        <f>0</f>
        <v>0</v>
      </c>
      <c r="Z905" s="11"/>
    </row>
    <row r="906" spans="11:26" x14ac:dyDescent="0.45">
      <c r="K906" s="39">
        <f t="shared" si="176"/>
        <v>1.2</v>
      </c>
      <c r="L906" s="40">
        <f t="shared" si="169"/>
        <v>41.2</v>
      </c>
      <c r="M906" s="41">
        <f t="shared" si="170"/>
        <v>36.200000000000003</v>
      </c>
      <c r="N906" s="49">
        <f t="shared" si="171"/>
        <v>1.3932585166785701E-2</v>
      </c>
      <c r="O906" s="50">
        <f t="shared" si="172"/>
        <v>9.0552243921687928E-3</v>
      </c>
      <c r="P906" s="50">
        <f t="shared" si="177"/>
        <v>1.3932585166785701E-2</v>
      </c>
      <c r="Q906" s="51">
        <f t="shared" si="178"/>
        <v>9.0552243921687928E-3</v>
      </c>
      <c r="R906" s="4">
        <f t="shared" si="173"/>
        <v>-7.8114853715006288E-3</v>
      </c>
      <c r="S906">
        <f t="shared" si="174"/>
        <v>0</v>
      </c>
      <c r="T906">
        <f t="shared" si="175"/>
        <v>0</v>
      </c>
      <c r="U906" s="5">
        <f>0</f>
        <v>0</v>
      </c>
      <c r="V906" s="45">
        <f t="shared" si="179"/>
        <v>0.20792957452977787</v>
      </c>
      <c r="W906" s="45">
        <f t="shared" si="180"/>
        <v>0</v>
      </c>
      <c r="X906" s="45">
        <f t="shared" si="181"/>
        <v>0</v>
      </c>
      <c r="Y906" s="46">
        <f>0</f>
        <v>0</v>
      </c>
      <c r="Z906" s="11"/>
    </row>
    <row r="907" spans="11:26" x14ac:dyDescent="0.45">
      <c r="K907" s="39">
        <f t="shared" si="176"/>
        <v>1.19</v>
      </c>
      <c r="L907" s="40">
        <f t="shared" si="169"/>
        <v>41.19</v>
      </c>
      <c r="M907" s="41">
        <f t="shared" si="170"/>
        <v>36.19</v>
      </c>
      <c r="N907" s="49">
        <f t="shared" si="171"/>
        <v>1.3920583557959894E-2</v>
      </c>
      <c r="O907" s="50">
        <f t="shared" si="172"/>
        <v>9.0474241699068231E-3</v>
      </c>
      <c r="P907" s="50">
        <f t="shared" si="177"/>
        <v>1.3920583557959894E-2</v>
      </c>
      <c r="Q907" s="51">
        <f t="shared" si="178"/>
        <v>9.0474241699068231E-3</v>
      </c>
      <c r="R907" s="4">
        <f t="shared" si="173"/>
        <v>-7.7901010414763074E-3</v>
      </c>
      <c r="S907">
        <f t="shared" si="174"/>
        <v>0</v>
      </c>
      <c r="T907">
        <f t="shared" si="175"/>
        <v>0</v>
      </c>
      <c r="U907" s="5">
        <f>0</f>
        <v>0</v>
      </c>
      <c r="V907" s="45">
        <f t="shared" si="179"/>
        <v>0.20800768938349287</v>
      </c>
      <c r="W907" s="45">
        <f t="shared" si="180"/>
        <v>0</v>
      </c>
      <c r="X907" s="45">
        <f t="shared" si="181"/>
        <v>0</v>
      </c>
      <c r="Y907" s="46">
        <f>0</f>
        <v>0</v>
      </c>
      <c r="Z907" s="11"/>
    </row>
    <row r="908" spans="11:26" x14ac:dyDescent="0.45">
      <c r="K908" s="39">
        <f t="shared" si="176"/>
        <v>1.18</v>
      </c>
      <c r="L908" s="40">
        <f t="shared" si="169"/>
        <v>41.18</v>
      </c>
      <c r="M908" s="41">
        <f t="shared" si="170"/>
        <v>36.18</v>
      </c>
      <c r="N908" s="49">
        <f t="shared" si="171"/>
        <v>1.390859228738882E-2</v>
      </c>
      <c r="O908" s="50">
        <f t="shared" si="172"/>
        <v>9.0396306668010847E-3</v>
      </c>
      <c r="P908" s="50">
        <f t="shared" si="177"/>
        <v>1.390859228738882E-2</v>
      </c>
      <c r="Q908" s="51">
        <f t="shared" si="178"/>
        <v>9.0396306668010847E-3</v>
      </c>
      <c r="R908" s="4">
        <f t="shared" si="173"/>
        <v>-7.7687489125808917E-3</v>
      </c>
      <c r="S908">
        <f t="shared" si="174"/>
        <v>0</v>
      </c>
      <c r="T908">
        <f t="shared" si="175"/>
        <v>0</v>
      </c>
      <c r="U908" s="5">
        <f>0</f>
        <v>0</v>
      </c>
      <c r="V908" s="45">
        <f t="shared" si="179"/>
        <v>0.20808559039390764</v>
      </c>
      <c r="W908" s="45">
        <f t="shared" si="180"/>
        <v>0</v>
      </c>
      <c r="X908" s="45">
        <f t="shared" si="181"/>
        <v>0</v>
      </c>
      <c r="Y908" s="46">
        <f>0</f>
        <v>0</v>
      </c>
      <c r="Z908" s="11"/>
    </row>
    <row r="909" spans="11:26" x14ac:dyDescent="0.45">
      <c r="K909" s="39">
        <f t="shared" si="176"/>
        <v>1.17</v>
      </c>
      <c r="L909" s="40">
        <f t="shared" si="169"/>
        <v>41.17</v>
      </c>
      <c r="M909" s="41">
        <f t="shared" si="170"/>
        <v>36.17</v>
      </c>
      <c r="N909" s="49">
        <f t="shared" si="171"/>
        <v>1.3896611346167036E-2</v>
      </c>
      <c r="O909" s="50">
        <f t="shared" si="172"/>
        <v>9.0318438770636573E-3</v>
      </c>
      <c r="P909" s="50">
        <f t="shared" si="177"/>
        <v>1.3896611346167036E-2</v>
      </c>
      <c r="Q909" s="51">
        <f t="shared" si="178"/>
        <v>9.0318438770636573E-3</v>
      </c>
      <c r="R909" s="4">
        <f t="shared" si="173"/>
        <v>-7.747428933016956E-3</v>
      </c>
      <c r="S909">
        <f t="shared" si="174"/>
        <v>0</v>
      </c>
      <c r="T909">
        <f t="shared" si="175"/>
        <v>0</v>
      </c>
      <c r="U909" s="5">
        <f>0</f>
        <v>0</v>
      </c>
      <c r="V909" s="45">
        <f t="shared" si="179"/>
        <v>0.20816327788303346</v>
      </c>
      <c r="W909" s="45">
        <f t="shared" si="180"/>
        <v>0</v>
      </c>
      <c r="X909" s="45">
        <f t="shared" si="181"/>
        <v>0</v>
      </c>
      <c r="Y909" s="46">
        <f>0</f>
        <v>0</v>
      </c>
      <c r="Z909" s="11"/>
    </row>
    <row r="910" spans="11:26" x14ac:dyDescent="0.45">
      <c r="K910" s="39">
        <f t="shared" si="176"/>
        <v>1.1599999999999999</v>
      </c>
      <c r="L910" s="40">
        <f t="shared" si="169"/>
        <v>41.16</v>
      </c>
      <c r="M910" s="41">
        <f t="shared" si="170"/>
        <v>36.159999999999997</v>
      </c>
      <c r="N910" s="49">
        <f t="shared" si="171"/>
        <v>1.3884640725396774E-2</v>
      </c>
      <c r="O910" s="50">
        <f t="shared" si="172"/>
        <v>9.024063794911585E-3</v>
      </c>
      <c r="P910" s="50">
        <f t="shared" si="177"/>
        <v>1.3884640725396774E-2</v>
      </c>
      <c r="Q910" s="51">
        <f t="shared" si="178"/>
        <v>9.024063794911585E-3</v>
      </c>
      <c r="R910" s="4">
        <f t="shared" si="173"/>
        <v>-7.7261410510867379E-3</v>
      </c>
      <c r="S910">
        <f t="shared" si="174"/>
        <v>0</v>
      </c>
      <c r="T910">
        <f t="shared" si="175"/>
        <v>0</v>
      </c>
      <c r="U910" s="5">
        <f>0</f>
        <v>0</v>
      </c>
      <c r="V910" s="45">
        <f t="shared" si="179"/>
        <v>0.20824075217236362</v>
      </c>
      <c r="W910" s="45">
        <f t="shared" si="180"/>
        <v>0</v>
      </c>
      <c r="X910" s="45">
        <f t="shared" si="181"/>
        <v>0</v>
      </c>
      <c r="Y910" s="46">
        <f>0</f>
        <v>0</v>
      </c>
      <c r="Z910" s="11"/>
    </row>
    <row r="911" spans="11:26" x14ac:dyDescent="0.45">
      <c r="K911" s="39">
        <f t="shared" si="176"/>
        <v>1.1499999999999999</v>
      </c>
      <c r="L911" s="40">
        <f t="shared" si="169"/>
        <v>41.15</v>
      </c>
      <c r="M911" s="41">
        <f t="shared" si="170"/>
        <v>36.15</v>
      </c>
      <c r="N911" s="49">
        <f t="shared" si="171"/>
        <v>1.3872680416187956E-2</v>
      </c>
      <c r="O911" s="50">
        <f t="shared" si="172"/>
        <v>9.0162904145669413E-3</v>
      </c>
      <c r="P911" s="50">
        <f t="shared" si="177"/>
        <v>1.3872680416187956E-2</v>
      </c>
      <c r="Q911" s="51">
        <f t="shared" si="178"/>
        <v>9.0162904145669413E-3</v>
      </c>
      <c r="R911" s="4">
        <f t="shared" si="173"/>
        <v>-7.7048852151919527E-3</v>
      </c>
      <c r="S911">
        <f t="shared" si="174"/>
        <v>0</v>
      </c>
      <c r="T911">
        <f t="shared" si="175"/>
        <v>0</v>
      </c>
      <c r="U911" s="5">
        <f>0</f>
        <v>0</v>
      </c>
      <c r="V911" s="45">
        <f t="shared" si="179"/>
        <v>0.20831801358287449</v>
      </c>
      <c r="W911" s="45">
        <f t="shared" si="180"/>
        <v>0</v>
      </c>
      <c r="X911" s="45">
        <f t="shared" si="181"/>
        <v>0</v>
      </c>
      <c r="Y911" s="46">
        <f>0</f>
        <v>0</v>
      </c>
      <c r="Z911" s="11"/>
    </row>
    <row r="912" spans="11:26" x14ac:dyDescent="0.45">
      <c r="K912" s="39">
        <f t="shared" si="176"/>
        <v>1.1399999999999999</v>
      </c>
      <c r="L912" s="40">
        <f t="shared" si="169"/>
        <v>41.14</v>
      </c>
      <c r="M912" s="41">
        <f t="shared" si="170"/>
        <v>36.14</v>
      </c>
      <c r="N912" s="49">
        <f t="shared" si="171"/>
        <v>1.3860730409658132E-2</v>
      </c>
      <c r="O912" s="50">
        <f t="shared" si="172"/>
        <v>9.0085237302567431E-3</v>
      </c>
      <c r="P912" s="50">
        <f t="shared" si="177"/>
        <v>1.3860730409658132E-2</v>
      </c>
      <c r="Q912" s="51">
        <f t="shared" si="178"/>
        <v>9.0085237302567431E-3</v>
      </c>
      <c r="R912" s="4">
        <f t="shared" si="173"/>
        <v>-7.6836613738335072E-3</v>
      </c>
      <c r="S912">
        <f t="shared" si="174"/>
        <v>0</v>
      </c>
      <c r="T912">
        <f t="shared" si="175"/>
        <v>0</v>
      </c>
      <c r="U912" s="5">
        <f>0</f>
        <v>0</v>
      </c>
      <c r="V912" s="45">
        <f t="shared" si="179"/>
        <v>0.20839506243502642</v>
      </c>
      <c r="W912" s="45">
        <f t="shared" si="180"/>
        <v>0</v>
      </c>
      <c r="X912" s="45">
        <f t="shared" si="181"/>
        <v>0</v>
      </c>
      <c r="Y912" s="46">
        <f>0</f>
        <v>0</v>
      </c>
      <c r="Z912" s="11"/>
    </row>
    <row r="913" spans="11:26" x14ac:dyDescent="0.45">
      <c r="K913" s="39">
        <f t="shared" si="176"/>
        <v>1.1299999999999999</v>
      </c>
      <c r="L913" s="40">
        <f t="shared" si="169"/>
        <v>41.13</v>
      </c>
      <c r="M913" s="41">
        <f t="shared" si="170"/>
        <v>36.130000000000003</v>
      </c>
      <c r="N913" s="49">
        <f t="shared" si="171"/>
        <v>1.3848790696932517E-2</v>
      </c>
      <c r="O913" s="50">
        <f t="shared" si="172"/>
        <v>9.0007637362129796E-3</v>
      </c>
      <c r="P913" s="50">
        <f t="shared" si="177"/>
        <v>1.3848790696932517E-2</v>
      </c>
      <c r="Q913" s="51">
        <f t="shared" si="178"/>
        <v>9.0007637362129796E-3</v>
      </c>
      <c r="R913" s="4">
        <f t="shared" si="173"/>
        <v>-7.6624694756112933E-3</v>
      </c>
      <c r="S913">
        <f t="shared" si="174"/>
        <v>0</v>
      </c>
      <c r="T913">
        <f t="shared" si="175"/>
        <v>0</v>
      </c>
      <c r="U913" s="5">
        <f>0</f>
        <v>0</v>
      </c>
      <c r="V913" s="45">
        <f t="shared" si="179"/>
        <v>0.20847189904876476</v>
      </c>
      <c r="W913" s="45">
        <f t="shared" si="180"/>
        <v>0</v>
      </c>
      <c r="X913" s="45">
        <f t="shared" si="181"/>
        <v>0</v>
      </c>
      <c r="Y913" s="46">
        <f>0</f>
        <v>0</v>
      </c>
      <c r="Z913" s="11"/>
    </row>
    <row r="914" spans="11:26" x14ac:dyDescent="0.45">
      <c r="K914" s="39">
        <f t="shared" si="176"/>
        <v>1.1200000000000001</v>
      </c>
      <c r="L914" s="40">
        <f t="shared" si="169"/>
        <v>41.12</v>
      </c>
      <c r="M914" s="41">
        <f t="shared" si="170"/>
        <v>36.119999999999997</v>
      </c>
      <c r="N914" s="49">
        <f t="shared" si="171"/>
        <v>1.3836861269143965E-2</v>
      </c>
      <c r="O914" s="50">
        <f t="shared" si="172"/>
        <v>8.9930104266726166E-3</v>
      </c>
      <c r="P914" s="50">
        <f t="shared" si="177"/>
        <v>1.3836861269143965E-2</v>
      </c>
      <c r="Q914" s="51">
        <f t="shared" si="178"/>
        <v>8.9930104266726166E-3</v>
      </c>
      <c r="R914" s="4">
        <f t="shared" si="173"/>
        <v>-7.6413094692239971E-3</v>
      </c>
      <c r="S914">
        <f t="shared" si="174"/>
        <v>0</v>
      </c>
      <c r="T914">
        <f t="shared" si="175"/>
        <v>0</v>
      </c>
      <c r="U914" s="5">
        <f>0</f>
        <v>0</v>
      </c>
      <c r="V914" s="45">
        <f t="shared" si="179"/>
        <v>0.20854852374352087</v>
      </c>
      <c r="W914" s="45">
        <f t="shared" si="180"/>
        <v>0</v>
      </c>
      <c r="X914" s="45">
        <f t="shared" si="181"/>
        <v>0</v>
      </c>
      <c r="Y914" s="46">
        <f>0</f>
        <v>0</v>
      </c>
      <c r="Z914" s="11"/>
    </row>
    <row r="915" spans="11:26" x14ac:dyDescent="0.45">
      <c r="K915" s="39">
        <f t="shared" si="176"/>
        <v>1.1100000000000001</v>
      </c>
      <c r="L915" s="40">
        <f t="shared" si="169"/>
        <v>41.11</v>
      </c>
      <c r="M915" s="41">
        <f t="shared" si="170"/>
        <v>36.11</v>
      </c>
      <c r="N915" s="49">
        <f t="shared" si="171"/>
        <v>1.382494211743298E-2</v>
      </c>
      <c r="O915" s="50">
        <f t="shared" si="172"/>
        <v>8.9852637958776002E-3</v>
      </c>
      <c r="P915" s="50">
        <f t="shared" si="177"/>
        <v>1.382494211743298E-2</v>
      </c>
      <c r="Q915" s="51">
        <f t="shared" si="178"/>
        <v>8.9852637958776002E-3</v>
      </c>
      <c r="R915" s="4">
        <f t="shared" si="173"/>
        <v>-7.6201813034688648E-3</v>
      </c>
      <c r="S915">
        <f t="shared" si="174"/>
        <v>0</v>
      </c>
      <c r="T915">
        <f t="shared" si="175"/>
        <v>0</v>
      </c>
      <c r="U915" s="5">
        <f>0</f>
        <v>0</v>
      </c>
      <c r="V915" s="45">
        <f t="shared" si="179"/>
        <v>0.20862493683821312</v>
      </c>
      <c r="W915" s="45">
        <f t="shared" si="180"/>
        <v>0</v>
      </c>
      <c r="X915" s="45">
        <f t="shared" si="181"/>
        <v>0</v>
      </c>
      <c r="Y915" s="46">
        <f>0</f>
        <v>0</v>
      </c>
      <c r="Z915" s="11"/>
    </row>
    <row r="916" spans="11:26" x14ac:dyDescent="0.45">
      <c r="K916" s="39">
        <f t="shared" si="176"/>
        <v>1.1000000000000001</v>
      </c>
      <c r="L916" s="40">
        <f t="shared" si="169"/>
        <v>41.1</v>
      </c>
      <c r="M916" s="41">
        <f t="shared" si="170"/>
        <v>36.1</v>
      </c>
      <c r="N916" s="49">
        <f t="shared" si="171"/>
        <v>1.381303323294769E-2</v>
      </c>
      <c r="O916" s="50">
        <f t="shared" si="172"/>
        <v>8.9775238380748086E-3</v>
      </c>
      <c r="P916" s="50">
        <f t="shared" si="177"/>
        <v>1.381303323294769E-2</v>
      </c>
      <c r="Q916" s="51">
        <f t="shared" si="178"/>
        <v>8.9775238380748086E-3</v>
      </c>
      <c r="R916" s="4">
        <f t="shared" si="173"/>
        <v>-7.5990849272414649E-3</v>
      </c>
      <c r="S916">
        <f t="shared" si="174"/>
        <v>0</v>
      </c>
      <c r="T916">
        <f t="shared" si="175"/>
        <v>0</v>
      </c>
      <c r="U916" s="5">
        <f>0</f>
        <v>0</v>
      </c>
      <c r="V916" s="45">
        <f t="shared" si="179"/>
        <v>0.20870113865124781</v>
      </c>
      <c r="W916" s="45">
        <f t="shared" si="180"/>
        <v>0</v>
      </c>
      <c r="X916" s="45">
        <f t="shared" si="181"/>
        <v>0</v>
      </c>
      <c r="Y916" s="46">
        <f>0</f>
        <v>0</v>
      </c>
      <c r="Z916" s="11"/>
    </row>
    <row r="917" spans="11:26" x14ac:dyDescent="0.45">
      <c r="K917" s="39">
        <f t="shared" si="176"/>
        <v>1.0900000000000001</v>
      </c>
      <c r="L917" s="40">
        <f t="shared" si="169"/>
        <v>41.09</v>
      </c>
      <c r="M917" s="41">
        <f t="shared" si="170"/>
        <v>36.090000000000003</v>
      </c>
      <c r="N917" s="49">
        <f t="shared" si="171"/>
        <v>1.3801134606843844E-2</v>
      </c>
      <c r="O917" s="50">
        <f t="shared" si="172"/>
        <v>8.9697905475160881E-3</v>
      </c>
      <c r="P917" s="50">
        <f t="shared" si="177"/>
        <v>1.3801134606843844E-2</v>
      </c>
      <c r="Q917" s="51">
        <f t="shared" si="178"/>
        <v>8.9697905475160881E-3</v>
      </c>
      <c r="R917" s="4">
        <f t="shared" si="173"/>
        <v>-7.5780202895354577E-3</v>
      </c>
      <c r="S917">
        <f t="shared" si="174"/>
        <v>0</v>
      </c>
      <c r="T917">
        <f t="shared" si="175"/>
        <v>0</v>
      </c>
      <c r="U917" s="5">
        <f>0</f>
        <v>0</v>
      </c>
      <c r="V917" s="45">
        <f t="shared" si="179"/>
        <v>0.20877712950052024</v>
      </c>
      <c r="W917" s="45">
        <f t="shared" si="180"/>
        <v>0</v>
      </c>
      <c r="X917" s="45">
        <f t="shared" si="181"/>
        <v>0</v>
      </c>
      <c r="Y917" s="46">
        <f>0</f>
        <v>0</v>
      </c>
      <c r="Z917" s="11"/>
    </row>
    <row r="918" spans="11:26" x14ac:dyDescent="0.45">
      <c r="K918" s="39">
        <f t="shared" si="176"/>
        <v>1.08</v>
      </c>
      <c r="L918" s="40">
        <f t="shared" si="169"/>
        <v>41.08</v>
      </c>
      <c r="M918" s="41">
        <f t="shared" si="170"/>
        <v>36.08</v>
      </c>
      <c r="N918" s="49">
        <f t="shared" si="171"/>
        <v>1.3789246230284803E-2</v>
      </c>
      <c r="O918" s="50">
        <f t="shared" si="172"/>
        <v>8.9620639184582358E-3</v>
      </c>
      <c r="P918" s="50">
        <f t="shared" si="177"/>
        <v>1.3789246230284803E-2</v>
      </c>
      <c r="Q918" s="51">
        <f t="shared" si="178"/>
        <v>8.9620639184582358E-3</v>
      </c>
      <c r="R918" s="4">
        <f t="shared" si="173"/>
        <v>-7.5569873394424249E-3</v>
      </c>
      <c r="S918">
        <f t="shared" si="174"/>
        <v>0</v>
      </c>
      <c r="T918">
        <f t="shared" si="175"/>
        <v>0</v>
      </c>
      <c r="U918" s="5">
        <f>0</f>
        <v>0</v>
      </c>
      <c r="V918" s="45">
        <f t="shared" si="179"/>
        <v>0.20885290970341561</v>
      </c>
      <c r="W918" s="45">
        <f t="shared" si="180"/>
        <v>0</v>
      </c>
      <c r="X918" s="45">
        <f t="shared" si="181"/>
        <v>0</v>
      </c>
      <c r="Y918" s="46">
        <f>0</f>
        <v>0</v>
      </c>
      <c r="Z918" s="11"/>
    </row>
    <row r="919" spans="11:26" x14ac:dyDescent="0.45">
      <c r="K919" s="39">
        <f t="shared" si="176"/>
        <v>1.07</v>
      </c>
      <c r="L919" s="40">
        <f t="shared" si="169"/>
        <v>41.07</v>
      </c>
      <c r="M919" s="41">
        <f t="shared" si="170"/>
        <v>36.07</v>
      </c>
      <c r="N919" s="49">
        <f t="shared" si="171"/>
        <v>1.3777368094441571E-2</v>
      </c>
      <c r="O919" s="50">
        <f t="shared" si="172"/>
        <v>8.9543439451630034E-3</v>
      </c>
      <c r="P919" s="50">
        <f t="shared" si="177"/>
        <v>1.3777368094441571E-2</v>
      </c>
      <c r="Q919" s="51">
        <f t="shared" si="178"/>
        <v>8.9543439451630034E-3</v>
      </c>
      <c r="R919" s="4">
        <f t="shared" si="173"/>
        <v>-7.5359860261516188E-3</v>
      </c>
      <c r="S919">
        <f t="shared" si="174"/>
        <v>0</v>
      </c>
      <c r="T919">
        <f t="shared" si="175"/>
        <v>0</v>
      </c>
      <c r="U919" s="5">
        <f>0</f>
        <v>0</v>
      </c>
      <c r="V919" s="45">
        <f t="shared" si="179"/>
        <v>0.20892847957681004</v>
      </c>
      <c r="W919" s="45">
        <f t="shared" si="180"/>
        <v>0</v>
      </c>
      <c r="X919" s="45">
        <f t="shared" si="181"/>
        <v>0</v>
      </c>
      <c r="Y919" s="46">
        <f>0</f>
        <v>0</v>
      </c>
      <c r="Z919" s="11"/>
    </row>
    <row r="920" spans="11:26" x14ac:dyDescent="0.45">
      <c r="K920" s="39">
        <f t="shared" si="176"/>
        <v>1.06</v>
      </c>
      <c r="L920" s="40">
        <f t="shared" si="169"/>
        <v>41.06</v>
      </c>
      <c r="M920" s="41">
        <f t="shared" si="170"/>
        <v>36.06</v>
      </c>
      <c r="N920" s="49">
        <f t="shared" si="171"/>
        <v>1.3765500190492726E-2</v>
      </c>
      <c r="O920" s="50">
        <f t="shared" si="172"/>
        <v>8.9466306218970726E-3</v>
      </c>
      <c r="P920" s="50">
        <f t="shared" si="177"/>
        <v>1.3765500190492726E-2</v>
      </c>
      <c r="Q920" s="51">
        <f t="shared" si="178"/>
        <v>8.9466306218970726E-3</v>
      </c>
      <c r="R920" s="4">
        <f t="shared" si="173"/>
        <v>-7.5150162989497341E-3</v>
      </c>
      <c r="S920">
        <f t="shared" si="174"/>
        <v>0</v>
      </c>
      <c r="T920">
        <f t="shared" si="175"/>
        <v>0</v>
      </c>
      <c r="U920" s="5">
        <f>0</f>
        <v>0</v>
      </c>
      <c r="V920" s="45">
        <f t="shared" si="179"/>
        <v>0.20900383943707157</v>
      </c>
      <c r="W920" s="45">
        <f t="shared" si="180"/>
        <v>0</v>
      </c>
      <c r="X920" s="45">
        <f t="shared" si="181"/>
        <v>0</v>
      </c>
      <c r="Y920" s="46">
        <f>0</f>
        <v>0</v>
      </c>
      <c r="Z920" s="11"/>
    </row>
    <row r="921" spans="11:26" x14ac:dyDescent="0.45">
      <c r="K921" s="39">
        <f t="shared" si="176"/>
        <v>1.05</v>
      </c>
      <c r="L921" s="40">
        <f t="shared" si="169"/>
        <v>41.05</v>
      </c>
      <c r="M921" s="41">
        <f t="shared" si="170"/>
        <v>36.049999999999997</v>
      </c>
      <c r="N921" s="49">
        <f t="shared" si="171"/>
        <v>1.3753642509624448E-2</v>
      </c>
      <c r="O921" s="50">
        <f t="shared" si="172"/>
        <v>8.9389239429320706E-3</v>
      </c>
      <c r="P921" s="50">
        <f t="shared" si="177"/>
        <v>1.3753642509624448E-2</v>
      </c>
      <c r="Q921" s="51">
        <f t="shared" si="178"/>
        <v>8.9389239429320706E-3</v>
      </c>
      <c r="R921" s="4">
        <f t="shared" si="173"/>
        <v>-7.4940781072207058E-3</v>
      </c>
      <c r="S921">
        <f t="shared" si="174"/>
        <v>0</v>
      </c>
      <c r="T921">
        <f t="shared" si="175"/>
        <v>0</v>
      </c>
      <c r="U921" s="5">
        <f>0</f>
        <v>0</v>
      </c>
      <c r="V921" s="45">
        <f t="shared" si="179"/>
        <v>0.20907898960006108</v>
      </c>
      <c r="W921" s="45">
        <f t="shared" si="180"/>
        <v>0</v>
      </c>
      <c r="X921" s="45">
        <f t="shared" si="181"/>
        <v>0</v>
      </c>
      <c r="Y921" s="46">
        <f>0</f>
        <v>0</v>
      </c>
      <c r="Z921" s="11"/>
    </row>
    <row r="922" spans="11:26" x14ac:dyDescent="0.45">
      <c r="K922" s="39">
        <f t="shared" si="176"/>
        <v>1.04</v>
      </c>
      <c r="L922" s="40">
        <f t="shared" ref="L922:L985" si="182">InitialAge_x+K922</f>
        <v>41.04</v>
      </c>
      <c r="M922" s="41">
        <f t="shared" ref="M922:M985" si="183">InitialAge_y+K922</f>
        <v>36.04</v>
      </c>
      <c r="N922" s="49">
        <f t="shared" ref="N922:N985" si="184">muParameter_B*muParameter_c^L922</f>
        <v>1.374179504303053E-2</v>
      </c>
      <c r="O922" s="50">
        <f t="shared" ref="O922:O985" si="185">muParameter_B*muParameter_c^M922</f>
        <v>8.9312239025445637E-3</v>
      </c>
      <c r="P922" s="50">
        <f t="shared" si="177"/>
        <v>1.374179504303053E-2</v>
      </c>
      <c r="Q922" s="51">
        <f t="shared" si="178"/>
        <v>8.9312239025445637E-3</v>
      </c>
      <c r="R922" s="4">
        <f t="shared" ref="R922:R985" si="186">V922*Delta-Constant_b1-(O922*(Constant_b12+W922-V922)+N922*(Constant_b13+X922-V922))</f>
        <v>-7.4731714004455004E-3</v>
      </c>
      <c r="S922">
        <f t="shared" ref="S922:S985" si="187">W922*Delta-Constant_b2-(P922*(Constant_b24+Y922-W922)+Q922*(Constant_b34+Y922-X922))</f>
        <v>0</v>
      </c>
      <c r="T922">
        <f t="shared" ref="T922:T985" si="188">X922*Delta-Constant_b3-(Q922*(Constant_b34+Y922-X922))</f>
        <v>0</v>
      </c>
      <c r="U922" s="5">
        <f>0</f>
        <v>0</v>
      </c>
      <c r="V922" s="45">
        <f t="shared" si="179"/>
        <v>0.20915393038113328</v>
      </c>
      <c r="W922" s="45">
        <f t="shared" si="180"/>
        <v>0</v>
      </c>
      <c r="X922" s="45">
        <f t="shared" si="181"/>
        <v>0</v>
      </c>
      <c r="Y922" s="46">
        <f>0</f>
        <v>0</v>
      </c>
      <c r="Z922" s="11"/>
    </row>
    <row r="923" spans="11:26" x14ac:dyDescent="0.45">
      <c r="K923" s="39">
        <f t="shared" ref="K923:K986" si="189">ROUND(K922-StepSize,2)</f>
        <v>1.03</v>
      </c>
      <c r="L923" s="40">
        <f t="shared" si="182"/>
        <v>41.03</v>
      </c>
      <c r="M923" s="41">
        <f t="shared" si="183"/>
        <v>36.03</v>
      </c>
      <c r="N923" s="49">
        <f t="shared" si="184"/>
        <v>1.3729957781912333E-2</v>
      </c>
      <c r="O923" s="50">
        <f t="shared" si="185"/>
        <v>8.9235304950160393E-3</v>
      </c>
      <c r="P923" s="50">
        <f t="shared" ref="P923:P986" si="190">N923</f>
        <v>1.3729957781912333E-2</v>
      </c>
      <c r="Q923" s="51">
        <f t="shared" ref="Q923:Q986" si="191">O923</f>
        <v>8.9235304950160393E-3</v>
      </c>
      <c r="R923" s="4">
        <f t="shared" si="186"/>
        <v>-7.4522961282018716E-3</v>
      </c>
      <c r="S923">
        <f t="shared" si="187"/>
        <v>0</v>
      </c>
      <c r="T923">
        <f t="shared" si="188"/>
        <v>0</v>
      </c>
      <c r="U923" s="5">
        <f>0</f>
        <v>0</v>
      </c>
      <c r="V923" s="45">
        <f t="shared" ref="V923:V986" si="192">V922-StepSize*(R922)</f>
        <v>0.20922866209513774</v>
      </c>
      <c r="W923" s="45">
        <f t="shared" ref="W923:W986" si="193">W922-StepSize*(S922)</f>
        <v>0</v>
      </c>
      <c r="X923" s="45">
        <f t="shared" ref="X923:X986" si="194">X922-StepSize*(T922)</f>
        <v>0</v>
      </c>
      <c r="Y923" s="46">
        <f>0</f>
        <v>0</v>
      </c>
      <c r="Z923" s="11"/>
    </row>
    <row r="924" spans="11:26" x14ac:dyDescent="0.45">
      <c r="K924" s="39">
        <f t="shared" si="189"/>
        <v>1.02</v>
      </c>
      <c r="L924" s="40">
        <f t="shared" si="182"/>
        <v>41.02</v>
      </c>
      <c r="M924" s="41">
        <f t="shared" si="183"/>
        <v>36.020000000000003</v>
      </c>
      <c r="N924" s="49">
        <f t="shared" si="184"/>
        <v>1.3718130717478809E-2</v>
      </c>
      <c r="O924" s="50">
        <f t="shared" si="185"/>
        <v>8.9158437146329133E-3</v>
      </c>
      <c r="P924" s="50">
        <f t="shared" si="190"/>
        <v>1.3718130717478809E-2</v>
      </c>
      <c r="Q924" s="51">
        <f t="shared" si="191"/>
        <v>8.9158437146329133E-3</v>
      </c>
      <c r="R924" s="4">
        <f t="shared" si="186"/>
        <v>-7.4314522401641818E-3</v>
      </c>
      <c r="S924">
        <f t="shared" si="187"/>
        <v>0</v>
      </c>
      <c r="T924">
        <f t="shared" si="188"/>
        <v>0</v>
      </c>
      <c r="U924" s="5">
        <f>0</f>
        <v>0</v>
      </c>
      <c r="V924" s="45">
        <f t="shared" si="192"/>
        <v>0.20930318505641976</v>
      </c>
      <c r="W924" s="45">
        <f t="shared" si="193"/>
        <v>0</v>
      </c>
      <c r="X924" s="45">
        <f t="shared" si="194"/>
        <v>0</v>
      </c>
      <c r="Y924" s="46">
        <f>0</f>
        <v>0</v>
      </c>
      <c r="Z924" s="11"/>
    </row>
    <row r="925" spans="11:26" x14ac:dyDescent="0.45">
      <c r="K925" s="39">
        <f t="shared" si="189"/>
        <v>1.01</v>
      </c>
      <c r="L925" s="40">
        <f t="shared" si="182"/>
        <v>41.01</v>
      </c>
      <c r="M925" s="41">
        <f t="shared" si="183"/>
        <v>36.01</v>
      </c>
      <c r="N925" s="49">
        <f t="shared" si="184"/>
        <v>1.3706313840946446E-2</v>
      </c>
      <c r="O925" s="50">
        <f t="shared" si="185"/>
        <v>8.908163555686523E-3</v>
      </c>
      <c r="P925" s="50">
        <f t="shared" si="190"/>
        <v>1.3706313840946446E-2</v>
      </c>
      <c r="Q925" s="51">
        <f t="shared" si="191"/>
        <v>8.908163555686523E-3</v>
      </c>
      <c r="R925" s="4">
        <f t="shared" si="186"/>
        <v>-7.4106396861031154E-3</v>
      </c>
      <c r="S925">
        <f t="shared" si="187"/>
        <v>0</v>
      </c>
      <c r="T925">
        <f t="shared" si="188"/>
        <v>0</v>
      </c>
      <c r="U925" s="5">
        <f>0</f>
        <v>0</v>
      </c>
      <c r="V925" s="45">
        <f t="shared" si="192"/>
        <v>0.2093774995788214</v>
      </c>
      <c r="W925" s="45">
        <f t="shared" si="193"/>
        <v>0</v>
      </c>
      <c r="X925" s="45">
        <f t="shared" si="194"/>
        <v>0</v>
      </c>
      <c r="Y925" s="46">
        <f>0</f>
        <v>0</v>
      </c>
      <c r="Z925" s="11"/>
    </row>
    <row r="926" spans="11:26" x14ac:dyDescent="0.45">
      <c r="K926" s="39">
        <f t="shared" si="189"/>
        <v>1</v>
      </c>
      <c r="L926" s="40">
        <f t="shared" si="182"/>
        <v>41</v>
      </c>
      <c r="M926" s="41">
        <f t="shared" si="183"/>
        <v>36</v>
      </c>
      <c r="N926" s="49">
        <f t="shared" si="184"/>
        <v>1.3694507143539349E-2</v>
      </c>
      <c r="O926" s="50">
        <f t="shared" si="185"/>
        <v>8.900490012473122E-3</v>
      </c>
      <c r="P926" s="50">
        <f t="shared" si="190"/>
        <v>1.3694507143539349E-2</v>
      </c>
      <c r="Q926" s="51">
        <f t="shared" si="191"/>
        <v>8.900490012473122E-3</v>
      </c>
      <c r="R926" s="4">
        <f t="shared" si="186"/>
        <v>-7.389858415885556E-3</v>
      </c>
      <c r="S926">
        <f t="shared" si="187"/>
        <v>0</v>
      </c>
      <c r="T926">
        <f t="shared" si="188"/>
        <v>0</v>
      </c>
      <c r="U926" s="5">
        <f>0</f>
        <v>0</v>
      </c>
      <c r="V926" s="45">
        <f t="shared" si="192"/>
        <v>0.20945160597568244</v>
      </c>
      <c r="W926" s="45">
        <f t="shared" si="193"/>
        <v>0</v>
      </c>
      <c r="X926" s="45">
        <f t="shared" si="194"/>
        <v>0</v>
      </c>
      <c r="Y926" s="46">
        <f>0</f>
        <v>0</v>
      </c>
      <c r="Z926" s="11"/>
    </row>
    <row r="927" spans="11:26" x14ac:dyDescent="0.45">
      <c r="K927" s="39">
        <f t="shared" si="189"/>
        <v>0.99</v>
      </c>
      <c r="L927" s="40">
        <f t="shared" si="182"/>
        <v>40.99</v>
      </c>
      <c r="M927" s="41">
        <f t="shared" si="183"/>
        <v>35.99</v>
      </c>
      <c r="N927" s="49">
        <f t="shared" si="184"/>
        <v>1.3682710616489192E-2</v>
      </c>
      <c r="O927" s="50">
        <f t="shared" si="185"/>
        <v>8.8928230792939059E-3</v>
      </c>
      <c r="P927" s="50">
        <f t="shared" si="190"/>
        <v>1.3682710616489192E-2</v>
      </c>
      <c r="Q927" s="51">
        <f t="shared" si="191"/>
        <v>8.8928230792939059E-3</v>
      </c>
      <c r="R927" s="4">
        <f t="shared" si="186"/>
        <v>-7.36910837947438E-3</v>
      </c>
      <c r="S927">
        <f t="shared" si="187"/>
        <v>0</v>
      </c>
      <c r="T927">
        <f t="shared" si="188"/>
        <v>0</v>
      </c>
      <c r="U927" s="5">
        <f>0</f>
        <v>0</v>
      </c>
      <c r="V927" s="45">
        <f t="shared" si="192"/>
        <v>0.20952550455984129</v>
      </c>
      <c r="W927" s="45">
        <f t="shared" si="193"/>
        <v>0</v>
      </c>
      <c r="X927" s="45">
        <f t="shared" si="194"/>
        <v>0</v>
      </c>
      <c r="Y927" s="46">
        <f>0</f>
        <v>0</v>
      </c>
      <c r="Z927" s="11"/>
    </row>
    <row r="928" spans="11:26" x14ac:dyDescent="0.45">
      <c r="K928" s="39">
        <f t="shared" si="189"/>
        <v>0.98</v>
      </c>
      <c r="L928" s="40">
        <f t="shared" si="182"/>
        <v>40.98</v>
      </c>
      <c r="M928" s="41">
        <f t="shared" si="183"/>
        <v>35.979999999999997</v>
      </c>
      <c r="N928" s="49">
        <f t="shared" si="184"/>
        <v>1.367092425103511E-2</v>
      </c>
      <c r="O928" s="50">
        <f t="shared" si="185"/>
        <v>8.8851627504549172E-3</v>
      </c>
      <c r="P928" s="50">
        <f t="shared" si="190"/>
        <v>1.367092425103511E-2</v>
      </c>
      <c r="Q928" s="51">
        <f t="shared" si="191"/>
        <v>8.8851627504549172E-3</v>
      </c>
      <c r="R928" s="4">
        <f t="shared" si="186"/>
        <v>-7.3483895269280397E-3</v>
      </c>
      <c r="S928">
        <f t="shared" si="187"/>
        <v>0</v>
      </c>
      <c r="T928">
        <f t="shared" si="188"/>
        <v>0</v>
      </c>
      <c r="U928" s="5">
        <f>0</f>
        <v>0</v>
      </c>
      <c r="V928" s="45">
        <f t="shared" si="192"/>
        <v>0.20959919564363602</v>
      </c>
      <c r="W928" s="45">
        <f t="shared" si="193"/>
        <v>0</v>
      </c>
      <c r="X928" s="45">
        <f t="shared" si="194"/>
        <v>0</v>
      </c>
      <c r="Y928" s="46">
        <f>0</f>
        <v>0</v>
      </c>
      <c r="Z928" s="11"/>
    </row>
    <row r="929" spans="11:26" x14ac:dyDescent="0.45">
      <c r="K929" s="39">
        <f t="shared" si="189"/>
        <v>0.97</v>
      </c>
      <c r="L929" s="40">
        <f t="shared" si="182"/>
        <v>40.97</v>
      </c>
      <c r="M929" s="41">
        <f t="shared" si="183"/>
        <v>35.97</v>
      </c>
      <c r="N929" s="49">
        <f t="shared" si="184"/>
        <v>1.3659148038423885E-2</v>
      </c>
      <c r="O929" s="50">
        <f t="shared" si="185"/>
        <v>8.8775090202671617E-3</v>
      </c>
      <c r="P929" s="50">
        <f t="shared" si="190"/>
        <v>1.3659148038423885E-2</v>
      </c>
      <c r="Q929" s="51">
        <f t="shared" si="191"/>
        <v>8.8775090202671617E-3</v>
      </c>
      <c r="R929" s="4">
        <f t="shared" si="186"/>
        <v>-7.327701808400644E-3</v>
      </c>
      <c r="S929">
        <f t="shared" si="187"/>
        <v>0</v>
      </c>
      <c r="T929">
        <f t="shared" si="188"/>
        <v>0</v>
      </c>
      <c r="U929" s="5">
        <f>0</f>
        <v>0</v>
      </c>
      <c r="V929" s="45">
        <f t="shared" si="192"/>
        <v>0.20967267953890531</v>
      </c>
      <c r="W929" s="45">
        <f t="shared" si="193"/>
        <v>0</v>
      </c>
      <c r="X929" s="45">
        <f t="shared" si="194"/>
        <v>0</v>
      </c>
      <c r="Y929" s="46">
        <f>0</f>
        <v>0</v>
      </c>
      <c r="Z929" s="11"/>
    </row>
    <row r="930" spans="11:26" x14ac:dyDescent="0.45">
      <c r="K930" s="39">
        <f t="shared" si="189"/>
        <v>0.96</v>
      </c>
      <c r="L930" s="40">
        <f t="shared" si="182"/>
        <v>40.96</v>
      </c>
      <c r="M930" s="41">
        <f t="shared" si="183"/>
        <v>35.96</v>
      </c>
      <c r="N930" s="49">
        <f t="shared" si="184"/>
        <v>1.3647381969909797E-2</v>
      </c>
      <c r="O930" s="50">
        <f t="shared" si="185"/>
        <v>8.8698618830465141E-3</v>
      </c>
      <c r="P930" s="50">
        <f t="shared" si="190"/>
        <v>1.3647381969909797E-2</v>
      </c>
      <c r="Q930" s="51">
        <f t="shared" si="191"/>
        <v>8.8698618830465141E-3</v>
      </c>
      <c r="R930" s="4">
        <f t="shared" si="186"/>
        <v>-7.3070451741415344E-3</v>
      </c>
      <c r="S930">
        <f t="shared" si="187"/>
        <v>0</v>
      </c>
      <c r="T930">
        <f t="shared" si="188"/>
        <v>0</v>
      </c>
      <c r="U930" s="5">
        <f>0</f>
        <v>0</v>
      </c>
      <c r="V930" s="45">
        <f t="shared" si="192"/>
        <v>0.20974595655698933</v>
      </c>
      <c r="W930" s="45">
        <f t="shared" si="193"/>
        <v>0</v>
      </c>
      <c r="X930" s="45">
        <f t="shared" si="194"/>
        <v>0</v>
      </c>
      <c r="Y930" s="46">
        <f>0</f>
        <v>0</v>
      </c>
      <c r="Z930" s="11"/>
    </row>
    <row r="931" spans="11:26" x14ac:dyDescent="0.45">
      <c r="K931" s="39">
        <f t="shared" si="189"/>
        <v>0.95</v>
      </c>
      <c r="L931" s="40">
        <f t="shared" si="182"/>
        <v>40.950000000000003</v>
      </c>
      <c r="M931" s="41">
        <f t="shared" si="183"/>
        <v>35.950000000000003</v>
      </c>
      <c r="N931" s="49">
        <f t="shared" si="184"/>
        <v>1.3635626036754651E-2</v>
      </c>
      <c r="O931" s="50">
        <f t="shared" si="185"/>
        <v>8.8622213331137588E-3</v>
      </c>
      <c r="P931" s="50">
        <f t="shared" si="190"/>
        <v>1.3635626036754651E-2</v>
      </c>
      <c r="Q931" s="51">
        <f t="shared" si="191"/>
        <v>8.8622213331137588E-3</v>
      </c>
      <c r="R931" s="4">
        <f t="shared" si="186"/>
        <v>-7.2864195744951499E-3</v>
      </c>
      <c r="S931">
        <f t="shared" si="187"/>
        <v>0</v>
      </c>
      <c r="T931">
        <f t="shared" si="188"/>
        <v>0</v>
      </c>
      <c r="U931" s="5">
        <f>0</f>
        <v>0</v>
      </c>
      <c r="V931" s="45">
        <f t="shared" si="192"/>
        <v>0.20981902700873073</v>
      </c>
      <c r="W931" s="45">
        <f t="shared" si="193"/>
        <v>0</v>
      </c>
      <c r="X931" s="45">
        <f t="shared" si="194"/>
        <v>0</v>
      </c>
      <c r="Y931" s="46">
        <f>0</f>
        <v>0</v>
      </c>
      <c r="Z931" s="11"/>
    </row>
    <row r="932" spans="11:26" x14ac:dyDescent="0.45">
      <c r="K932" s="39">
        <f t="shared" si="189"/>
        <v>0.94</v>
      </c>
      <c r="L932" s="40">
        <f t="shared" si="182"/>
        <v>40.94</v>
      </c>
      <c r="M932" s="41">
        <f t="shared" si="183"/>
        <v>35.94</v>
      </c>
      <c r="N932" s="49">
        <f t="shared" si="184"/>
        <v>1.3623880230227784E-2</v>
      </c>
      <c r="O932" s="50">
        <f t="shared" si="185"/>
        <v>8.8545873647945649E-3</v>
      </c>
      <c r="P932" s="50">
        <f t="shared" si="190"/>
        <v>1.3623880230227784E-2</v>
      </c>
      <c r="Q932" s="51">
        <f t="shared" si="191"/>
        <v>8.8545873647945649E-3</v>
      </c>
      <c r="R932" s="4">
        <f t="shared" si="186"/>
        <v>-7.2658249599008001E-3</v>
      </c>
      <c r="S932">
        <f t="shared" si="187"/>
        <v>0</v>
      </c>
      <c r="T932">
        <f t="shared" si="188"/>
        <v>0</v>
      </c>
      <c r="U932" s="5">
        <f>0</f>
        <v>0</v>
      </c>
      <c r="V932" s="45">
        <f t="shared" si="192"/>
        <v>0.20989189120447568</v>
      </c>
      <c r="W932" s="45">
        <f t="shared" si="193"/>
        <v>0</v>
      </c>
      <c r="X932" s="45">
        <f t="shared" si="194"/>
        <v>0</v>
      </c>
      <c r="Y932" s="46">
        <f>0</f>
        <v>0</v>
      </c>
      <c r="Z932" s="11"/>
    </row>
    <row r="933" spans="11:26" x14ac:dyDescent="0.45">
      <c r="K933" s="39">
        <f t="shared" si="189"/>
        <v>0.93</v>
      </c>
      <c r="L933" s="40">
        <f t="shared" si="182"/>
        <v>40.93</v>
      </c>
      <c r="M933" s="41">
        <f t="shared" si="183"/>
        <v>35.93</v>
      </c>
      <c r="N933" s="49">
        <f t="shared" si="184"/>
        <v>1.3612144541606089E-2</v>
      </c>
      <c r="O933" s="50">
        <f t="shared" si="185"/>
        <v>8.8469599724194953E-3</v>
      </c>
      <c r="P933" s="50">
        <f t="shared" si="190"/>
        <v>1.3612144541606089E-2</v>
      </c>
      <c r="Q933" s="51">
        <f t="shared" si="191"/>
        <v>8.8469599724194953E-3</v>
      </c>
      <c r="R933" s="4">
        <f t="shared" si="186"/>
        <v>-7.2452612808924892E-3</v>
      </c>
      <c r="S933">
        <f t="shared" si="187"/>
        <v>0</v>
      </c>
      <c r="T933">
        <f t="shared" si="188"/>
        <v>0</v>
      </c>
      <c r="U933" s="5">
        <f>0</f>
        <v>0</v>
      </c>
      <c r="V933" s="45">
        <f t="shared" si="192"/>
        <v>0.20996454945407469</v>
      </c>
      <c r="W933" s="45">
        <f t="shared" si="193"/>
        <v>0</v>
      </c>
      <c r="X933" s="45">
        <f t="shared" si="194"/>
        <v>0</v>
      </c>
      <c r="Y933" s="46">
        <f>0</f>
        <v>0</v>
      </c>
      <c r="Z933" s="11"/>
    </row>
    <row r="934" spans="11:26" x14ac:dyDescent="0.45">
      <c r="K934" s="39">
        <f t="shared" si="189"/>
        <v>0.92</v>
      </c>
      <c r="L934" s="40">
        <f t="shared" si="182"/>
        <v>40.92</v>
      </c>
      <c r="M934" s="41">
        <f t="shared" si="183"/>
        <v>35.92</v>
      </c>
      <c r="N934" s="49">
        <f t="shared" si="184"/>
        <v>1.360041896217392E-2</v>
      </c>
      <c r="O934" s="50">
        <f t="shared" si="185"/>
        <v>8.8393391503239962E-3</v>
      </c>
      <c r="P934" s="50">
        <f t="shared" si="190"/>
        <v>1.360041896217392E-2</v>
      </c>
      <c r="Q934" s="51">
        <f t="shared" si="191"/>
        <v>8.8393391503239962E-3</v>
      </c>
      <c r="R934" s="4">
        <f t="shared" si="186"/>
        <v>-7.2247284880986445E-3</v>
      </c>
      <c r="S934">
        <f t="shared" si="187"/>
        <v>0</v>
      </c>
      <c r="T934">
        <f t="shared" si="188"/>
        <v>0</v>
      </c>
      <c r="U934" s="5">
        <f>0</f>
        <v>0</v>
      </c>
      <c r="V934" s="45">
        <f t="shared" si="192"/>
        <v>0.21003700206688361</v>
      </c>
      <c r="W934" s="45">
        <f t="shared" si="193"/>
        <v>0</v>
      </c>
      <c r="X934" s="45">
        <f t="shared" si="194"/>
        <v>0</v>
      </c>
      <c r="Y934" s="46">
        <f>0</f>
        <v>0</v>
      </c>
      <c r="Z934" s="11"/>
    </row>
    <row r="935" spans="11:26" x14ac:dyDescent="0.45">
      <c r="K935" s="39">
        <f t="shared" si="189"/>
        <v>0.91</v>
      </c>
      <c r="L935" s="40">
        <f t="shared" si="182"/>
        <v>40.909999999999997</v>
      </c>
      <c r="M935" s="41">
        <f t="shared" si="183"/>
        <v>35.909999999999997</v>
      </c>
      <c r="N935" s="49">
        <f t="shared" si="184"/>
        <v>1.358870348322316E-2</v>
      </c>
      <c r="O935" s="50">
        <f t="shared" si="185"/>
        <v>8.8317248928483829E-3</v>
      </c>
      <c r="P935" s="50">
        <f t="shared" si="190"/>
        <v>1.358870348322316E-2</v>
      </c>
      <c r="Q935" s="51">
        <f t="shared" si="191"/>
        <v>8.8317248928483829E-3</v>
      </c>
      <c r="R935" s="4">
        <f t="shared" si="186"/>
        <v>-7.20422653224192E-3</v>
      </c>
      <c r="S935">
        <f t="shared" si="187"/>
        <v>0</v>
      </c>
      <c r="T935">
        <f t="shared" si="188"/>
        <v>0</v>
      </c>
      <c r="U935" s="5">
        <f>0</f>
        <v>0</v>
      </c>
      <c r="V935" s="45">
        <f t="shared" si="192"/>
        <v>0.21010924935176459</v>
      </c>
      <c r="W935" s="45">
        <f t="shared" si="193"/>
        <v>0</v>
      </c>
      <c r="X935" s="45">
        <f t="shared" si="194"/>
        <v>0</v>
      </c>
      <c r="Y935" s="46">
        <f>0</f>
        <v>0</v>
      </c>
      <c r="Z935" s="11"/>
    </row>
    <row r="936" spans="11:26" x14ac:dyDescent="0.45">
      <c r="K936" s="39">
        <f t="shared" si="189"/>
        <v>0.9</v>
      </c>
      <c r="L936" s="40">
        <f t="shared" si="182"/>
        <v>40.9</v>
      </c>
      <c r="M936" s="41">
        <f t="shared" si="183"/>
        <v>35.9</v>
      </c>
      <c r="N936" s="49">
        <f t="shared" si="184"/>
        <v>1.3576998096053223E-2</v>
      </c>
      <c r="O936" s="50">
        <f t="shared" si="185"/>
        <v>8.8241171943378629E-3</v>
      </c>
      <c r="P936" s="50">
        <f t="shared" si="190"/>
        <v>1.3576998096053223E-2</v>
      </c>
      <c r="Q936" s="51">
        <f t="shared" si="191"/>
        <v>8.8241171943378629E-3</v>
      </c>
      <c r="R936" s="4">
        <f t="shared" si="186"/>
        <v>-7.1837553641390609E-3</v>
      </c>
      <c r="S936">
        <f t="shared" si="187"/>
        <v>0</v>
      </c>
      <c r="T936">
        <f t="shared" si="188"/>
        <v>0</v>
      </c>
      <c r="U936" s="5">
        <f>0</f>
        <v>0</v>
      </c>
      <c r="V936" s="45">
        <f t="shared" si="192"/>
        <v>0.21018129161708701</v>
      </c>
      <c r="W936" s="45">
        <f t="shared" si="193"/>
        <v>0</v>
      </c>
      <c r="X936" s="45">
        <f t="shared" si="194"/>
        <v>0</v>
      </c>
      <c r="Y936" s="46">
        <f>0</f>
        <v>0</v>
      </c>
      <c r="Z936" s="11"/>
    </row>
    <row r="937" spans="11:26" x14ac:dyDescent="0.45">
      <c r="K937" s="39">
        <f t="shared" si="189"/>
        <v>0.89</v>
      </c>
      <c r="L937" s="40">
        <f t="shared" si="182"/>
        <v>40.89</v>
      </c>
      <c r="M937" s="41">
        <f t="shared" si="183"/>
        <v>35.89</v>
      </c>
      <c r="N937" s="49">
        <f t="shared" si="184"/>
        <v>1.3565302791970971E-2</v>
      </c>
      <c r="O937" s="50">
        <f t="shared" si="185"/>
        <v>8.8165160491425042E-3</v>
      </c>
      <c r="P937" s="50">
        <f t="shared" si="190"/>
        <v>1.3565302791970971E-2</v>
      </c>
      <c r="Q937" s="51">
        <f t="shared" si="191"/>
        <v>8.8165160491425042E-3</v>
      </c>
      <c r="R937" s="4">
        <f t="shared" si="186"/>
        <v>-7.163314934700583E-3</v>
      </c>
      <c r="S937">
        <f t="shared" si="187"/>
        <v>0</v>
      </c>
      <c r="T937">
        <f t="shared" si="188"/>
        <v>0</v>
      </c>
      <c r="U937" s="5">
        <f>0</f>
        <v>0</v>
      </c>
      <c r="V937" s="45">
        <f t="shared" si="192"/>
        <v>0.21025312917072841</v>
      </c>
      <c r="W937" s="45">
        <f t="shared" si="193"/>
        <v>0</v>
      </c>
      <c r="X937" s="45">
        <f t="shared" si="194"/>
        <v>0</v>
      </c>
      <c r="Y937" s="46">
        <f>0</f>
        <v>0</v>
      </c>
      <c r="Z937" s="11"/>
    </row>
    <row r="938" spans="11:26" x14ac:dyDescent="0.45">
      <c r="K938" s="39">
        <f t="shared" si="189"/>
        <v>0.88</v>
      </c>
      <c r="L938" s="40">
        <f t="shared" si="182"/>
        <v>40.880000000000003</v>
      </c>
      <c r="M938" s="41">
        <f t="shared" si="183"/>
        <v>35.880000000000003</v>
      </c>
      <c r="N938" s="49">
        <f t="shared" si="184"/>
        <v>1.3553617562290777E-2</v>
      </c>
      <c r="O938" s="50">
        <f t="shared" si="185"/>
        <v>8.8089214516172409E-3</v>
      </c>
      <c r="P938" s="50">
        <f t="shared" si="190"/>
        <v>1.3553617562290777E-2</v>
      </c>
      <c r="Q938" s="51">
        <f t="shared" si="191"/>
        <v>8.8089214516172409E-3</v>
      </c>
      <c r="R938" s="4">
        <f t="shared" si="186"/>
        <v>-7.1429051949306269E-3</v>
      </c>
      <c r="S938">
        <f t="shared" si="187"/>
        <v>0</v>
      </c>
      <c r="T938">
        <f t="shared" si="188"/>
        <v>0</v>
      </c>
      <c r="U938" s="5">
        <f>0</f>
        <v>0</v>
      </c>
      <c r="V938" s="45">
        <f t="shared" si="192"/>
        <v>0.21032476232007541</v>
      </c>
      <c r="W938" s="45">
        <f t="shared" si="193"/>
        <v>0</v>
      </c>
      <c r="X938" s="45">
        <f t="shared" si="194"/>
        <v>0</v>
      </c>
      <c r="Y938" s="46">
        <f>0</f>
        <v>0</v>
      </c>
      <c r="Z938" s="11"/>
    </row>
    <row r="939" spans="11:26" x14ac:dyDescent="0.45">
      <c r="K939" s="39">
        <f t="shared" si="189"/>
        <v>0.87</v>
      </c>
      <c r="L939" s="40">
        <f t="shared" si="182"/>
        <v>40.869999999999997</v>
      </c>
      <c r="M939" s="41">
        <f t="shared" si="183"/>
        <v>35.869999999999997</v>
      </c>
      <c r="N939" s="49">
        <f t="shared" si="184"/>
        <v>1.3541942398334488E-2</v>
      </c>
      <c r="O939" s="50">
        <f t="shared" si="185"/>
        <v>8.8013333961218711E-3</v>
      </c>
      <c r="P939" s="50">
        <f t="shared" si="190"/>
        <v>1.3541942398334488E-2</v>
      </c>
      <c r="Q939" s="51">
        <f t="shared" si="191"/>
        <v>8.8013333961218711E-3</v>
      </c>
      <c r="R939" s="4">
        <f t="shared" si="186"/>
        <v>-7.1225260959267567E-3</v>
      </c>
      <c r="S939">
        <f t="shared" si="187"/>
        <v>0</v>
      </c>
      <c r="T939">
        <f t="shared" si="188"/>
        <v>0</v>
      </c>
      <c r="U939" s="5">
        <f>0</f>
        <v>0</v>
      </c>
      <c r="V939" s="45">
        <f t="shared" si="192"/>
        <v>0.21039619137202473</v>
      </c>
      <c r="W939" s="45">
        <f t="shared" si="193"/>
        <v>0</v>
      </c>
      <c r="X939" s="45">
        <f t="shared" si="194"/>
        <v>0</v>
      </c>
      <c r="Y939" s="46">
        <f>0</f>
        <v>0</v>
      </c>
      <c r="Z939" s="11"/>
    </row>
    <row r="940" spans="11:26" x14ac:dyDescent="0.45">
      <c r="K940" s="39">
        <f t="shared" si="189"/>
        <v>0.86</v>
      </c>
      <c r="L940" s="40">
        <f t="shared" si="182"/>
        <v>40.86</v>
      </c>
      <c r="M940" s="41">
        <f t="shared" si="183"/>
        <v>35.86</v>
      </c>
      <c r="N940" s="49">
        <f t="shared" si="184"/>
        <v>1.3530277291431443E-2</v>
      </c>
      <c r="O940" s="50">
        <f t="shared" si="185"/>
        <v>8.7937518770210572E-3</v>
      </c>
      <c r="P940" s="50">
        <f t="shared" si="190"/>
        <v>1.3530277291431443E-2</v>
      </c>
      <c r="Q940" s="51">
        <f t="shared" si="191"/>
        <v>8.7937518770210572E-3</v>
      </c>
      <c r="R940" s="4">
        <f t="shared" si="186"/>
        <v>-7.1021775888797222E-3</v>
      </c>
      <c r="S940">
        <f t="shared" si="187"/>
        <v>0</v>
      </c>
      <c r="T940">
        <f t="shared" si="188"/>
        <v>0</v>
      </c>
      <c r="U940" s="5">
        <f>0</f>
        <v>0</v>
      </c>
      <c r="V940" s="45">
        <f t="shared" si="192"/>
        <v>0.21046741663298399</v>
      </c>
      <c r="W940" s="45">
        <f t="shared" si="193"/>
        <v>0</v>
      </c>
      <c r="X940" s="45">
        <f t="shared" si="194"/>
        <v>0</v>
      </c>
      <c r="Y940" s="46">
        <f>0</f>
        <v>0</v>
      </c>
      <c r="Z940" s="11"/>
    </row>
    <row r="941" spans="11:26" x14ac:dyDescent="0.45">
      <c r="K941" s="39">
        <f t="shared" si="189"/>
        <v>0.85</v>
      </c>
      <c r="L941" s="40">
        <f t="shared" si="182"/>
        <v>40.85</v>
      </c>
      <c r="M941" s="41">
        <f t="shared" si="183"/>
        <v>35.85</v>
      </c>
      <c r="N941" s="49">
        <f t="shared" si="184"/>
        <v>1.3518622232918439E-2</v>
      </c>
      <c r="O941" s="50">
        <f t="shared" si="185"/>
        <v>8.7861768886843099E-3</v>
      </c>
      <c r="P941" s="50">
        <f t="shared" si="190"/>
        <v>1.3518622232918439E-2</v>
      </c>
      <c r="Q941" s="51">
        <f t="shared" si="191"/>
        <v>8.7861768886843099E-3</v>
      </c>
      <c r="R941" s="4">
        <f t="shared" si="186"/>
        <v>-7.0818596250732703E-3</v>
      </c>
      <c r="S941">
        <f t="shared" si="187"/>
        <v>0</v>
      </c>
      <c r="T941">
        <f t="shared" si="188"/>
        <v>0</v>
      </c>
      <c r="U941" s="5">
        <f>0</f>
        <v>0</v>
      </c>
      <c r="V941" s="45">
        <f t="shared" si="192"/>
        <v>0.21053843840887279</v>
      </c>
      <c r="W941" s="45">
        <f t="shared" si="193"/>
        <v>0</v>
      </c>
      <c r="X941" s="45">
        <f t="shared" si="194"/>
        <v>0</v>
      </c>
      <c r="Y941" s="46">
        <f>0</f>
        <v>0</v>
      </c>
      <c r="Z941" s="11"/>
    </row>
    <row r="942" spans="11:26" x14ac:dyDescent="0.45">
      <c r="K942" s="39">
        <f t="shared" si="189"/>
        <v>0.84</v>
      </c>
      <c r="L942" s="40">
        <f t="shared" si="182"/>
        <v>40.840000000000003</v>
      </c>
      <c r="M942" s="41">
        <f t="shared" si="183"/>
        <v>35.840000000000003</v>
      </c>
      <c r="N942" s="49">
        <f t="shared" si="184"/>
        <v>1.3506977214139725E-2</v>
      </c>
      <c r="O942" s="50">
        <f t="shared" si="185"/>
        <v>8.7786084254859904E-3</v>
      </c>
      <c r="P942" s="50">
        <f t="shared" si="190"/>
        <v>1.3506977214139725E-2</v>
      </c>
      <c r="Q942" s="51">
        <f t="shared" si="191"/>
        <v>8.7786084254859904E-3</v>
      </c>
      <c r="R942" s="4">
        <f t="shared" si="186"/>
        <v>-7.0615721558839172E-3</v>
      </c>
      <c r="S942">
        <f t="shared" si="187"/>
        <v>0</v>
      </c>
      <c r="T942">
        <f t="shared" si="188"/>
        <v>0</v>
      </c>
      <c r="U942" s="5">
        <f>0</f>
        <v>0</v>
      </c>
      <c r="V942" s="45">
        <f t="shared" si="192"/>
        <v>0.21060925700512353</v>
      </c>
      <c r="W942" s="45">
        <f t="shared" si="193"/>
        <v>0</v>
      </c>
      <c r="X942" s="45">
        <f t="shared" si="194"/>
        <v>0</v>
      </c>
      <c r="Y942" s="46">
        <f>0</f>
        <v>0</v>
      </c>
      <c r="Z942" s="11"/>
    </row>
    <row r="943" spans="11:26" x14ac:dyDescent="0.45">
      <c r="K943" s="39">
        <f t="shared" si="189"/>
        <v>0.83</v>
      </c>
      <c r="L943" s="40">
        <f t="shared" si="182"/>
        <v>40.83</v>
      </c>
      <c r="M943" s="41">
        <f t="shared" si="183"/>
        <v>35.83</v>
      </c>
      <c r="N943" s="49">
        <f t="shared" si="184"/>
        <v>1.3495342226447016E-2</v>
      </c>
      <c r="O943" s="50">
        <f t="shared" si="185"/>
        <v>8.7710464818053051E-3</v>
      </c>
      <c r="P943" s="50">
        <f t="shared" si="190"/>
        <v>1.3495342226447016E-2</v>
      </c>
      <c r="Q943" s="51">
        <f t="shared" si="191"/>
        <v>8.7710464818053051E-3</v>
      </c>
      <c r="R943" s="4">
        <f t="shared" si="186"/>
        <v>-7.0413151327807649E-3</v>
      </c>
      <c r="S943">
        <f t="shared" si="187"/>
        <v>0</v>
      </c>
      <c r="T943">
        <f t="shared" si="188"/>
        <v>0</v>
      </c>
      <c r="U943" s="5">
        <f>0</f>
        <v>0</v>
      </c>
      <c r="V943" s="45">
        <f t="shared" si="192"/>
        <v>0.21067987272668237</v>
      </c>
      <c r="W943" s="45">
        <f t="shared" si="193"/>
        <v>0</v>
      </c>
      <c r="X943" s="45">
        <f t="shared" si="194"/>
        <v>0</v>
      </c>
      <c r="Y943" s="46">
        <f>0</f>
        <v>0</v>
      </c>
      <c r="Z943" s="11"/>
    </row>
    <row r="944" spans="11:26" x14ac:dyDescent="0.45">
      <c r="K944" s="39">
        <f t="shared" si="189"/>
        <v>0.82</v>
      </c>
      <c r="L944" s="40">
        <f t="shared" si="182"/>
        <v>40.82</v>
      </c>
      <c r="M944" s="41">
        <f t="shared" si="183"/>
        <v>35.82</v>
      </c>
      <c r="N944" s="49">
        <f t="shared" si="184"/>
        <v>1.3483717261199488E-2</v>
      </c>
      <c r="O944" s="50">
        <f t="shared" si="185"/>
        <v>8.7634910520263086E-3</v>
      </c>
      <c r="P944" s="50">
        <f t="shared" si="190"/>
        <v>1.3483717261199488E-2</v>
      </c>
      <c r="Q944" s="51">
        <f t="shared" si="191"/>
        <v>8.7634910520263086E-3</v>
      </c>
      <c r="R944" s="4">
        <f t="shared" si="186"/>
        <v>-7.021088507325305E-3</v>
      </c>
      <c r="S944">
        <f t="shared" si="187"/>
        <v>0</v>
      </c>
      <c r="T944">
        <f t="shared" si="188"/>
        <v>0</v>
      </c>
      <c r="U944" s="5">
        <f>0</f>
        <v>0</v>
      </c>
      <c r="V944" s="45">
        <f t="shared" si="192"/>
        <v>0.21075028587801017</v>
      </c>
      <c r="W944" s="45">
        <f t="shared" si="193"/>
        <v>0</v>
      </c>
      <c r="X944" s="45">
        <f t="shared" si="194"/>
        <v>0</v>
      </c>
      <c r="Y944" s="46">
        <f>0</f>
        <v>0</v>
      </c>
      <c r="Z944" s="11"/>
    </row>
    <row r="945" spans="11:26" x14ac:dyDescent="0.45">
      <c r="K945" s="39">
        <f t="shared" si="189"/>
        <v>0.81</v>
      </c>
      <c r="L945" s="40">
        <f t="shared" si="182"/>
        <v>40.81</v>
      </c>
      <c r="M945" s="41">
        <f t="shared" si="183"/>
        <v>35.81</v>
      </c>
      <c r="N945" s="49">
        <f t="shared" si="184"/>
        <v>1.3472102309763746E-2</v>
      </c>
      <c r="O945" s="50">
        <f t="shared" si="185"/>
        <v>8.755942130537887E-3</v>
      </c>
      <c r="P945" s="50">
        <f t="shared" si="190"/>
        <v>1.3472102309763746E-2</v>
      </c>
      <c r="Q945" s="51">
        <f t="shared" si="191"/>
        <v>8.755942130537887E-3</v>
      </c>
      <c r="R945" s="4">
        <f t="shared" si="186"/>
        <v>-7.0008922311711758E-3</v>
      </c>
      <c r="S945">
        <f t="shared" si="187"/>
        <v>0</v>
      </c>
      <c r="T945">
        <f t="shared" si="188"/>
        <v>0</v>
      </c>
      <c r="U945" s="5">
        <f>0</f>
        <v>0</v>
      </c>
      <c r="V945" s="45">
        <f t="shared" si="192"/>
        <v>0.21082049676308343</v>
      </c>
      <c r="W945" s="45">
        <f t="shared" si="193"/>
        <v>0</v>
      </c>
      <c r="X945" s="45">
        <f t="shared" si="194"/>
        <v>0</v>
      </c>
      <c r="Y945" s="46">
        <f>0</f>
        <v>0</v>
      </c>
      <c r="Z945" s="11"/>
    </row>
    <row r="946" spans="11:26" x14ac:dyDescent="0.45">
      <c r="K946" s="39">
        <f t="shared" si="189"/>
        <v>0.8</v>
      </c>
      <c r="L946" s="40">
        <f t="shared" si="182"/>
        <v>40.799999999999997</v>
      </c>
      <c r="M946" s="41">
        <f t="shared" si="183"/>
        <v>35.799999999999997</v>
      </c>
      <c r="N946" s="49">
        <f t="shared" si="184"/>
        <v>1.3460497363513822E-2</v>
      </c>
      <c r="O946" s="50">
        <f t="shared" si="185"/>
        <v>8.7483997117337575E-3</v>
      </c>
      <c r="P946" s="50">
        <f t="shared" si="190"/>
        <v>1.3460497363513822E-2</v>
      </c>
      <c r="Q946" s="51">
        <f t="shared" si="191"/>
        <v>8.7483997117337575E-3</v>
      </c>
      <c r="R946" s="4">
        <f t="shared" si="186"/>
        <v>-6.9807262560639665E-3</v>
      </c>
      <c r="S946">
        <f t="shared" si="187"/>
        <v>0</v>
      </c>
      <c r="T946">
        <f t="shared" si="188"/>
        <v>0</v>
      </c>
      <c r="U946" s="5">
        <f>0</f>
        <v>0</v>
      </c>
      <c r="V946" s="45">
        <f t="shared" si="192"/>
        <v>0.21089050568539514</v>
      </c>
      <c r="W946" s="45">
        <f t="shared" si="193"/>
        <v>0</v>
      </c>
      <c r="X946" s="45">
        <f t="shared" si="194"/>
        <v>0</v>
      </c>
      <c r="Y946" s="46">
        <f>0</f>
        <v>0</v>
      </c>
      <c r="Z946" s="11"/>
    </row>
    <row r="947" spans="11:26" x14ac:dyDescent="0.45">
      <c r="K947" s="39">
        <f t="shared" si="189"/>
        <v>0.79</v>
      </c>
      <c r="L947" s="40">
        <f t="shared" si="182"/>
        <v>40.79</v>
      </c>
      <c r="M947" s="41">
        <f t="shared" si="183"/>
        <v>35.79</v>
      </c>
      <c r="N947" s="49">
        <f t="shared" si="184"/>
        <v>1.3448902413831209E-2</v>
      </c>
      <c r="O947" s="50">
        <f t="shared" si="185"/>
        <v>8.7408637900124771E-3</v>
      </c>
      <c r="P947" s="50">
        <f t="shared" si="190"/>
        <v>1.3448902413831209E-2</v>
      </c>
      <c r="Q947" s="51">
        <f t="shared" si="191"/>
        <v>8.7408637900124771E-3</v>
      </c>
      <c r="R947" s="4">
        <f t="shared" si="186"/>
        <v>-6.9605905338410608E-3</v>
      </c>
      <c r="S947">
        <f t="shared" si="187"/>
        <v>0</v>
      </c>
      <c r="T947">
        <f t="shared" si="188"/>
        <v>0</v>
      </c>
      <c r="U947" s="5">
        <f>0</f>
        <v>0</v>
      </c>
      <c r="V947" s="45">
        <f t="shared" si="192"/>
        <v>0.21096031294795578</v>
      </c>
      <c r="W947" s="45">
        <f t="shared" si="193"/>
        <v>0</v>
      </c>
      <c r="X947" s="45">
        <f t="shared" si="194"/>
        <v>0</v>
      </c>
      <c r="Y947" s="46">
        <f>0</f>
        <v>0</v>
      </c>
      <c r="Z947" s="11"/>
    </row>
    <row r="948" spans="11:26" x14ac:dyDescent="0.45">
      <c r="K948" s="39">
        <f t="shared" si="189"/>
        <v>0.78</v>
      </c>
      <c r="L948" s="40">
        <f t="shared" si="182"/>
        <v>40.78</v>
      </c>
      <c r="M948" s="41">
        <f t="shared" si="183"/>
        <v>35.78</v>
      </c>
      <c r="N948" s="49">
        <f t="shared" si="184"/>
        <v>1.3437317452104802E-2</v>
      </c>
      <c r="O948" s="50">
        <f t="shared" si="185"/>
        <v>8.7333343597774185E-3</v>
      </c>
      <c r="P948" s="50">
        <f t="shared" si="190"/>
        <v>1.3437317452104802E-2</v>
      </c>
      <c r="Q948" s="51">
        <f t="shared" si="191"/>
        <v>8.7333343597774185E-3</v>
      </c>
      <c r="R948" s="4">
        <f t="shared" si="186"/>
        <v>-6.9404850164313629E-3</v>
      </c>
      <c r="S948">
        <f t="shared" si="187"/>
        <v>0</v>
      </c>
      <c r="T948">
        <f t="shared" si="188"/>
        <v>0</v>
      </c>
      <c r="U948" s="5">
        <f>0</f>
        <v>0</v>
      </c>
      <c r="V948" s="45">
        <f t="shared" si="192"/>
        <v>0.2110299188532942</v>
      </c>
      <c r="W948" s="45">
        <f t="shared" si="193"/>
        <v>0</v>
      </c>
      <c r="X948" s="45">
        <f t="shared" si="194"/>
        <v>0</v>
      </c>
      <c r="Y948" s="46">
        <f>0</f>
        <v>0</v>
      </c>
      <c r="Z948" s="11"/>
    </row>
    <row r="949" spans="11:26" x14ac:dyDescent="0.45">
      <c r="K949" s="39">
        <f t="shared" si="189"/>
        <v>0.77</v>
      </c>
      <c r="L949" s="40">
        <f t="shared" si="182"/>
        <v>40.770000000000003</v>
      </c>
      <c r="M949" s="41">
        <f t="shared" si="183"/>
        <v>35.770000000000003</v>
      </c>
      <c r="N949" s="49">
        <f t="shared" si="184"/>
        <v>1.3425742469730913E-2</v>
      </c>
      <c r="O949" s="50">
        <f t="shared" si="185"/>
        <v>8.7258114154367839E-3</v>
      </c>
      <c r="P949" s="50">
        <f t="shared" si="190"/>
        <v>1.3425742469730913E-2</v>
      </c>
      <c r="Q949" s="51">
        <f t="shared" si="191"/>
        <v>8.7258114154367839E-3</v>
      </c>
      <c r="R949" s="4">
        <f t="shared" si="186"/>
        <v>-6.9204096558551486E-3</v>
      </c>
      <c r="S949">
        <f t="shared" si="187"/>
        <v>0</v>
      </c>
      <c r="T949">
        <f t="shared" si="188"/>
        <v>0</v>
      </c>
      <c r="U949" s="5">
        <f>0</f>
        <v>0</v>
      </c>
      <c r="V949" s="45">
        <f t="shared" si="192"/>
        <v>0.21109932370345852</v>
      </c>
      <c r="W949" s="45">
        <f t="shared" si="193"/>
        <v>0</v>
      </c>
      <c r="X949" s="45">
        <f t="shared" si="194"/>
        <v>0</v>
      </c>
      <c r="Y949" s="46">
        <f>0</f>
        <v>0</v>
      </c>
      <c r="Z949" s="11"/>
    </row>
    <row r="950" spans="11:26" x14ac:dyDescent="0.45">
      <c r="K950" s="39">
        <f t="shared" si="189"/>
        <v>0.76</v>
      </c>
      <c r="L950" s="40">
        <f t="shared" si="182"/>
        <v>40.76</v>
      </c>
      <c r="M950" s="41">
        <f t="shared" si="183"/>
        <v>35.76</v>
      </c>
      <c r="N950" s="49">
        <f t="shared" si="184"/>
        <v>1.3414177458113267E-2</v>
      </c>
      <c r="O950" s="50">
        <f t="shared" si="185"/>
        <v>8.7182949514035667E-3</v>
      </c>
      <c r="P950" s="50">
        <f t="shared" si="190"/>
        <v>1.3414177458113267E-2</v>
      </c>
      <c r="Q950" s="51">
        <f t="shared" si="191"/>
        <v>8.7182949514035667E-3</v>
      </c>
      <c r="R950" s="4">
        <f t="shared" si="186"/>
        <v>-6.9003644042238133E-3</v>
      </c>
      <c r="S950">
        <f t="shared" si="187"/>
        <v>0</v>
      </c>
      <c r="T950">
        <f t="shared" si="188"/>
        <v>0</v>
      </c>
      <c r="U950" s="5">
        <f>0</f>
        <v>0</v>
      </c>
      <c r="V950" s="45">
        <f t="shared" si="192"/>
        <v>0.21116852780001708</v>
      </c>
      <c r="W950" s="45">
        <f t="shared" si="193"/>
        <v>0</v>
      </c>
      <c r="X950" s="45">
        <f t="shared" si="194"/>
        <v>0</v>
      </c>
      <c r="Y950" s="46">
        <f>0</f>
        <v>0</v>
      </c>
      <c r="Z950" s="11"/>
    </row>
    <row r="951" spans="11:26" x14ac:dyDescent="0.45">
      <c r="K951" s="39">
        <f t="shared" si="189"/>
        <v>0.75</v>
      </c>
      <c r="L951" s="40">
        <f t="shared" si="182"/>
        <v>40.75</v>
      </c>
      <c r="M951" s="41">
        <f t="shared" si="183"/>
        <v>35.75</v>
      </c>
      <c r="N951" s="49">
        <f t="shared" si="184"/>
        <v>1.3402622408663011E-2</v>
      </c>
      <c r="O951" s="50">
        <f t="shared" si="185"/>
        <v>8.7107849620956159E-3</v>
      </c>
      <c r="P951" s="50">
        <f t="shared" si="190"/>
        <v>1.3402622408663011E-2</v>
      </c>
      <c r="Q951" s="51">
        <f t="shared" si="191"/>
        <v>8.7107849620956159E-3</v>
      </c>
      <c r="R951" s="4">
        <f t="shared" si="186"/>
        <v>-6.8803492137397421E-3</v>
      </c>
      <c r="S951">
        <f t="shared" si="187"/>
        <v>0</v>
      </c>
      <c r="T951">
        <f t="shared" si="188"/>
        <v>0</v>
      </c>
      <c r="U951" s="5">
        <f>0</f>
        <v>0</v>
      </c>
      <c r="V951" s="45">
        <f t="shared" si="192"/>
        <v>0.21123753144405932</v>
      </c>
      <c r="W951" s="45">
        <f t="shared" si="193"/>
        <v>0</v>
      </c>
      <c r="X951" s="45">
        <f t="shared" si="194"/>
        <v>0</v>
      </c>
      <c r="Y951" s="46">
        <f>0</f>
        <v>0</v>
      </c>
      <c r="Z951" s="11"/>
    </row>
    <row r="952" spans="11:26" x14ac:dyDescent="0.45">
      <c r="K952" s="39">
        <f t="shared" si="189"/>
        <v>0.74</v>
      </c>
      <c r="L952" s="40">
        <f t="shared" si="182"/>
        <v>40.74</v>
      </c>
      <c r="M952" s="41">
        <f t="shared" si="183"/>
        <v>35.74</v>
      </c>
      <c r="N952" s="49">
        <f t="shared" si="184"/>
        <v>1.3391077312798667E-2</v>
      </c>
      <c r="O952" s="50">
        <f t="shared" si="185"/>
        <v>8.7032814419355613E-3</v>
      </c>
      <c r="P952" s="50">
        <f t="shared" si="190"/>
        <v>1.3391077312798667E-2</v>
      </c>
      <c r="Q952" s="51">
        <f t="shared" si="191"/>
        <v>8.7032814419355613E-3</v>
      </c>
      <c r="R952" s="4">
        <f t="shared" si="186"/>
        <v>-6.8603640366960306E-3</v>
      </c>
      <c r="S952">
        <f t="shared" si="187"/>
        <v>0</v>
      </c>
      <c r="T952">
        <f t="shared" si="188"/>
        <v>0</v>
      </c>
      <c r="U952" s="5">
        <f>0</f>
        <v>0</v>
      </c>
      <c r="V952" s="45">
        <f t="shared" si="192"/>
        <v>0.21130633493619672</v>
      </c>
      <c r="W952" s="45">
        <f t="shared" si="193"/>
        <v>0</v>
      </c>
      <c r="X952" s="45">
        <f t="shared" si="194"/>
        <v>0</v>
      </c>
      <c r="Y952" s="46">
        <f>0</f>
        <v>0</v>
      </c>
      <c r="Z952" s="11"/>
    </row>
    <row r="953" spans="11:26" x14ac:dyDescent="0.45">
      <c r="K953" s="39">
        <f t="shared" si="189"/>
        <v>0.73</v>
      </c>
      <c r="L953" s="40">
        <f t="shared" si="182"/>
        <v>40.729999999999997</v>
      </c>
      <c r="M953" s="41">
        <f t="shared" si="183"/>
        <v>35.729999999999997</v>
      </c>
      <c r="N953" s="49">
        <f t="shared" si="184"/>
        <v>1.3379542161946157E-2</v>
      </c>
      <c r="O953" s="50">
        <f t="shared" si="185"/>
        <v>8.695784385350824E-3</v>
      </c>
      <c r="P953" s="50">
        <f t="shared" si="190"/>
        <v>1.3379542161946157E-2</v>
      </c>
      <c r="Q953" s="51">
        <f t="shared" si="191"/>
        <v>8.695784385350824E-3</v>
      </c>
      <c r="R953" s="4">
        <f t="shared" si="186"/>
        <v>-6.8404088254763115E-3</v>
      </c>
      <c r="S953">
        <f t="shared" si="187"/>
        <v>0</v>
      </c>
      <c r="T953">
        <f t="shared" si="188"/>
        <v>0</v>
      </c>
      <c r="U953" s="5">
        <f>0</f>
        <v>0</v>
      </c>
      <c r="V953" s="45">
        <f t="shared" si="192"/>
        <v>0.21137493857656367</v>
      </c>
      <c r="W953" s="45">
        <f t="shared" si="193"/>
        <v>0</v>
      </c>
      <c r="X953" s="45">
        <f t="shared" si="194"/>
        <v>0</v>
      </c>
      <c r="Y953" s="46">
        <f>0</f>
        <v>0</v>
      </c>
      <c r="Z953" s="11"/>
    </row>
    <row r="954" spans="11:26" x14ac:dyDescent="0.45">
      <c r="K954" s="39">
        <f t="shared" si="189"/>
        <v>0.72</v>
      </c>
      <c r="L954" s="40">
        <f t="shared" si="182"/>
        <v>40.72</v>
      </c>
      <c r="M954" s="41">
        <f t="shared" si="183"/>
        <v>35.72</v>
      </c>
      <c r="N954" s="49">
        <f t="shared" si="184"/>
        <v>1.3368016947538801E-2</v>
      </c>
      <c r="O954" s="50">
        <f t="shared" si="185"/>
        <v>8.688293786773665E-3</v>
      </c>
      <c r="P954" s="50">
        <f t="shared" si="190"/>
        <v>1.3368016947538801E-2</v>
      </c>
      <c r="Q954" s="51">
        <f t="shared" si="191"/>
        <v>8.688293786773665E-3</v>
      </c>
      <c r="R954" s="4">
        <f t="shared" si="186"/>
        <v>-6.8204835325545998E-3</v>
      </c>
      <c r="S954">
        <f t="shared" si="187"/>
        <v>0</v>
      </c>
      <c r="T954">
        <f t="shared" si="188"/>
        <v>0</v>
      </c>
      <c r="U954" s="5">
        <f>0</f>
        <v>0</v>
      </c>
      <c r="V954" s="45">
        <f t="shared" si="192"/>
        <v>0.21144334266481843</v>
      </c>
      <c r="W954" s="45">
        <f t="shared" si="193"/>
        <v>0</v>
      </c>
      <c r="X954" s="45">
        <f t="shared" si="194"/>
        <v>0</v>
      </c>
      <c r="Y954" s="46">
        <f>0</f>
        <v>0</v>
      </c>
      <c r="Z954" s="11"/>
    </row>
    <row r="955" spans="11:26" x14ac:dyDescent="0.45">
      <c r="K955" s="39">
        <f t="shared" si="189"/>
        <v>0.71</v>
      </c>
      <c r="L955" s="40">
        <f t="shared" si="182"/>
        <v>40.71</v>
      </c>
      <c r="M955" s="41">
        <f t="shared" si="183"/>
        <v>35.71</v>
      </c>
      <c r="N955" s="49">
        <f t="shared" si="184"/>
        <v>1.3356501661017282E-2</v>
      </c>
      <c r="O955" s="50">
        <f t="shared" si="185"/>
        <v>8.6808096406411142E-3</v>
      </c>
      <c r="P955" s="50">
        <f t="shared" si="190"/>
        <v>1.3356501661017282E-2</v>
      </c>
      <c r="Q955" s="51">
        <f t="shared" si="191"/>
        <v>8.6808096406411142E-3</v>
      </c>
      <c r="R955" s="4">
        <f t="shared" si="186"/>
        <v>-6.8005881104950174E-3</v>
      </c>
      <c r="S955">
        <f t="shared" si="187"/>
        <v>0</v>
      </c>
      <c r="T955">
        <f t="shared" si="188"/>
        <v>0</v>
      </c>
      <c r="U955" s="5">
        <f>0</f>
        <v>0</v>
      </c>
      <c r="V955" s="45">
        <f t="shared" si="192"/>
        <v>0.21151154750014398</v>
      </c>
      <c r="W955" s="45">
        <f t="shared" si="193"/>
        <v>0</v>
      </c>
      <c r="X955" s="45">
        <f t="shared" si="194"/>
        <v>0</v>
      </c>
      <c r="Y955" s="46">
        <f>0</f>
        <v>0</v>
      </c>
      <c r="Z955" s="11"/>
    </row>
    <row r="956" spans="11:26" x14ac:dyDescent="0.45">
      <c r="K956" s="39">
        <f t="shared" si="189"/>
        <v>0.7</v>
      </c>
      <c r="L956" s="40">
        <f t="shared" si="182"/>
        <v>40.700000000000003</v>
      </c>
      <c r="M956" s="41">
        <f t="shared" si="183"/>
        <v>35.700000000000003</v>
      </c>
      <c r="N956" s="49">
        <f t="shared" si="184"/>
        <v>1.3344996293829662E-2</v>
      </c>
      <c r="O956" s="50">
        <f t="shared" si="185"/>
        <v>8.6733319413949926E-3</v>
      </c>
      <c r="P956" s="50">
        <f t="shared" si="190"/>
        <v>1.3344996293829662E-2</v>
      </c>
      <c r="Q956" s="51">
        <f t="shared" si="191"/>
        <v>8.6733319413949926E-3</v>
      </c>
      <c r="R956" s="4">
        <f t="shared" si="186"/>
        <v>-6.7807225119516333E-3</v>
      </c>
      <c r="S956">
        <f t="shared" si="187"/>
        <v>0</v>
      </c>
      <c r="T956">
        <f t="shared" si="188"/>
        <v>0</v>
      </c>
      <c r="U956" s="5">
        <f>0</f>
        <v>0</v>
      </c>
      <c r="V956" s="45">
        <f t="shared" si="192"/>
        <v>0.21157955338124892</v>
      </c>
      <c r="W956" s="45">
        <f t="shared" si="193"/>
        <v>0</v>
      </c>
      <c r="X956" s="45">
        <f t="shared" si="194"/>
        <v>0</v>
      </c>
      <c r="Y956" s="46">
        <f>0</f>
        <v>0</v>
      </c>
      <c r="Z956" s="11"/>
    </row>
    <row r="957" spans="11:26" x14ac:dyDescent="0.45">
      <c r="K957" s="39">
        <f t="shared" si="189"/>
        <v>0.69</v>
      </c>
      <c r="L957" s="40">
        <f t="shared" si="182"/>
        <v>40.69</v>
      </c>
      <c r="M957" s="41">
        <f t="shared" si="183"/>
        <v>35.69</v>
      </c>
      <c r="N957" s="49">
        <f t="shared" si="184"/>
        <v>1.3333500837431362E-2</v>
      </c>
      <c r="O957" s="50">
        <f t="shared" si="185"/>
        <v>8.6658606834819109E-3</v>
      </c>
      <c r="P957" s="50">
        <f t="shared" si="190"/>
        <v>1.3333500837431362E-2</v>
      </c>
      <c r="Q957" s="51">
        <f t="shared" si="191"/>
        <v>8.6658606834819109E-3</v>
      </c>
      <c r="R957" s="4">
        <f t="shared" si="186"/>
        <v>-6.7608866896682537E-3</v>
      </c>
      <c r="S957">
        <f t="shared" si="187"/>
        <v>0</v>
      </c>
      <c r="T957">
        <f t="shared" si="188"/>
        <v>0</v>
      </c>
      <c r="U957" s="5">
        <f>0</f>
        <v>0</v>
      </c>
      <c r="V957" s="45">
        <f t="shared" si="192"/>
        <v>0.21164736060636843</v>
      </c>
      <c r="W957" s="45">
        <f t="shared" si="193"/>
        <v>0</v>
      </c>
      <c r="X957" s="45">
        <f t="shared" si="194"/>
        <v>0</v>
      </c>
      <c r="Y957" s="46">
        <f>0</f>
        <v>0</v>
      </c>
      <c r="Z957" s="11"/>
    </row>
    <row r="958" spans="11:26" x14ac:dyDescent="0.45">
      <c r="K958" s="39">
        <f t="shared" si="189"/>
        <v>0.68</v>
      </c>
      <c r="L958" s="40">
        <f t="shared" si="182"/>
        <v>40.68</v>
      </c>
      <c r="M958" s="41">
        <f t="shared" si="183"/>
        <v>35.68</v>
      </c>
      <c r="N958" s="49">
        <f t="shared" si="184"/>
        <v>1.3322015283285188E-2</v>
      </c>
      <c r="O958" s="50">
        <f t="shared" si="185"/>
        <v>8.6583958613532866E-3</v>
      </c>
      <c r="P958" s="50">
        <f t="shared" si="190"/>
        <v>1.3322015283285188E-2</v>
      </c>
      <c r="Q958" s="51">
        <f t="shared" si="191"/>
        <v>8.6583958613532866E-3</v>
      </c>
      <c r="R958" s="4">
        <f t="shared" si="186"/>
        <v>-6.7410805964782661E-3</v>
      </c>
      <c r="S958">
        <f t="shared" si="187"/>
        <v>0</v>
      </c>
      <c r="T958">
        <f t="shared" si="188"/>
        <v>0</v>
      </c>
      <c r="U958" s="5">
        <f>0</f>
        <v>0</v>
      </c>
      <c r="V958" s="45">
        <f t="shared" si="192"/>
        <v>0.21171496947326512</v>
      </c>
      <c r="W958" s="45">
        <f t="shared" si="193"/>
        <v>0</v>
      </c>
      <c r="X958" s="45">
        <f t="shared" si="194"/>
        <v>0</v>
      </c>
      <c r="Y958" s="46">
        <f>0</f>
        <v>0</v>
      </c>
      <c r="Z958" s="11"/>
    </row>
    <row r="959" spans="11:26" x14ac:dyDescent="0.45">
      <c r="K959" s="39">
        <f t="shared" si="189"/>
        <v>0.67</v>
      </c>
      <c r="L959" s="40">
        <f t="shared" si="182"/>
        <v>40.67</v>
      </c>
      <c r="M959" s="41">
        <f t="shared" si="183"/>
        <v>35.67</v>
      </c>
      <c r="N959" s="49">
        <f t="shared" si="184"/>
        <v>1.3310539622861274E-2</v>
      </c>
      <c r="O959" s="50">
        <f t="shared" si="185"/>
        <v>8.6509374694652818E-3</v>
      </c>
      <c r="P959" s="50">
        <f t="shared" si="190"/>
        <v>1.3310539622861274E-2</v>
      </c>
      <c r="Q959" s="51">
        <f t="shared" si="191"/>
        <v>8.6509374694652818E-3</v>
      </c>
      <c r="R959" s="4">
        <f t="shared" si="186"/>
        <v>-6.721304185304363E-3</v>
      </c>
      <c r="S959">
        <f t="shared" si="187"/>
        <v>0</v>
      </c>
      <c r="T959">
        <f t="shared" si="188"/>
        <v>0</v>
      </c>
      <c r="U959" s="5">
        <f>0</f>
        <v>0</v>
      </c>
      <c r="V959" s="45">
        <f t="shared" si="192"/>
        <v>0.21178238027922991</v>
      </c>
      <c r="W959" s="45">
        <f t="shared" si="193"/>
        <v>0</v>
      </c>
      <c r="X959" s="45">
        <f t="shared" si="194"/>
        <v>0</v>
      </c>
      <c r="Y959" s="46">
        <f>0</f>
        <v>0</v>
      </c>
      <c r="Z959" s="11"/>
    </row>
    <row r="960" spans="11:26" x14ac:dyDescent="0.45">
      <c r="K960" s="39">
        <f t="shared" si="189"/>
        <v>0.66</v>
      </c>
      <c r="L960" s="40">
        <f t="shared" si="182"/>
        <v>40.659999999999997</v>
      </c>
      <c r="M960" s="41">
        <f t="shared" si="183"/>
        <v>35.659999999999997</v>
      </c>
      <c r="N960" s="49">
        <f t="shared" si="184"/>
        <v>1.3299073847637104E-2</v>
      </c>
      <c r="O960" s="50">
        <f t="shared" si="185"/>
        <v>8.6434855022788481E-3</v>
      </c>
      <c r="P960" s="50">
        <f t="shared" si="190"/>
        <v>1.3299073847637104E-2</v>
      </c>
      <c r="Q960" s="51">
        <f t="shared" si="191"/>
        <v>8.6434855022788481E-3</v>
      </c>
      <c r="R960" s="4">
        <f t="shared" si="186"/>
        <v>-6.7015574091583846E-3</v>
      </c>
      <c r="S960">
        <f t="shared" si="187"/>
        <v>0</v>
      </c>
      <c r="T960">
        <f t="shared" si="188"/>
        <v>0</v>
      </c>
      <c r="U960" s="5">
        <f>0</f>
        <v>0</v>
      </c>
      <c r="V960" s="45">
        <f t="shared" si="192"/>
        <v>0.21184959332108294</v>
      </c>
      <c r="W960" s="45">
        <f t="shared" si="193"/>
        <v>0</v>
      </c>
      <c r="X960" s="45">
        <f t="shared" si="194"/>
        <v>0</v>
      </c>
      <c r="Y960" s="46">
        <f>0</f>
        <v>0</v>
      </c>
      <c r="Z960" s="11"/>
    </row>
    <row r="961" spans="11:26" x14ac:dyDescent="0.45">
      <c r="K961" s="39">
        <f t="shared" si="189"/>
        <v>0.65</v>
      </c>
      <c r="L961" s="40">
        <f t="shared" si="182"/>
        <v>40.65</v>
      </c>
      <c r="M961" s="41">
        <f t="shared" si="183"/>
        <v>35.65</v>
      </c>
      <c r="N961" s="49">
        <f t="shared" si="184"/>
        <v>1.3287617949097524E-2</v>
      </c>
      <c r="O961" s="50">
        <f t="shared" si="185"/>
        <v>8.6360399542597319E-3</v>
      </c>
      <c r="P961" s="50">
        <f t="shared" si="190"/>
        <v>1.3287617949097524E-2</v>
      </c>
      <c r="Q961" s="51">
        <f t="shared" si="191"/>
        <v>8.6360399542597319E-3</v>
      </c>
      <c r="R961" s="4">
        <f t="shared" si="186"/>
        <v>-6.6818402211411693E-3</v>
      </c>
      <c r="S961">
        <f t="shared" si="187"/>
        <v>0</v>
      </c>
      <c r="T961">
        <f t="shared" si="188"/>
        <v>0</v>
      </c>
      <c r="U961" s="5">
        <f>0</f>
        <v>0</v>
      </c>
      <c r="V961" s="45">
        <f t="shared" si="192"/>
        <v>0.21191660889517452</v>
      </c>
      <c r="W961" s="45">
        <f t="shared" si="193"/>
        <v>0</v>
      </c>
      <c r="X961" s="45">
        <f t="shared" si="194"/>
        <v>0</v>
      </c>
      <c r="Y961" s="46">
        <f>0</f>
        <v>0</v>
      </c>
      <c r="Z961" s="11"/>
    </row>
    <row r="962" spans="11:26" x14ac:dyDescent="0.45">
      <c r="K962" s="39">
        <f t="shared" si="189"/>
        <v>0.64</v>
      </c>
      <c r="L962" s="40">
        <f t="shared" si="182"/>
        <v>40.64</v>
      </c>
      <c r="M962" s="41">
        <f t="shared" si="183"/>
        <v>35.64</v>
      </c>
      <c r="N962" s="49">
        <f t="shared" si="184"/>
        <v>1.3276171918734696E-2</v>
      </c>
      <c r="O962" s="50">
        <f t="shared" si="185"/>
        <v>8.6286008198784049E-3</v>
      </c>
      <c r="P962" s="50">
        <f t="shared" si="190"/>
        <v>1.3276171918734696E-2</v>
      </c>
      <c r="Q962" s="51">
        <f t="shared" si="191"/>
        <v>8.6286008198784049E-3</v>
      </c>
      <c r="R962" s="4">
        <f t="shared" si="186"/>
        <v>-6.66215257444225E-3</v>
      </c>
      <c r="S962">
        <f t="shared" si="187"/>
        <v>0</v>
      </c>
      <c r="T962">
        <f t="shared" si="188"/>
        <v>0</v>
      </c>
      <c r="U962" s="5">
        <f>0</f>
        <v>0</v>
      </c>
      <c r="V962" s="45">
        <f t="shared" si="192"/>
        <v>0.21198342729738592</v>
      </c>
      <c r="W962" s="45">
        <f t="shared" si="193"/>
        <v>0</v>
      </c>
      <c r="X962" s="45">
        <f t="shared" si="194"/>
        <v>0</v>
      </c>
      <c r="Y962" s="46">
        <f>0</f>
        <v>0</v>
      </c>
      <c r="Z962" s="11"/>
    </row>
    <row r="963" spans="11:26" x14ac:dyDescent="0.45">
      <c r="K963" s="39">
        <f t="shared" si="189"/>
        <v>0.63</v>
      </c>
      <c r="L963" s="40">
        <f t="shared" si="182"/>
        <v>40.630000000000003</v>
      </c>
      <c r="M963" s="41">
        <f t="shared" si="183"/>
        <v>35.630000000000003</v>
      </c>
      <c r="N963" s="49">
        <f t="shared" si="184"/>
        <v>1.3264735748048111E-2</v>
      </c>
      <c r="O963" s="50">
        <f t="shared" si="185"/>
        <v>8.6211680936101286E-3</v>
      </c>
      <c r="P963" s="50">
        <f t="shared" si="190"/>
        <v>1.3264735748048111E-2</v>
      </c>
      <c r="Q963" s="51">
        <f t="shared" si="191"/>
        <v>8.6211680936101286E-3</v>
      </c>
      <c r="R963" s="4">
        <f t="shared" si="186"/>
        <v>-6.6424944223397592E-3</v>
      </c>
      <c r="S963">
        <f t="shared" si="187"/>
        <v>0</v>
      </c>
      <c r="T963">
        <f t="shared" si="188"/>
        <v>0</v>
      </c>
      <c r="U963" s="5">
        <f>0</f>
        <v>0</v>
      </c>
      <c r="V963" s="45">
        <f t="shared" si="192"/>
        <v>0.21205004882313033</v>
      </c>
      <c r="W963" s="45">
        <f t="shared" si="193"/>
        <v>0</v>
      </c>
      <c r="X963" s="45">
        <f t="shared" si="194"/>
        <v>0</v>
      </c>
      <c r="Y963" s="46">
        <f>0</f>
        <v>0</v>
      </c>
      <c r="Z963" s="11"/>
    </row>
    <row r="964" spans="11:26" x14ac:dyDescent="0.45">
      <c r="K964" s="39">
        <f t="shared" si="189"/>
        <v>0.62</v>
      </c>
      <c r="L964" s="40">
        <f t="shared" si="182"/>
        <v>40.619999999999997</v>
      </c>
      <c r="M964" s="41">
        <f t="shared" si="183"/>
        <v>35.619999999999997</v>
      </c>
      <c r="N964" s="49">
        <f t="shared" si="184"/>
        <v>1.3253309428544588E-2</v>
      </c>
      <c r="O964" s="50">
        <f t="shared" si="185"/>
        <v>8.6137417699349156E-3</v>
      </c>
      <c r="P964" s="50">
        <f t="shared" si="190"/>
        <v>1.3253309428544588E-2</v>
      </c>
      <c r="Q964" s="51">
        <f t="shared" si="191"/>
        <v>8.6137417699349156E-3</v>
      </c>
      <c r="R964" s="4">
        <f t="shared" si="186"/>
        <v>-6.6228657182001559E-3</v>
      </c>
      <c r="S964">
        <f t="shared" si="187"/>
        <v>0</v>
      </c>
      <c r="T964">
        <f t="shared" si="188"/>
        <v>0</v>
      </c>
      <c r="U964" s="5">
        <f>0</f>
        <v>0</v>
      </c>
      <c r="V964" s="45">
        <f t="shared" si="192"/>
        <v>0.21211647376735374</v>
      </c>
      <c r="W964" s="45">
        <f t="shared" si="193"/>
        <v>0</v>
      </c>
      <c r="X964" s="45">
        <f t="shared" si="194"/>
        <v>0</v>
      </c>
      <c r="Y964" s="46">
        <f>0</f>
        <v>0</v>
      </c>
      <c r="Z964" s="11"/>
    </row>
    <row r="965" spans="11:26" x14ac:dyDescent="0.45">
      <c r="K965" s="39">
        <f t="shared" si="189"/>
        <v>0.61</v>
      </c>
      <c r="L965" s="40">
        <f t="shared" si="182"/>
        <v>40.61</v>
      </c>
      <c r="M965" s="41">
        <f t="shared" si="183"/>
        <v>35.61</v>
      </c>
      <c r="N965" s="49">
        <f t="shared" si="184"/>
        <v>1.3241892951738271E-2</v>
      </c>
      <c r="O965" s="50">
        <f t="shared" si="185"/>
        <v>8.6063218433375423E-3</v>
      </c>
      <c r="P965" s="50">
        <f t="shared" si="190"/>
        <v>1.3241892951738271E-2</v>
      </c>
      <c r="Q965" s="51">
        <f t="shared" si="191"/>
        <v>8.6063218433375423E-3</v>
      </c>
      <c r="R965" s="4">
        <f t="shared" si="186"/>
        <v>-6.6032664154781172E-3</v>
      </c>
      <c r="S965">
        <f t="shared" si="187"/>
        <v>0</v>
      </c>
      <c r="T965">
        <f t="shared" si="188"/>
        <v>0</v>
      </c>
      <c r="U965" s="5">
        <f>0</f>
        <v>0</v>
      </c>
      <c r="V965" s="45">
        <f t="shared" si="192"/>
        <v>0.21218270242453574</v>
      </c>
      <c r="W965" s="45">
        <f t="shared" si="193"/>
        <v>0</v>
      </c>
      <c r="X965" s="45">
        <f t="shared" si="194"/>
        <v>0</v>
      </c>
      <c r="Y965" s="46">
        <f>0</f>
        <v>0</v>
      </c>
      <c r="Z965" s="11"/>
    </row>
    <row r="966" spans="11:26" x14ac:dyDescent="0.45">
      <c r="K966" s="39">
        <f t="shared" si="189"/>
        <v>0.6</v>
      </c>
      <c r="L966" s="40">
        <f t="shared" si="182"/>
        <v>40.6</v>
      </c>
      <c r="M966" s="41">
        <f t="shared" si="183"/>
        <v>35.6</v>
      </c>
      <c r="N966" s="49">
        <f t="shared" si="184"/>
        <v>1.3230486309150595E-2</v>
      </c>
      <c r="O966" s="50">
        <f t="shared" si="185"/>
        <v>8.5989083083075259E-3</v>
      </c>
      <c r="P966" s="50">
        <f t="shared" si="190"/>
        <v>1.3230486309150595E-2</v>
      </c>
      <c r="Q966" s="51">
        <f t="shared" si="191"/>
        <v>8.5989083083075259E-3</v>
      </c>
      <c r="R966" s="4">
        <f t="shared" si="186"/>
        <v>-6.583696467716239E-3</v>
      </c>
      <c r="S966">
        <f t="shared" si="187"/>
        <v>0</v>
      </c>
      <c r="T966">
        <f t="shared" si="188"/>
        <v>0</v>
      </c>
      <c r="U966" s="5">
        <f>0</f>
        <v>0</v>
      </c>
      <c r="V966" s="45">
        <f t="shared" si="192"/>
        <v>0.21224873508869052</v>
      </c>
      <c r="W966" s="45">
        <f t="shared" si="193"/>
        <v>0</v>
      </c>
      <c r="X966" s="45">
        <f t="shared" si="194"/>
        <v>0</v>
      </c>
      <c r="Y966" s="46">
        <f>0</f>
        <v>0</v>
      </c>
      <c r="Z966" s="11"/>
    </row>
    <row r="967" spans="11:26" x14ac:dyDescent="0.45">
      <c r="K967" s="39">
        <f t="shared" si="189"/>
        <v>0.59</v>
      </c>
      <c r="L967" s="40">
        <f t="shared" si="182"/>
        <v>40.590000000000003</v>
      </c>
      <c r="M967" s="41">
        <f t="shared" si="183"/>
        <v>35.590000000000003</v>
      </c>
      <c r="N967" s="49">
        <f t="shared" si="184"/>
        <v>1.3219089492310317E-2</v>
      </c>
      <c r="O967" s="50">
        <f t="shared" si="185"/>
        <v>8.5915011593391318E-3</v>
      </c>
      <c r="P967" s="50">
        <f t="shared" si="190"/>
        <v>1.3219089492310317E-2</v>
      </c>
      <c r="Q967" s="51">
        <f t="shared" si="191"/>
        <v>8.5915011593391318E-3</v>
      </c>
      <c r="R967" s="4">
        <f t="shared" si="186"/>
        <v>-6.5641558285449292E-3</v>
      </c>
      <c r="S967">
        <f t="shared" si="187"/>
        <v>0</v>
      </c>
      <c r="T967">
        <f t="shared" si="188"/>
        <v>0</v>
      </c>
      <c r="U967" s="5">
        <f>0</f>
        <v>0</v>
      </c>
      <c r="V967" s="45">
        <f t="shared" si="192"/>
        <v>0.21231457205336768</v>
      </c>
      <c r="W967" s="45">
        <f t="shared" si="193"/>
        <v>0</v>
      </c>
      <c r="X967" s="45">
        <f t="shared" si="194"/>
        <v>0</v>
      </c>
      <c r="Y967" s="46">
        <f>0</f>
        <v>0</v>
      </c>
      <c r="Z967" s="11"/>
    </row>
    <row r="968" spans="11:26" x14ac:dyDescent="0.45">
      <c r="K968" s="39">
        <f t="shared" si="189"/>
        <v>0.57999999999999996</v>
      </c>
      <c r="L968" s="40">
        <f t="shared" si="182"/>
        <v>40.58</v>
      </c>
      <c r="M968" s="41">
        <f t="shared" si="183"/>
        <v>35.58</v>
      </c>
      <c r="N968" s="49">
        <f t="shared" si="184"/>
        <v>1.3207702492753458E-2</v>
      </c>
      <c r="O968" s="50">
        <f t="shared" si="185"/>
        <v>8.5841003909313679E-3</v>
      </c>
      <c r="P968" s="50">
        <f t="shared" si="190"/>
        <v>1.3207702492753458E-2</v>
      </c>
      <c r="Q968" s="51">
        <f t="shared" si="191"/>
        <v>8.5841003909313679E-3</v>
      </c>
      <c r="R968" s="4">
        <f t="shared" si="186"/>
        <v>-6.5446444516821453E-3</v>
      </c>
      <c r="S968">
        <f t="shared" si="187"/>
        <v>0</v>
      </c>
      <c r="T968">
        <f t="shared" si="188"/>
        <v>0</v>
      </c>
      <c r="U968" s="5">
        <f>0</f>
        <v>0</v>
      </c>
      <c r="V968" s="45">
        <f t="shared" si="192"/>
        <v>0.21238021361165313</v>
      </c>
      <c r="W968" s="45">
        <f t="shared" si="193"/>
        <v>0</v>
      </c>
      <c r="X968" s="45">
        <f t="shared" si="194"/>
        <v>0</v>
      </c>
      <c r="Y968" s="46">
        <f>0</f>
        <v>0</v>
      </c>
      <c r="Z968" s="11"/>
    </row>
    <row r="969" spans="11:26" x14ac:dyDescent="0.45">
      <c r="K969" s="39">
        <f t="shared" si="189"/>
        <v>0.56999999999999995</v>
      </c>
      <c r="L969" s="40">
        <f t="shared" si="182"/>
        <v>40.57</v>
      </c>
      <c r="M969" s="41">
        <f t="shared" si="183"/>
        <v>35.57</v>
      </c>
      <c r="N969" s="49">
        <f t="shared" si="184"/>
        <v>1.319632530202338E-2</v>
      </c>
      <c r="O969" s="50">
        <f t="shared" si="185"/>
        <v>8.5767059975879884E-3</v>
      </c>
      <c r="P969" s="50">
        <f t="shared" si="190"/>
        <v>1.319632530202338E-2</v>
      </c>
      <c r="Q969" s="51">
        <f t="shared" si="191"/>
        <v>8.5767059975879884E-3</v>
      </c>
      <c r="R969" s="4">
        <f t="shared" si="186"/>
        <v>-6.5251622909332872E-3</v>
      </c>
      <c r="S969">
        <f t="shared" si="187"/>
        <v>0</v>
      </c>
      <c r="T969">
        <f t="shared" si="188"/>
        <v>0</v>
      </c>
      <c r="U969" s="5">
        <f>0</f>
        <v>0</v>
      </c>
      <c r="V969" s="45">
        <f t="shared" si="192"/>
        <v>0.21244566005616994</v>
      </c>
      <c r="W969" s="45">
        <f t="shared" si="193"/>
        <v>0</v>
      </c>
      <c r="X969" s="45">
        <f t="shared" si="194"/>
        <v>0</v>
      </c>
      <c r="Y969" s="46">
        <f>0</f>
        <v>0</v>
      </c>
      <c r="Z969" s="11"/>
    </row>
    <row r="970" spans="11:26" x14ac:dyDescent="0.45">
      <c r="K970" s="39">
        <f t="shared" si="189"/>
        <v>0.56000000000000005</v>
      </c>
      <c r="L970" s="40">
        <f t="shared" si="182"/>
        <v>40.56</v>
      </c>
      <c r="M970" s="41">
        <f t="shared" si="183"/>
        <v>35.56</v>
      </c>
      <c r="N970" s="49">
        <f t="shared" si="184"/>
        <v>1.3184957911670703E-2</v>
      </c>
      <c r="O970" s="50">
        <f t="shared" si="185"/>
        <v>8.5693179738174727E-3</v>
      </c>
      <c r="P970" s="50">
        <f t="shared" si="190"/>
        <v>1.3184957911670703E-2</v>
      </c>
      <c r="Q970" s="51">
        <f t="shared" si="191"/>
        <v>8.5693179738174727E-3</v>
      </c>
      <c r="R970" s="4">
        <f t="shared" si="186"/>
        <v>-6.5057093001909105E-3</v>
      </c>
      <c r="S970">
        <f t="shared" si="187"/>
        <v>0</v>
      </c>
      <c r="T970">
        <f t="shared" si="188"/>
        <v>0</v>
      </c>
      <c r="U970" s="5">
        <f>0</f>
        <v>0</v>
      </c>
      <c r="V970" s="45">
        <f t="shared" si="192"/>
        <v>0.21251091167907926</v>
      </c>
      <c r="W970" s="45">
        <f t="shared" si="193"/>
        <v>0</v>
      </c>
      <c r="X970" s="45">
        <f t="shared" si="194"/>
        <v>0</v>
      </c>
      <c r="Y970" s="46">
        <f>0</f>
        <v>0</v>
      </c>
      <c r="Z970" s="11"/>
    </row>
    <row r="971" spans="11:26" x14ac:dyDescent="0.45">
      <c r="K971" s="39">
        <f t="shared" si="189"/>
        <v>0.55000000000000004</v>
      </c>
      <c r="L971" s="40">
        <f t="shared" si="182"/>
        <v>40.549999999999997</v>
      </c>
      <c r="M971" s="41">
        <f t="shared" si="183"/>
        <v>35.549999999999997</v>
      </c>
      <c r="N971" s="49">
        <f t="shared" si="184"/>
        <v>1.3173600313253297E-2</v>
      </c>
      <c r="O971" s="50">
        <f t="shared" si="185"/>
        <v>8.561936314133033E-3</v>
      </c>
      <c r="P971" s="50">
        <f t="shared" si="190"/>
        <v>1.3173600313253297E-2</v>
      </c>
      <c r="Q971" s="51">
        <f t="shared" si="191"/>
        <v>8.561936314133033E-3</v>
      </c>
      <c r="R971" s="4">
        <f t="shared" si="186"/>
        <v>-6.4862854334345691E-3</v>
      </c>
      <c r="S971">
        <f t="shared" si="187"/>
        <v>0</v>
      </c>
      <c r="T971">
        <f t="shared" si="188"/>
        <v>0</v>
      </c>
      <c r="U971" s="5">
        <f>0</f>
        <v>0</v>
      </c>
      <c r="V971" s="45">
        <f t="shared" si="192"/>
        <v>0.21257596877208118</v>
      </c>
      <c r="W971" s="45">
        <f t="shared" si="193"/>
        <v>0</v>
      </c>
      <c r="X971" s="45">
        <f t="shared" si="194"/>
        <v>0</v>
      </c>
      <c r="Y971" s="46">
        <f>0</f>
        <v>0</v>
      </c>
      <c r="Z971" s="11"/>
    </row>
    <row r="972" spans="11:26" x14ac:dyDescent="0.45">
      <c r="K972" s="39">
        <f t="shared" si="189"/>
        <v>0.54</v>
      </c>
      <c r="L972" s="40">
        <f t="shared" si="182"/>
        <v>40.54</v>
      </c>
      <c r="M972" s="41">
        <f t="shared" si="183"/>
        <v>35.54</v>
      </c>
      <c r="N972" s="49">
        <f t="shared" si="184"/>
        <v>1.3162252498336365E-2</v>
      </c>
      <c r="O972" s="50">
        <f t="shared" si="185"/>
        <v>8.5545610130526133E-3</v>
      </c>
      <c r="P972" s="50">
        <f t="shared" si="190"/>
        <v>1.3162252498336365E-2</v>
      </c>
      <c r="Q972" s="51">
        <f t="shared" si="191"/>
        <v>8.5545610130526133E-3</v>
      </c>
      <c r="R972" s="4">
        <f t="shared" si="186"/>
        <v>-6.4668906447306711E-3</v>
      </c>
      <c r="S972">
        <f t="shared" si="187"/>
        <v>0</v>
      </c>
      <c r="T972">
        <f t="shared" si="188"/>
        <v>0</v>
      </c>
      <c r="U972" s="5">
        <f>0</f>
        <v>0</v>
      </c>
      <c r="V972" s="45">
        <f t="shared" si="192"/>
        <v>0.21264083162641553</v>
      </c>
      <c r="W972" s="45">
        <f t="shared" si="193"/>
        <v>0</v>
      </c>
      <c r="X972" s="45">
        <f t="shared" si="194"/>
        <v>0</v>
      </c>
      <c r="Y972" s="46">
        <f>0</f>
        <v>0</v>
      </c>
      <c r="Z972" s="11"/>
    </row>
    <row r="973" spans="11:26" x14ac:dyDescent="0.45">
      <c r="K973" s="39">
        <f t="shared" si="189"/>
        <v>0.53</v>
      </c>
      <c r="L973" s="40">
        <f t="shared" si="182"/>
        <v>40.53</v>
      </c>
      <c r="M973" s="41">
        <f t="shared" si="183"/>
        <v>35.53</v>
      </c>
      <c r="N973" s="49">
        <f t="shared" si="184"/>
        <v>1.3150914458492336E-2</v>
      </c>
      <c r="O973" s="50">
        <f t="shared" si="185"/>
        <v>8.5471920650988745E-3</v>
      </c>
      <c r="P973" s="50">
        <f t="shared" si="190"/>
        <v>1.3150914458492336E-2</v>
      </c>
      <c r="Q973" s="51">
        <f t="shared" si="191"/>
        <v>8.5471920650988745E-3</v>
      </c>
      <c r="R973" s="4">
        <f t="shared" si="186"/>
        <v>-6.4475248882322235E-3</v>
      </c>
      <c r="S973">
        <f t="shared" si="187"/>
        <v>0</v>
      </c>
      <c r="T973">
        <f t="shared" si="188"/>
        <v>0</v>
      </c>
      <c r="U973" s="5">
        <f>0</f>
        <v>0</v>
      </c>
      <c r="V973" s="45">
        <f t="shared" si="192"/>
        <v>0.21270550053286283</v>
      </c>
      <c r="W973" s="45">
        <f t="shared" si="193"/>
        <v>0</v>
      </c>
      <c r="X973" s="45">
        <f t="shared" si="194"/>
        <v>0</v>
      </c>
      <c r="Y973" s="46">
        <f>0</f>
        <v>0</v>
      </c>
      <c r="Z973" s="11"/>
    </row>
    <row r="974" spans="11:26" x14ac:dyDescent="0.45">
      <c r="K974" s="39">
        <f t="shared" si="189"/>
        <v>0.52</v>
      </c>
      <c r="L974" s="40">
        <f t="shared" si="182"/>
        <v>40.520000000000003</v>
      </c>
      <c r="M974" s="41">
        <f t="shared" si="183"/>
        <v>35.520000000000003</v>
      </c>
      <c r="N974" s="49">
        <f t="shared" si="184"/>
        <v>1.3139586185300894E-2</v>
      </c>
      <c r="O974" s="50">
        <f t="shared" si="185"/>
        <v>8.5398294647991944E-3</v>
      </c>
      <c r="P974" s="50">
        <f t="shared" si="190"/>
        <v>1.3139586185300894E-2</v>
      </c>
      <c r="Q974" s="51">
        <f t="shared" si="191"/>
        <v>8.5398294647991944E-3</v>
      </c>
      <c r="R974" s="4">
        <f t="shared" si="186"/>
        <v>-6.4281881181786488E-3</v>
      </c>
      <c r="S974">
        <f t="shared" si="187"/>
        <v>0</v>
      </c>
      <c r="T974">
        <f t="shared" si="188"/>
        <v>0</v>
      </c>
      <c r="U974" s="5">
        <f>0</f>
        <v>0</v>
      </c>
      <c r="V974" s="45">
        <f t="shared" si="192"/>
        <v>0.21276997578174514</v>
      </c>
      <c r="W974" s="45">
        <f t="shared" si="193"/>
        <v>0</v>
      </c>
      <c r="X974" s="45">
        <f t="shared" si="194"/>
        <v>0</v>
      </c>
      <c r="Y974" s="46">
        <f>0</f>
        <v>0</v>
      </c>
      <c r="Z974" s="11"/>
    </row>
    <row r="975" spans="11:26" x14ac:dyDescent="0.45">
      <c r="K975" s="39">
        <f t="shared" si="189"/>
        <v>0.51</v>
      </c>
      <c r="L975" s="40">
        <f t="shared" si="182"/>
        <v>40.51</v>
      </c>
      <c r="M975" s="41">
        <f t="shared" si="183"/>
        <v>35.51</v>
      </c>
      <c r="N975" s="49">
        <f t="shared" si="184"/>
        <v>1.3128267670348985E-2</v>
      </c>
      <c r="O975" s="50">
        <f t="shared" si="185"/>
        <v>8.5324732066856639E-3</v>
      </c>
      <c r="P975" s="50">
        <f t="shared" si="190"/>
        <v>1.3128267670348985E-2</v>
      </c>
      <c r="Q975" s="51">
        <f t="shared" si="191"/>
        <v>8.5324732066856639E-3</v>
      </c>
      <c r="R975" s="4">
        <f t="shared" si="186"/>
        <v>-6.4088802888956128E-3</v>
      </c>
      <c r="S975">
        <f t="shared" si="187"/>
        <v>0</v>
      </c>
      <c r="T975">
        <f t="shared" si="188"/>
        <v>0</v>
      </c>
      <c r="U975" s="5">
        <f>0</f>
        <v>0</v>
      </c>
      <c r="V975" s="45">
        <f t="shared" si="192"/>
        <v>0.21283425766292693</v>
      </c>
      <c r="W975" s="45">
        <f t="shared" si="193"/>
        <v>0</v>
      </c>
      <c r="X975" s="45">
        <f t="shared" si="194"/>
        <v>0</v>
      </c>
      <c r="Y975" s="46">
        <f>0</f>
        <v>0</v>
      </c>
      <c r="Z975" s="11"/>
    </row>
    <row r="976" spans="11:26" x14ac:dyDescent="0.45">
      <c r="K976" s="39">
        <f t="shared" si="189"/>
        <v>0.5</v>
      </c>
      <c r="L976" s="40">
        <f t="shared" si="182"/>
        <v>40.5</v>
      </c>
      <c r="M976" s="41">
        <f t="shared" si="183"/>
        <v>35.5</v>
      </c>
      <c r="N976" s="49">
        <f t="shared" si="184"/>
        <v>1.3116958905230831E-2</v>
      </c>
      <c r="O976" s="50">
        <f t="shared" si="185"/>
        <v>8.5251232852950973E-3</v>
      </c>
      <c r="P976" s="50">
        <f t="shared" si="190"/>
        <v>1.3116958905230831E-2</v>
      </c>
      <c r="Q976" s="51">
        <f t="shared" si="191"/>
        <v>8.5251232852950973E-3</v>
      </c>
      <c r="R976" s="4">
        <f t="shared" si="186"/>
        <v>-6.3896013547948809E-3</v>
      </c>
      <c r="S976">
        <f t="shared" si="187"/>
        <v>0</v>
      </c>
      <c r="T976">
        <f t="shared" si="188"/>
        <v>0</v>
      </c>
      <c r="U976" s="5">
        <f>0</f>
        <v>0</v>
      </c>
      <c r="V976" s="45">
        <f t="shared" si="192"/>
        <v>0.2128983464658159</v>
      </c>
      <c r="W976" s="45">
        <f t="shared" si="193"/>
        <v>0</v>
      </c>
      <c r="X976" s="45">
        <f t="shared" si="194"/>
        <v>0</v>
      </c>
      <c r="Y976" s="46">
        <f>0</f>
        <v>0</v>
      </c>
      <c r="Z976" s="11"/>
    </row>
    <row r="977" spans="11:26" x14ac:dyDescent="0.45">
      <c r="K977" s="39">
        <f t="shared" si="189"/>
        <v>0.49</v>
      </c>
      <c r="L977" s="40">
        <f t="shared" si="182"/>
        <v>40.49</v>
      </c>
      <c r="M977" s="41">
        <f t="shared" si="183"/>
        <v>35.49</v>
      </c>
      <c r="N977" s="49">
        <f t="shared" si="184"/>
        <v>1.3105659881547851E-2</v>
      </c>
      <c r="O977" s="50">
        <f t="shared" si="185"/>
        <v>8.5177796951690001E-3</v>
      </c>
      <c r="P977" s="50">
        <f t="shared" si="190"/>
        <v>1.3105659881547851E-2</v>
      </c>
      <c r="Q977" s="51">
        <f t="shared" si="191"/>
        <v>8.5177796951690001E-3</v>
      </c>
      <c r="R977" s="4">
        <f t="shared" si="186"/>
        <v>-6.3703512703740129E-3</v>
      </c>
      <c r="S977">
        <f t="shared" si="187"/>
        <v>0</v>
      </c>
      <c r="T977">
        <f t="shared" si="188"/>
        <v>0</v>
      </c>
      <c r="U977" s="5">
        <f>0</f>
        <v>0</v>
      </c>
      <c r="V977" s="45">
        <f t="shared" si="192"/>
        <v>0.21296224247936385</v>
      </c>
      <c r="W977" s="45">
        <f t="shared" si="193"/>
        <v>0</v>
      </c>
      <c r="X977" s="45">
        <f t="shared" si="194"/>
        <v>0</v>
      </c>
      <c r="Y977" s="46">
        <f>0</f>
        <v>0</v>
      </c>
      <c r="Z977" s="11"/>
    </row>
    <row r="978" spans="11:26" x14ac:dyDescent="0.45">
      <c r="K978" s="39">
        <f t="shared" si="189"/>
        <v>0.48</v>
      </c>
      <c r="L978" s="40">
        <f t="shared" si="182"/>
        <v>40.479999999999997</v>
      </c>
      <c r="M978" s="41">
        <f t="shared" si="183"/>
        <v>35.479999999999997</v>
      </c>
      <c r="N978" s="49">
        <f t="shared" si="184"/>
        <v>1.3094370590908708E-2</v>
      </c>
      <c r="O978" s="50">
        <f t="shared" si="185"/>
        <v>8.5104424308535803E-3</v>
      </c>
      <c r="P978" s="50">
        <f t="shared" si="190"/>
        <v>1.3094370590908708E-2</v>
      </c>
      <c r="Q978" s="51">
        <f t="shared" si="191"/>
        <v>8.5104424308535803E-3</v>
      </c>
      <c r="R978" s="4">
        <f t="shared" si="186"/>
        <v>-6.3511299902162532E-3</v>
      </c>
      <c r="S978">
        <f t="shared" si="187"/>
        <v>0</v>
      </c>
      <c r="T978">
        <f t="shared" si="188"/>
        <v>0</v>
      </c>
      <c r="U978" s="5">
        <f>0</f>
        <v>0</v>
      </c>
      <c r="V978" s="45">
        <f t="shared" si="192"/>
        <v>0.21302594599206759</v>
      </c>
      <c r="W978" s="45">
        <f t="shared" si="193"/>
        <v>0</v>
      </c>
      <c r="X978" s="45">
        <f t="shared" si="194"/>
        <v>0</v>
      </c>
      <c r="Y978" s="46">
        <f>0</f>
        <v>0</v>
      </c>
      <c r="Z978" s="11"/>
    </row>
    <row r="979" spans="11:26" x14ac:dyDescent="0.45">
      <c r="K979" s="39">
        <f t="shared" si="189"/>
        <v>0.47</v>
      </c>
      <c r="L979" s="40">
        <f t="shared" si="182"/>
        <v>40.47</v>
      </c>
      <c r="M979" s="41">
        <f t="shared" si="183"/>
        <v>35.47</v>
      </c>
      <c r="N979" s="49">
        <f t="shared" si="184"/>
        <v>1.3083091024929331E-2</v>
      </c>
      <c r="O979" s="50">
        <f t="shared" si="185"/>
        <v>8.5031114868997573E-3</v>
      </c>
      <c r="P979" s="50">
        <f t="shared" si="190"/>
        <v>1.3083091024929331E-2</v>
      </c>
      <c r="Q979" s="51">
        <f t="shared" si="191"/>
        <v>8.5031114868997573E-3</v>
      </c>
      <c r="R979" s="4">
        <f t="shared" si="186"/>
        <v>-6.3319374689903875E-3</v>
      </c>
      <c r="S979">
        <f t="shared" si="187"/>
        <v>0</v>
      </c>
      <c r="T979">
        <f t="shared" si="188"/>
        <v>0</v>
      </c>
      <c r="U979" s="5">
        <f>0</f>
        <v>0</v>
      </c>
      <c r="V979" s="45">
        <f t="shared" si="192"/>
        <v>0.21308945729196976</v>
      </c>
      <c r="W979" s="45">
        <f t="shared" si="193"/>
        <v>0</v>
      </c>
      <c r="X979" s="45">
        <f t="shared" si="194"/>
        <v>0</v>
      </c>
      <c r="Y979" s="46">
        <f>0</f>
        <v>0</v>
      </c>
      <c r="Z979" s="11"/>
    </row>
    <row r="980" spans="11:26" x14ac:dyDescent="0.45">
      <c r="K980" s="39">
        <f t="shared" si="189"/>
        <v>0.46</v>
      </c>
      <c r="L980" s="40">
        <f t="shared" si="182"/>
        <v>40.46</v>
      </c>
      <c r="M980" s="41">
        <f t="shared" si="183"/>
        <v>35.46</v>
      </c>
      <c r="N980" s="49">
        <f t="shared" si="184"/>
        <v>1.3071821175232819E-2</v>
      </c>
      <c r="O980" s="50">
        <f t="shared" si="185"/>
        <v>8.4957868578631295E-3</v>
      </c>
      <c r="P980" s="50">
        <f t="shared" si="190"/>
        <v>1.3071821175232819E-2</v>
      </c>
      <c r="Q980" s="51">
        <f t="shared" si="191"/>
        <v>8.4957868578631295E-3</v>
      </c>
      <c r="R980" s="4">
        <f t="shared" si="186"/>
        <v>-6.312773661450409E-3</v>
      </c>
      <c r="S980">
        <f t="shared" si="187"/>
        <v>0</v>
      </c>
      <c r="T980">
        <f t="shared" si="188"/>
        <v>0</v>
      </c>
      <c r="U980" s="5">
        <f>0</f>
        <v>0</v>
      </c>
      <c r="V980" s="45">
        <f t="shared" si="192"/>
        <v>0.21315277666665966</v>
      </c>
      <c r="W980" s="45">
        <f t="shared" si="193"/>
        <v>0</v>
      </c>
      <c r="X980" s="45">
        <f t="shared" si="194"/>
        <v>0</v>
      </c>
      <c r="Y980" s="46">
        <f>0</f>
        <v>0</v>
      </c>
      <c r="Z980" s="11"/>
    </row>
    <row r="981" spans="11:26" x14ac:dyDescent="0.45">
      <c r="K981" s="39">
        <f t="shared" si="189"/>
        <v>0.45</v>
      </c>
      <c r="L981" s="40">
        <f t="shared" si="182"/>
        <v>40.450000000000003</v>
      </c>
      <c r="M981" s="41">
        <f t="shared" si="183"/>
        <v>35.450000000000003</v>
      </c>
      <c r="N981" s="49">
        <f t="shared" si="184"/>
        <v>1.3060561033449518E-2</v>
      </c>
      <c r="O981" s="50">
        <f t="shared" si="185"/>
        <v>8.4884685383039907E-3</v>
      </c>
      <c r="P981" s="50">
        <f t="shared" si="190"/>
        <v>1.3060561033449518E-2</v>
      </c>
      <c r="Q981" s="51">
        <f t="shared" si="191"/>
        <v>8.4884685383039907E-3</v>
      </c>
      <c r="R981" s="4">
        <f t="shared" si="186"/>
        <v>-6.2936385224354758E-3</v>
      </c>
      <c r="S981">
        <f t="shared" si="187"/>
        <v>0</v>
      </c>
      <c r="T981">
        <f t="shared" si="188"/>
        <v>0</v>
      </c>
      <c r="U981" s="5">
        <f>0</f>
        <v>0</v>
      </c>
      <c r="V981" s="45">
        <f t="shared" si="192"/>
        <v>0.21321590440327418</v>
      </c>
      <c r="W981" s="45">
        <f t="shared" si="193"/>
        <v>0</v>
      </c>
      <c r="X981" s="45">
        <f t="shared" si="194"/>
        <v>0</v>
      </c>
      <c r="Y981" s="46">
        <f>0</f>
        <v>0</v>
      </c>
      <c r="Z981" s="11"/>
    </row>
    <row r="982" spans="11:26" x14ac:dyDescent="0.45">
      <c r="K982" s="39">
        <f t="shared" si="189"/>
        <v>0.44</v>
      </c>
      <c r="L982" s="40">
        <f t="shared" si="182"/>
        <v>40.44</v>
      </c>
      <c r="M982" s="41">
        <f t="shared" si="183"/>
        <v>35.44</v>
      </c>
      <c r="N982" s="49">
        <f t="shared" si="184"/>
        <v>1.3049310591216966E-2</v>
      </c>
      <c r="O982" s="50">
        <f t="shared" si="185"/>
        <v>8.4811565227873205E-3</v>
      </c>
      <c r="P982" s="50">
        <f t="shared" si="190"/>
        <v>1.3049310591216966E-2</v>
      </c>
      <c r="Q982" s="51">
        <f t="shared" si="191"/>
        <v>8.4811565227873205E-3</v>
      </c>
      <c r="R982" s="4">
        <f t="shared" si="186"/>
        <v>-6.2745320068696327E-3</v>
      </c>
      <c r="S982">
        <f t="shared" si="187"/>
        <v>0</v>
      </c>
      <c r="T982">
        <f t="shared" si="188"/>
        <v>0</v>
      </c>
      <c r="U982" s="5">
        <f>0</f>
        <v>0</v>
      </c>
      <c r="V982" s="45">
        <f t="shared" si="192"/>
        <v>0.21327884078849854</v>
      </c>
      <c r="W982" s="45">
        <f t="shared" si="193"/>
        <v>0</v>
      </c>
      <c r="X982" s="45">
        <f t="shared" si="194"/>
        <v>0</v>
      </c>
      <c r="Y982" s="46">
        <f>0</f>
        <v>0</v>
      </c>
      <c r="Z982" s="11"/>
    </row>
    <row r="983" spans="11:26" x14ac:dyDescent="0.45">
      <c r="K983" s="39">
        <f t="shared" si="189"/>
        <v>0.43</v>
      </c>
      <c r="L983" s="40">
        <f t="shared" si="182"/>
        <v>40.43</v>
      </c>
      <c r="M983" s="41">
        <f t="shared" si="183"/>
        <v>35.43</v>
      </c>
      <c r="N983" s="49">
        <f t="shared" si="184"/>
        <v>1.303806984017993E-2</v>
      </c>
      <c r="O983" s="50">
        <f t="shared" si="185"/>
        <v>8.4738508058827856E-3</v>
      </c>
      <c r="P983" s="50">
        <f t="shared" si="190"/>
        <v>1.303806984017993E-2</v>
      </c>
      <c r="Q983" s="51">
        <f t="shared" si="191"/>
        <v>8.4738508058827856E-3</v>
      </c>
      <c r="R983" s="4">
        <f t="shared" si="186"/>
        <v>-6.2554540697617005E-3</v>
      </c>
      <c r="S983">
        <f t="shared" si="187"/>
        <v>0</v>
      </c>
      <c r="T983">
        <f t="shared" si="188"/>
        <v>0</v>
      </c>
      <c r="U983" s="5">
        <f>0</f>
        <v>0</v>
      </c>
      <c r="V983" s="45">
        <f t="shared" si="192"/>
        <v>0.21334158610856724</v>
      </c>
      <c r="W983" s="45">
        <f t="shared" si="193"/>
        <v>0</v>
      </c>
      <c r="X983" s="45">
        <f t="shared" si="194"/>
        <v>0</v>
      </c>
      <c r="Y983" s="46">
        <f>0</f>
        <v>0</v>
      </c>
      <c r="Z983" s="11"/>
    </row>
    <row r="984" spans="11:26" x14ac:dyDescent="0.45">
      <c r="K984" s="39">
        <f t="shared" si="189"/>
        <v>0.42</v>
      </c>
      <c r="L984" s="40">
        <f t="shared" si="182"/>
        <v>40.42</v>
      </c>
      <c r="M984" s="41">
        <f t="shared" si="183"/>
        <v>35.42</v>
      </c>
      <c r="N984" s="49">
        <f t="shared" si="184"/>
        <v>1.3026838771990351E-2</v>
      </c>
      <c r="O984" s="50">
        <f t="shared" si="185"/>
        <v>8.466551382164721E-3</v>
      </c>
      <c r="P984" s="50">
        <f t="shared" si="190"/>
        <v>1.3026838771990351E-2</v>
      </c>
      <c r="Q984" s="51">
        <f t="shared" si="191"/>
        <v>8.466551382164721E-3</v>
      </c>
      <c r="R984" s="4">
        <f t="shared" si="186"/>
        <v>-6.2364046662049932E-3</v>
      </c>
      <c r="S984">
        <f t="shared" si="187"/>
        <v>0</v>
      </c>
      <c r="T984">
        <f t="shared" si="188"/>
        <v>0</v>
      </c>
      <c r="U984" s="5">
        <f>0</f>
        <v>0</v>
      </c>
      <c r="V984" s="45">
        <f t="shared" si="192"/>
        <v>0.21340414064926486</v>
      </c>
      <c r="W984" s="45">
        <f t="shared" si="193"/>
        <v>0</v>
      </c>
      <c r="X984" s="45">
        <f t="shared" si="194"/>
        <v>0</v>
      </c>
      <c r="Y984" s="46">
        <f>0</f>
        <v>0</v>
      </c>
      <c r="Z984" s="11"/>
    </row>
    <row r="985" spans="11:26" x14ac:dyDescent="0.45">
      <c r="K985" s="39">
        <f t="shared" si="189"/>
        <v>0.41</v>
      </c>
      <c r="L985" s="40">
        <f t="shared" si="182"/>
        <v>40.409999999999997</v>
      </c>
      <c r="M985" s="41">
        <f t="shared" si="183"/>
        <v>35.409999999999997</v>
      </c>
      <c r="N985" s="49">
        <f t="shared" si="184"/>
        <v>1.3015617378307363E-2</v>
      </c>
      <c r="O985" s="50">
        <f t="shared" si="185"/>
        <v>8.4592582462121382E-3</v>
      </c>
      <c r="P985" s="50">
        <f t="shared" si="190"/>
        <v>1.3015617378307363E-2</v>
      </c>
      <c r="Q985" s="51">
        <f t="shared" si="191"/>
        <v>8.4592582462121382E-3</v>
      </c>
      <c r="R985" s="4">
        <f t="shared" si="186"/>
        <v>-6.2173837513772173E-3</v>
      </c>
      <c r="S985">
        <f t="shared" si="187"/>
        <v>0</v>
      </c>
      <c r="T985">
        <f t="shared" si="188"/>
        <v>0</v>
      </c>
      <c r="U985" s="5">
        <f>0</f>
        <v>0</v>
      </c>
      <c r="V985" s="45">
        <f t="shared" si="192"/>
        <v>0.2134665046959269</v>
      </c>
      <c r="W985" s="45">
        <f t="shared" si="193"/>
        <v>0</v>
      </c>
      <c r="X985" s="45">
        <f t="shared" si="194"/>
        <v>0</v>
      </c>
      <c r="Y985" s="46">
        <f>0</f>
        <v>0</v>
      </c>
      <c r="Z985" s="11"/>
    </row>
    <row r="986" spans="11:26" x14ac:dyDescent="0.45">
      <c r="K986" s="39">
        <f t="shared" si="189"/>
        <v>0.4</v>
      </c>
      <c r="L986" s="40">
        <f t="shared" ref="L986:L1026" si="195">InitialAge_x+K986</f>
        <v>40.4</v>
      </c>
      <c r="M986" s="41">
        <f t="shared" ref="M986:M1026" si="196">InitialAge_y+K986</f>
        <v>35.4</v>
      </c>
      <c r="N986" s="49">
        <f t="shared" ref="N986:N1026" si="197">muParameter_B*muParameter_c^L986</f>
        <v>1.3004405650797302E-2</v>
      </c>
      <c r="O986" s="50">
        <f t="shared" ref="O986:O1026" si="198">muParameter_B*muParameter_c^M986</f>
        <v>8.4519713926087241E-3</v>
      </c>
      <c r="P986" s="50">
        <f t="shared" si="190"/>
        <v>1.3004405650797302E-2</v>
      </c>
      <c r="Q986" s="51">
        <f t="shared" si="191"/>
        <v>8.4519713926087241E-3</v>
      </c>
      <c r="R986" s="4">
        <f t="shared" ref="R986:R1026" si="199">V986*Delta-Constant_b1-(O986*(Constant_b12+W986-V986)+N986*(Constant_b13+X986-V986))</f>
        <v>-6.19839128054025E-3</v>
      </c>
      <c r="S986">
        <f t="shared" ref="S986:S1026" si="200">W986*Delta-Constant_b2-(P986*(Constant_b24+Y986-W986)+Q986*(Constant_b34+Y986-X986))</f>
        <v>0</v>
      </c>
      <c r="T986">
        <f t="shared" ref="T986:T1026" si="201">X986*Delta-Constant_b3-(Q986*(Constant_b34+Y986-X986))</f>
        <v>0</v>
      </c>
      <c r="U986" s="5">
        <f>0</f>
        <v>0</v>
      </c>
      <c r="V986" s="45">
        <f t="shared" si="192"/>
        <v>0.21352867853344068</v>
      </c>
      <c r="W986" s="45">
        <f t="shared" si="193"/>
        <v>0</v>
      </c>
      <c r="X986" s="45">
        <f t="shared" si="194"/>
        <v>0</v>
      </c>
      <c r="Y986" s="46">
        <f>0</f>
        <v>0</v>
      </c>
      <c r="Z986" s="11"/>
    </row>
    <row r="987" spans="11:26" x14ac:dyDescent="0.45">
      <c r="K987" s="39">
        <f t="shared" ref="K987:K1026" si="202">ROUND(K986-StepSize,2)</f>
        <v>0.39</v>
      </c>
      <c r="L987" s="40">
        <f t="shared" si="195"/>
        <v>40.39</v>
      </c>
      <c r="M987" s="41">
        <f t="shared" si="196"/>
        <v>35.39</v>
      </c>
      <c r="N987" s="49">
        <f t="shared" si="197"/>
        <v>1.2993203581133667E-2</v>
      </c>
      <c r="O987" s="50">
        <f t="shared" si="198"/>
        <v>8.4446908159428267E-3</v>
      </c>
      <c r="P987" s="50">
        <f t="shared" ref="P987:P1026" si="203">N987</f>
        <v>1.2993203581133667E-2</v>
      </c>
      <c r="Q987" s="51">
        <f t="shared" ref="Q987:Q1026" si="204">O987</f>
        <v>8.4446908159428267E-3</v>
      </c>
      <c r="R987" s="4">
        <f t="shared" si="199"/>
        <v>-6.1794272090399567E-3</v>
      </c>
      <c r="S987">
        <f t="shared" si="200"/>
        <v>0</v>
      </c>
      <c r="T987">
        <f t="shared" si="201"/>
        <v>0</v>
      </c>
      <c r="U987" s="5">
        <f>0</f>
        <v>0</v>
      </c>
      <c r="V987" s="45">
        <f t="shared" ref="V987:V1026" si="205">V986-StepSize*(R986)</f>
        <v>0.21359066244624608</v>
      </c>
      <c r="W987" s="45">
        <f t="shared" ref="W987:W1026" si="206">W986-StepSize*(S986)</f>
        <v>0</v>
      </c>
      <c r="X987" s="45">
        <f t="shared" ref="X987:X1026" si="207">X986-StepSize*(T986)</f>
        <v>0</v>
      </c>
      <c r="Y987" s="46">
        <f>0</f>
        <v>0</v>
      </c>
      <c r="Z987" s="11"/>
    </row>
    <row r="988" spans="11:26" x14ac:dyDescent="0.45">
      <c r="K988" s="39">
        <f t="shared" si="202"/>
        <v>0.38</v>
      </c>
      <c r="L988" s="40">
        <f t="shared" si="195"/>
        <v>40.380000000000003</v>
      </c>
      <c r="M988" s="41">
        <f t="shared" si="196"/>
        <v>35.380000000000003</v>
      </c>
      <c r="N988" s="49">
        <f t="shared" si="197"/>
        <v>1.298201116099713E-2</v>
      </c>
      <c r="O988" s="50">
        <f t="shared" si="198"/>
        <v>8.4374165108074533E-3</v>
      </c>
      <c r="P988" s="50">
        <f t="shared" si="203"/>
        <v>1.298201116099713E-2</v>
      </c>
      <c r="Q988" s="51">
        <f t="shared" si="204"/>
        <v>8.4374165108074533E-3</v>
      </c>
      <c r="R988" s="4">
        <f t="shared" si="199"/>
        <v>-6.1604914923059917E-3</v>
      </c>
      <c r="S988">
        <f t="shared" si="200"/>
        <v>0</v>
      </c>
      <c r="T988">
        <f t="shared" si="201"/>
        <v>0</v>
      </c>
      <c r="U988" s="5">
        <f>0</f>
        <v>0</v>
      </c>
      <c r="V988" s="45">
        <f t="shared" si="205"/>
        <v>0.21365245671833649</v>
      </c>
      <c r="W988" s="45">
        <f t="shared" si="206"/>
        <v>0</v>
      </c>
      <c r="X988" s="45">
        <f t="shared" si="207"/>
        <v>0</v>
      </c>
      <c r="Y988" s="46">
        <f>0</f>
        <v>0</v>
      </c>
      <c r="Z988" s="11"/>
    </row>
    <row r="989" spans="11:26" x14ac:dyDescent="0.45">
      <c r="K989" s="39">
        <f t="shared" si="202"/>
        <v>0.37</v>
      </c>
      <c r="L989" s="40">
        <f t="shared" si="195"/>
        <v>40.369999999999997</v>
      </c>
      <c r="M989" s="41">
        <f t="shared" si="196"/>
        <v>35.369999999999997</v>
      </c>
      <c r="N989" s="49">
        <f t="shared" si="197"/>
        <v>1.2970828382075531E-2</v>
      </c>
      <c r="O989" s="50">
        <f t="shared" si="198"/>
        <v>8.4301484718002709E-3</v>
      </c>
      <c r="P989" s="50">
        <f t="shared" si="203"/>
        <v>1.2970828382075531E-2</v>
      </c>
      <c r="Q989" s="51">
        <f t="shared" si="204"/>
        <v>8.4301484718002709E-3</v>
      </c>
      <c r="R989" s="4">
        <f t="shared" si="199"/>
        <v>-6.141584085851649E-3</v>
      </c>
      <c r="S989">
        <f t="shared" si="200"/>
        <v>0</v>
      </c>
      <c r="T989">
        <f t="shared" si="201"/>
        <v>0</v>
      </c>
      <c r="U989" s="5">
        <f>0</f>
        <v>0</v>
      </c>
      <c r="V989" s="45">
        <f t="shared" si="205"/>
        <v>0.21371406163325954</v>
      </c>
      <c r="W989" s="45">
        <f t="shared" si="206"/>
        <v>0</v>
      </c>
      <c r="X989" s="45">
        <f t="shared" si="207"/>
        <v>0</v>
      </c>
      <c r="Y989" s="46">
        <f>0</f>
        <v>0</v>
      </c>
      <c r="Z989" s="11"/>
    </row>
    <row r="990" spans="11:26" x14ac:dyDescent="0.45">
      <c r="K990" s="39">
        <f t="shared" si="202"/>
        <v>0.36</v>
      </c>
      <c r="L990" s="40">
        <f t="shared" si="195"/>
        <v>40.36</v>
      </c>
      <c r="M990" s="41">
        <f t="shared" si="196"/>
        <v>35.36</v>
      </c>
      <c r="N990" s="49">
        <f t="shared" si="197"/>
        <v>1.2959655236063882E-2</v>
      </c>
      <c r="O990" s="50">
        <f t="shared" si="198"/>
        <v>8.4228866935236058E-3</v>
      </c>
      <c r="P990" s="50">
        <f t="shared" si="203"/>
        <v>1.2959655236063882E-2</v>
      </c>
      <c r="Q990" s="51">
        <f t="shared" si="204"/>
        <v>8.4228866935236058E-3</v>
      </c>
      <c r="R990" s="4">
        <f t="shared" si="199"/>
        <v>-6.1227049452736697E-3</v>
      </c>
      <c r="S990">
        <f t="shared" si="200"/>
        <v>0</v>
      </c>
      <c r="T990">
        <f t="shared" si="201"/>
        <v>0</v>
      </c>
      <c r="U990" s="5">
        <f>0</f>
        <v>0</v>
      </c>
      <c r="V990" s="45">
        <f t="shared" si="205"/>
        <v>0.21377547747411804</v>
      </c>
      <c r="W990" s="45">
        <f t="shared" si="206"/>
        <v>0</v>
      </c>
      <c r="X990" s="45">
        <f t="shared" si="207"/>
        <v>0</v>
      </c>
      <c r="Y990" s="46">
        <f>0</f>
        <v>0</v>
      </c>
      <c r="Z990" s="11"/>
    </row>
    <row r="991" spans="11:26" x14ac:dyDescent="0.45">
      <c r="K991" s="39">
        <f t="shared" si="202"/>
        <v>0.35</v>
      </c>
      <c r="L991" s="40">
        <f t="shared" si="195"/>
        <v>40.35</v>
      </c>
      <c r="M991" s="41">
        <f t="shared" si="196"/>
        <v>35.35</v>
      </c>
      <c r="N991" s="49">
        <f t="shared" si="197"/>
        <v>1.2948491714664332E-2</v>
      </c>
      <c r="O991" s="50">
        <f t="shared" si="198"/>
        <v>8.4156311705844249E-3</v>
      </c>
      <c r="P991" s="50">
        <f t="shared" si="203"/>
        <v>1.2948491714664332E-2</v>
      </c>
      <c r="Q991" s="51">
        <f t="shared" si="204"/>
        <v>8.4156311705844249E-3</v>
      </c>
      <c r="R991" s="4">
        <f t="shared" si="199"/>
        <v>-6.1038540262520254E-3</v>
      </c>
      <c r="S991">
        <f t="shared" si="200"/>
        <v>0</v>
      </c>
      <c r="T991">
        <f t="shared" si="201"/>
        <v>0</v>
      </c>
      <c r="U991" s="5">
        <f>0</f>
        <v>0</v>
      </c>
      <c r="V991" s="45">
        <f t="shared" si="205"/>
        <v>0.21383670452357079</v>
      </c>
      <c r="W991" s="45">
        <f t="shared" si="206"/>
        <v>0</v>
      </c>
      <c r="X991" s="45">
        <f t="shared" si="207"/>
        <v>0</v>
      </c>
      <c r="Y991" s="46">
        <f>0</f>
        <v>0</v>
      </c>
      <c r="Z991" s="11"/>
    </row>
    <row r="992" spans="11:26" x14ac:dyDescent="0.45">
      <c r="K992" s="39">
        <f t="shared" si="202"/>
        <v>0.34</v>
      </c>
      <c r="L992" s="40">
        <f t="shared" si="195"/>
        <v>40.340000000000003</v>
      </c>
      <c r="M992" s="41">
        <f t="shared" si="196"/>
        <v>35.340000000000003</v>
      </c>
      <c r="N992" s="49">
        <f t="shared" si="197"/>
        <v>1.2937337809586188E-2</v>
      </c>
      <c r="O992" s="50">
        <f t="shared" si="198"/>
        <v>8.4083818975943508E-3</v>
      </c>
      <c r="P992" s="50">
        <f t="shared" si="203"/>
        <v>1.2937337809586188E-2</v>
      </c>
      <c r="Q992" s="51">
        <f t="shared" si="204"/>
        <v>8.4083818975943508E-3</v>
      </c>
      <c r="R992" s="4">
        <f t="shared" si="199"/>
        <v>-6.0850312845497651E-3</v>
      </c>
      <c r="S992">
        <f t="shared" si="200"/>
        <v>0</v>
      </c>
      <c r="T992">
        <f t="shared" si="201"/>
        <v>0</v>
      </c>
      <c r="U992" s="5">
        <f>0</f>
        <v>0</v>
      </c>
      <c r="V992" s="45">
        <f t="shared" si="205"/>
        <v>0.2138977430638333</v>
      </c>
      <c r="W992" s="45">
        <f t="shared" si="206"/>
        <v>0</v>
      </c>
      <c r="X992" s="45">
        <f t="shared" si="207"/>
        <v>0</v>
      </c>
      <c r="Y992" s="46">
        <f>0</f>
        <v>0</v>
      </c>
      <c r="Z992" s="11"/>
    </row>
    <row r="993" spans="11:26" x14ac:dyDescent="0.45">
      <c r="K993" s="39">
        <f t="shared" si="202"/>
        <v>0.33</v>
      </c>
      <c r="L993" s="40">
        <f t="shared" si="195"/>
        <v>40.33</v>
      </c>
      <c r="M993" s="41">
        <f t="shared" si="196"/>
        <v>35.33</v>
      </c>
      <c r="N993" s="49">
        <f t="shared" si="197"/>
        <v>1.2926193512545885E-2</v>
      </c>
      <c r="O993" s="50">
        <f t="shared" si="198"/>
        <v>8.4011388691696224E-3</v>
      </c>
      <c r="P993" s="50">
        <f t="shared" si="203"/>
        <v>1.2926193512545885E-2</v>
      </c>
      <c r="Q993" s="51">
        <f t="shared" si="204"/>
        <v>8.4011388691696224E-3</v>
      </c>
      <c r="R993" s="4">
        <f t="shared" si="199"/>
        <v>-6.0662366760128247E-3</v>
      </c>
      <c r="S993">
        <f t="shared" si="200"/>
        <v>0</v>
      </c>
      <c r="T993">
        <f t="shared" si="201"/>
        <v>0</v>
      </c>
      <c r="U993" s="5">
        <f>0</f>
        <v>0</v>
      </c>
      <c r="V993" s="45">
        <f t="shared" si="205"/>
        <v>0.2139585933766788</v>
      </c>
      <c r="W993" s="45">
        <f t="shared" si="206"/>
        <v>0</v>
      </c>
      <c r="X993" s="45">
        <f t="shared" si="207"/>
        <v>0</v>
      </c>
      <c r="Y993" s="46">
        <f>0</f>
        <v>0</v>
      </c>
      <c r="Z993" s="11"/>
    </row>
    <row r="994" spans="11:26" x14ac:dyDescent="0.45">
      <c r="K994" s="39">
        <f t="shared" si="202"/>
        <v>0.32</v>
      </c>
      <c r="L994" s="40">
        <f t="shared" si="195"/>
        <v>40.32</v>
      </c>
      <c r="M994" s="41">
        <f t="shared" si="196"/>
        <v>35.32</v>
      </c>
      <c r="N994" s="49">
        <f t="shared" si="197"/>
        <v>1.2915058815267022E-2</v>
      </c>
      <c r="O994" s="50">
        <f t="shared" si="198"/>
        <v>8.3939020799311589E-3</v>
      </c>
      <c r="P994" s="50">
        <f t="shared" si="203"/>
        <v>1.2915058815267022E-2</v>
      </c>
      <c r="Q994" s="51">
        <f t="shared" si="204"/>
        <v>8.3939020799311589E-3</v>
      </c>
      <c r="R994" s="4">
        <f t="shared" si="199"/>
        <v>-6.0474701565698744E-3</v>
      </c>
      <c r="S994">
        <f t="shared" si="200"/>
        <v>0</v>
      </c>
      <c r="T994">
        <f t="shared" si="201"/>
        <v>0</v>
      </c>
      <c r="U994" s="5">
        <f>0</f>
        <v>0</v>
      </c>
      <c r="V994" s="45">
        <f t="shared" si="205"/>
        <v>0.21401925574343894</v>
      </c>
      <c r="W994" s="45">
        <f t="shared" si="206"/>
        <v>0</v>
      </c>
      <c r="X994" s="45">
        <f t="shared" si="207"/>
        <v>0</v>
      </c>
      <c r="Y994" s="46">
        <f>0</f>
        <v>0</v>
      </c>
      <c r="Z994" s="11"/>
    </row>
    <row r="995" spans="11:26" x14ac:dyDescent="0.45">
      <c r="K995" s="39">
        <f t="shared" si="202"/>
        <v>0.31</v>
      </c>
      <c r="L995" s="40">
        <f t="shared" si="195"/>
        <v>40.31</v>
      </c>
      <c r="M995" s="41">
        <f t="shared" si="196"/>
        <v>35.31</v>
      </c>
      <c r="N995" s="49">
        <f t="shared" si="197"/>
        <v>1.29039337094803E-2</v>
      </c>
      <c r="O995" s="50">
        <f t="shared" si="198"/>
        <v>8.3866715245044816E-3</v>
      </c>
      <c r="P995" s="50">
        <f t="shared" si="203"/>
        <v>1.29039337094803E-2</v>
      </c>
      <c r="Q995" s="51">
        <f t="shared" si="204"/>
        <v>8.3866715245044816E-3</v>
      </c>
      <c r="R995" s="4">
        <f t="shared" si="199"/>
        <v>-6.0287316822320806E-3</v>
      </c>
      <c r="S995">
        <f t="shared" si="200"/>
        <v>0</v>
      </c>
      <c r="T995">
        <f t="shared" si="201"/>
        <v>0</v>
      </c>
      <c r="U995" s="5">
        <f>0</f>
        <v>0</v>
      </c>
      <c r="V995" s="45">
        <f t="shared" si="205"/>
        <v>0.21407973044500464</v>
      </c>
      <c r="W995" s="45">
        <f t="shared" si="206"/>
        <v>0</v>
      </c>
      <c r="X995" s="45">
        <f t="shared" si="207"/>
        <v>0</v>
      </c>
      <c r="Y995" s="46">
        <f>0</f>
        <v>0</v>
      </c>
      <c r="Z995" s="11"/>
    </row>
    <row r="996" spans="11:26" x14ac:dyDescent="0.45">
      <c r="K996" s="39">
        <f t="shared" si="202"/>
        <v>0.3</v>
      </c>
      <c r="L996" s="40">
        <f t="shared" si="195"/>
        <v>40.299999999999997</v>
      </c>
      <c r="M996" s="41">
        <f t="shared" si="196"/>
        <v>35.299999999999997</v>
      </c>
      <c r="N996" s="49">
        <f t="shared" si="197"/>
        <v>1.2892818186923543E-2</v>
      </c>
      <c r="O996" s="50">
        <f t="shared" si="198"/>
        <v>8.3794471975197366E-3</v>
      </c>
      <c r="P996" s="50">
        <f t="shared" si="203"/>
        <v>1.2892818186923543E-2</v>
      </c>
      <c r="Q996" s="51">
        <f t="shared" si="204"/>
        <v>8.3794471975197366E-3</v>
      </c>
      <c r="R996" s="4">
        <f t="shared" si="199"/>
        <v>-6.0100212090929521E-3</v>
      </c>
      <c r="S996">
        <f t="shared" si="200"/>
        <v>0</v>
      </c>
      <c r="T996">
        <f t="shared" si="201"/>
        <v>0</v>
      </c>
      <c r="U996" s="5">
        <f>0</f>
        <v>0</v>
      </c>
      <c r="V996" s="45">
        <f t="shared" si="205"/>
        <v>0.21414001776182695</v>
      </c>
      <c r="W996" s="45">
        <f t="shared" si="206"/>
        <v>0</v>
      </c>
      <c r="X996" s="45">
        <f t="shared" si="207"/>
        <v>0</v>
      </c>
      <c r="Y996" s="46">
        <f>0</f>
        <v>0</v>
      </c>
      <c r="Z996" s="11"/>
    </row>
    <row r="997" spans="11:26" x14ac:dyDescent="0.45">
      <c r="K997" s="39">
        <f t="shared" si="202"/>
        <v>0.28999999999999998</v>
      </c>
      <c r="L997" s="40">
        <f t="shared" si="195"/>
        <v>40.29</v>
      </c>
      <c r="M997" s="41">
        <f t="shared" si="196"/>
        <v>35.29</v>
      </c>
      <c r="N997" s="49">
        <f t="shared" si="197"/>
        <v>1.2881712239341722E-2</v>
      </c>
      <c r="O997" s="50">
        <f t="shared" si="198"/>
        <v>8.3722290936117244E-3</v>
      </c>
      <c r="P997" s="50">
        <f t="shared" si="203"/>
        <v>1.2881712239341722E-2</v>
      </c>
      <c r="Q997" s="51">
        <f t="shared" si="204"/>
        <v>8.3722290936117244E-3</v>
      </c>
      <c r="R997" s="4">
        <f t="shared" si="199"/>
        <v>-5.991338693328194E-3</v>
      </c>
      <c r="S997">
        <f t="shared" si="200"/>
        <v>0</v>
      </c>
      <c r="T997">
        <f t="shared" si="201"/>
        <v>0</v>
      </c>
      <c r="U997" s="5">
        <f>0</f>
        <v>0</v>
      </c>
      <c r="V997" s="45">
        <f t="shared" si="205"/>
        <v>0.21420011797391789</v>
      </c>
      <c r="W997" s="45">
        <f t="shared" si="206"/>
        <v>0</v>
      </c>
      <c r="X997" s="45">
        <f t="shared" si="207"/>
        <v>0</v>
      </c>
      <c r="Y997" s="46">
        <f>0</f>
        <v>0</v>
      </c>
      <c r="Z997" s="11"/>
    </row>
    <row r="998" spans="11:26" x14ac:dyDescent="0.45">
      <c r="K998" s="39">
        <f t="shared" si="202"/>
        <v>0.28000000000000003</v>
      </c>
      <c r="L998" s="40">
        <f t="shared" si="195"/>
        <v>40.28</v>
      </c>
      <c r="M998" s="41">
        <f t="shared" si="196"/>
        <v>35.28</v>
      </c>
      <c r="N998" s="49">
        <f t="shared" si="197"/>
        <v>1.2870615858486886E-2</v>
      </c>
      <c r="O998" s="50">
        <f t="shared" si="198"/>
        <v>8.365017207419851E-3</v>
      </c>
      <c r="P998" s="50">
        <f t="shared" si="203"/>
        <v>1.2870615858486886E-2</v>
      </c>
      <c r="Q998" s="51">
        <f t="shared" si="204"/>
        <v>8.365017207419851E-3</v>
      </c>
      <c r="R998" s="4">
        <f t="shared" si="199"/>
        <v>-5.972684091195472E-3</v>
      </c>
      <c r="S998">
        <f t="shared" si="200"/>
        <v>0</v>
      </c>
      <c r="T998">
        <f t="shared" si="201"/>
        <v>0</v>
      </c>
      <c r="U998" s="5">
        <f>0</f>
        <v>0</v>
      </c>
      <c r="V998" s="45">
        <f t="shared" si="205"/>
        <v>0.21426003136085117</v>
      </c>
      <c r="W998" s="45">
        <f t="shared" si="206"/>
        <v>0</v>
      </c>
      <c r="X998" s="45">
        <f t="shared" si="207"/>
        <v>0</v>
      </c>
      <c r="Y998" s="46">
        <f>0</f>
        <v>0</v>
      </c>
      <c r="Z998" s="11"/>
    </row>
    <row r="999" spans="11:26" x14ac:dyDescent="0.45">
      <c r="K999" s="39">
        <f t="shared" si="202"/>
        <v>0.27</v>
      </c>
      <c r="L999" s="40">
        <f t="shared" si="195"/>
        <v>40.270000000000003</v>
      </c>
      <c r="M999" s="41">
        <f t="shared" si="196"/>
        <v>35.270000000000003</v>
      </c>
      <c r="N999" s="49">
        <f t="shared" si="197"/>
        <v>1.2859529036118204E-2</v>
      </c>
      <c r="O999" s="50">
        <f t="shared" si="198"/>
        <v>8.3578115335881317E-3</v>
      </c>
      <c r="P999" s="50">
        <f t="shared" si="203"/>
        <v>1.2859529036118204E-2</v>
      </c>
      <c r="Q999" s="51">
        <f t="shared" si="204"/>
        <v>8.3578115335881317E-3</v>
      </c>
      <c r="R999" s="4">
        <f t="shared" si="199"/>
        <v>-5.9540573590342559E-3</v>
      </c>
      <c r="S999">
        <f t="shared" si="200"/>
        <v>0</v>
      </c>
      <c r="T999">
        <f t="shared" si="201"/>
        <v>0</v>
      </c>
      <c r="U999" s="5">
        <f>0</f>
        <v>0</v>
      </c>
      <c r="V999" s="45">
        <f t="shared" si="205"/>
        <v>0.21431975820176313</v>
      </c>
      <c r="W999" s="45">
        <f t="shared" si="206"/>
        <v>0</v>
      </c>
      <c r="X999" s="45">
        <f t="shared" si="207"/>
        <v>0</v>
      </c>
      <c r="Y999" s="46">
        <f>0</f>
        <v>0</v>
      </c>
      <c r="Z999" s="11"/>
    </row>
    <row r="1000" spans="11:26" x14ac:dyDescent="0.45">
      <c r="K1000" s="39">
        <f t="shared" si="202"/>
        <v>0.26</v>
      </c>
      <c r="L1000" s="40">
        <f t="shared" si="195"/>
        <v>40.26</v>
      </c>
      <c r="M1000" s="41">
        <f t="shared" si="196"/>
        <v>35.26</v>
      </c>
      <c r="N1000" s="49">
        <f t="shared" si="197"/>
        <v>1.2848451764001937E-2</v>
      </c>
      <c r="O1000" s="50">
        <f t="shared" si="198"/>
        <v>8.3506120667651961E-3</v>
      </c>
      <c r="P1000" s="50">
        <f t="shared" si="203"/>
        <v>1.2848451764001937E-2</v>
      </c>
      <c r="Q1000" s="51">
        <f t="shared" si="204"/>
        <v>8.3506120667651961E-3</v>
      </c>
      <c r="R1000" s="4">
        <f t="shared" si="199"/>
        <v>-5.9354584532656431E-3</v>
      </c>
      <c r="S1000">
        <f t="shared" si="200"/>
        <v>0</v>
      </c>
      <c r="T1000">
        <f t="shared" si="201"/>
        <v>0</v>
      </c>
      <c r="U1000" s="5">
        <f>0</f>
        <v>0</v>
      </c>
      <c r="V1000" s="45">
        <f t="shared" si="205"/>
        <v>0.21437929877535347</v>
      </c>
      <c r="W1000" s="45">
        <f t="shared" si="206"/>
        <v>0</v>
      </c>
      <c r="X1000" s="45">
        <f t="shared" si="207"/>
        <v>0</v>
      </c>
      <c r="Y1000" s="46">
        <f>0</f>
        <v>0</v>
      </c>
      <c r="Z1000" s="11"/>
    </row>
    <row r="1001" spans="11:26" x14ac:dyDescent="0.45">
      <c r="K1001" s="39">
        <f t="shared" si="202"/>
        <v>0.25</v>
      </c>
      <c r="L1001" s="40">
        <f t="shared" si="195"/>
        <v>40.25</v>
      </c>
      <c r="M1001" s="41">
        <f t="shared" si="196"/>
        <v>35.25</v>
      </c>
      <c r="N1001" s="49">
        <f t="shared" si="197"/>
        <v>1.2837384033911452E-2</v>
      </c>
      <c r="O1001" s="50">
        <f t="shared" si="198"/>
        <v>8.3434188016043142E-3</v>
      </c>
      <c r="P1001" s="50">
        <f t="shared" si="203"/>
        <v>1.2837384033911452E-2</v>
      </c>
      <c r="Q1001" s="51">
        <f t="shared" si="204"/>
        <v>8.3434188016043142E-3</v>
      </c>
      <c r="R1001" s="4">
        <f t="shared" si="199"/>
        <v>-5.9168873303922006E-3</v>
      </c>
      <c r="S1001">
        <f t="shared" si="200"/>
        <v>0</v>
      </c>
      <c r="T1001">
        <f t="shared" si="201"/>
        <v>0</v>
      </c>
      <c r="U1001" s="5">
        <f>0</f>
        <v>0</v>
      </c>
      <c r="V1001" s="45">
        <f t="shared" si="205"/>
        <v>0.21443865335988613</v>
      </c>
      <c r="W1001" s="45">
        <f t="shared" si="206"/>
        <v>0</v>
      </c>
      <c r="X1001" s="45">
        <f t="shared" si="207"/>
        <v>0</v>
      </c>
      <c r="Y1001" s="46">
        <f>0</f>
        <v>0</v>
      </c>
      <c r="Z1001" s="11"/>
    </row>
    <row r="1002" spans="11:26" x14ac:dyDescent="0.45">
      <c r="K1002" s="39">
        <f t="shared" si="202"/>
        <v>0.24</v>
      </c>
      <c r="L1002" s="40">
        <f t="shared" si="195"/>
        <v>40.24</v>
      </c>
      <c r="M1002" s="41">
        <f t="shared" si="196"/>
        <v>35.24</v>
      </c>
      <c r="N1002" s="49">
        <f t="shared" si="197"/>
        <v>1.2826325837627184E-2</v>
      </c>
      <c r="O1002" s="50">
        <f t="shared" si="198"/>
        <v>8.3362317327633217E-3</v>
      </c>
      <c r="P1002" s="50">
        <f t="shared" si="203"/>
        <v>1.2826325837627184E-2</v>
      </c>
      <c r="Q1002" s="51">
        <f t="shared" si="204"/>
        <v>8.3362317327633217E-3</v>
      </c>
      <c r="R1002" s="4">
        <f t="shared" si="199"/>
        <v>-5.8983439469977288E-3</v>
      </c>
      <c r="S1002">
        <f t="shared" si="200"/>
        <v>0</v>
      </c>
      <c r="T1002">
        <f t="shared" si="201"/>
        <v>0</v>
      </c>
      <c r="U1002" s="5">
        <f>0</f>
        <v>0</v>
      </c>
      <c r="V1002" s="45">
        <f t="shared" si="205"/>
        <v>0.21449782223319006</v>
      </c>
      <c r="W1002" s="45">
        <f t="shared" si="206"/>
        <v>0</v>
      </c>
      <c r="X1002" s="45">
        <f t="shared" si="207"/>
        <v>0</v>
      </c>
      <c r="Y1002" s="46">
        <f>0</f>
        <v>0</v>
      </c>
      <c r="Z1002" s="11"/>
    </row>
    <row r="1003" spans="11:26" x14ac:dyDescent="0.45">
      <c r="K1003" s="39">
        <f t="shared" si="202"/>
        <v>0.23</v>
      </c>
      <c r="L1003" s="40">
        <f t="shared" si="195"/>
        <v>40.229999999999997</v>
      </c>
      <c r="M1003" s="41">
        <f t="shared" si="196"/>
        <v>35.229999999999997</v>
      </c>
      <c r="N1003" s="49">
        <f t="shared" si="197"/>
        <v>1.2815277166936659E-2</v>
      </c>
      <c r="O1003" s="50">
        <f t="shared" si="198"/>
        <v>8.3290508549046707E-3</v>
      </c>
      <c r="P1003" s="50">
        <f t="shared" si="203"/>
        <v>1.2815277166936659E-2</v>
      </c>
      <c r="Q1003" s="51">
        <f t="shared" si="204"/>
        <v>8.3290508549046707E-3</v>
      </c>
      <c r="R1003" s="4">
        <f t="shared" si="199"/>
        <v>-5.8798282597471406E-3</v>
      </c>
      <c r="S1003">
        <f t="shared" si="200"/>
        <v>0</v>
      </c>
      <c r="T1003">
        <f t="shared" si="201"/>
        <v>0</v>
      </c>
      <c r="U1003" s="5">
        <f>0</f>
        <v>0</v>
      </c>
      <c r="V1003" s="45">
        <f t="shared" si="205"/>
        <v>0.21455680567266003</v>
      </c>
      <c r="W1003" s="45">
        <f t="shared" si="206"/>
        <v>0</v>
      </c>
      <c r="X1003" s="45">
        <f t="shared" si="207"/>
        <v>0</v>
      </c>
      <c r="Y1003" s="46">
        <f>0</f>
        <v>0</v>
      </c>
      <c r="Z1003" s="11"/>
    </row>
    <row r="1004" spans="11:26" x14ac:dyDescent="0.45">
      <c r="K1004" s="39">
        <f t="shared" si="202"/>
        <v>0.22</v>
      </c>
      <c r="L1004" s="40">
        <f t="shared" si="195"/>
        <v>40.22</v>
      </c>
      <c r="M1004" s="41">
        <f t="shared" si="196"/>
        <v>35.22</v>
      </c>
      <c r="N1004" s="49">
        <f t="shared" si="197"/>
        <v>1.2804238013634483E-2</v>
      </c>
      <c r="O1004" s="50">
        <f t="shared" si="198"/>
        <v>8.3218761626954324E-3</v>
      </c>
      <c r="P1004" s="50">
        <f t="shared" si="203"/>
        <v>1.2804238013634483E-2</v>
      </c>
      <c r="Q1004" s="51">
        <f t="shared" si="204"/>
        <v>8.3218761626954324E-3</v>
      </c>
      <c r="R1004" s="4">
        <f t="shared" si="199"/>
        <v>-5.8613402253862665E-3</v>
      </c>
      <c r="S1004">
        <f t="shared" si="200"/>
        <v>0</v>
      </c>
      <c r="T1004">
        <f t="shared" si="201"/>
        <v>0</v>
      </c>
      <c r="U1004" s="5">
        <f>0</f>
        <v>0</v>
      </c>
      <c r="V1004" s="45">
        <f t="shared" si="205"/>
        <v>0.2146156039552575</v>
      </c>
      <c r="W1004" s="45">
        <f t="shared" si="206"/>
        <v>0</v>
      </c>
      <c r="X1004" s="45">
        <f t="shared" si="207"/>
        <v>0</v>
      </c>
      <c r="Y1004" s="46">
        <f>0</f>
        <v>0</v>
      </c>
      <c r="Z1004" s="11"/>
    </row>
    <row r="1005" spans="11:26" x14ac:dyDescent="0.45">
      <c r="K1005" s="39">
        <f t="shared" si="202"/>
        <v>0.21</v>
      </c>
      <c r="L1005" s="40">
        <f t="shared" si="195"/>
        <v>40.21</v>
      </c>
      <c r="M1005" s="41">
        <f t="shared" si="196"/>
        <v>35.21</v>
      </c>
      <c r="N1005" s="49">
        <f t="shared" si="197"/>
        <v>1.2793208369522319E-2</v>
      </c>
      <c r="O1005" s="50">
        <f t="shared" si="198"/>
        <v>8.3147076508072355E-3</v>
      </c>
      <c r="P1005" s="50">
        <f t="shared" si="203"/>
        <v>1.2793208369522319E-2</v>
      </c>
      <c r="Q1005" s="51">
        <f t="shared" si="204"/>
        <v>8.3147076508072355E-3</v>
      </c>
      <c r="R1005" s="4">
        <f t="shared" si="199"/>
        <v>-5.8428798007416644E-3</v>
      </c>
      <c r="S1005">
        <f t="shared" si="200"/>
        <v>0</v>
      </c>
      <c r="T1005">
        <f t="shared" si="201"/>
        <v>0</v>
      </c>
      <c r="U1005" s="5">
        <f>0</f>
        <v>0</v>
      </c>
      <c r="V1005" s="45">
        <f t="shared" si="205"/>
        <v>0.21467421735751135</v>
      </c>
      <c r="W1005" s="45">
        <f t="shared" si="206"/>
        <v>0</v>
      </c>
      <c r="X1005" s="45">
        <f t="shared" si="207"/>
        <v>0</v>
      </c>
      <c r="Y1005" s="46">
        <f>0</f>
        <v>0</v>
      </c>
      <c r="Z1005" s="11"/>
    </row>
    <row r="1006" spans="11:26" x14ac:dyDescent="0.45">
      <c r="K1006" s="39">
        <f t="shared" si="202"/>
        <v>0.2</v>
      </c>
      <c r="L1006" s="40">
        <f t="shared" si="195"/>
        <v>40.200000000000003</v>
      </c>
      <c r="M1006" s="41">
        <f t="shared" si="196"/>
        <v>35.200000000000003</v>
      </c>
      <c r="N1006" s="49">
        <f t="shared" si="197"/>
        <v>1.2782188226408897E-2</v>
      </c>
      <c r="O1006" s="50">
        <f t="shared" si="198"/>
        <v>8.3075453139163213E-3</v>
      </c>
      <c r="P1006" s="50">
        <f t="shared" si="203"/>
        <v>1.2782188226408897E-2</v>
      </c>
      <c r="Q1006" s="51">
        <f t="shared" si="204"/>
        <v>8.3075453139163213E-3</v>
      </c>
      <c r="R1006" s="4">
        <f t="shared" si="199"/>
        <v>-5.8244469427204473E-3</v>
      </c>
      <c r="S1006">
        <f t="shared" si="200"/>
        <v>0</v>
      </c>
      <c r="T1006">
        <f t="shared" si="201"/>
        <v>0</v>
      </c>
      <c r="U1006" s="5">
        <f>0</f>
        <v>0</v>
      </c>
      <c r="V1006" s="45">
        <f t="shared" si="205"/>
        <v>0.21473264615551876</v>
      </c>
      <c r="W1006" s="45">
        <f t="shared" si="206"/>
        <v>0</v>
      </c>
      <c r="X1006" s="45">
        <f t="shared" si="207"/>
        <v>0</v>
      </c>
      <c r="Y1006" s="46">
        <f>0</f>
        <v>0</v>
      </c>
      <c r="Z1006" s="11"/>
    </row>
    <row r="1007" spans="11:26" x14ac:dyDescent="0.45">
      <c r="K1007" s="39">
        <f t="shared" si="202"/>
        <v>0.19</v>
      </c>
      <c r="L1007" s="40">
        <f t="shared" si="195"/>
        <v>40.19</v>
      </c>
      <c r="M1007" s="41">
        <f t="shared" si="196"/>
        <v>35.19</v>
      </c>
      <c r="N1007" s="49">
        <f t="shared" si="197"/>
        <v>1.2771177576109993E-2</v>
      </c>
      <c r="O1007" s="50">
        <f t="shared" si="198"/>
        <v>8.3003891467035087E-3</v>
      </c>
      <c r="P1007" s="50">
        <f t="shared" si="203"/>
        <v>1.2771177576109993E-2</v>
      </c>
      <c r="Q1007" s="51">
        <f t="shared" si="204"/>
        <v>8.3003891467035087E-3</v>
      </c>
      <c r="R1007" s="4">
        <f t="shared" si="199"/>
        <v>-5.8060416083101155E-3</v>
      </c>
      <c r="S1007">
        <f t="shared" si="200"/>
        <v>0</v>
      </c>
      <c r="T1007">
        <f t="shared" si="201"/>
        <v>0</v>
      </c>
      <c r="U1007" s="5">
        <f>0</f>
        <v>0</v>
      </c>
      <c r="V1007" s="45">
        <f t="shared" si="205"/>
        <v>0.21479089062494597</v>
      </c>
      <c r="W1007" s="45">
        <f t="shared" si="206"/>
        <v>0</v>
      </c>
      <c r="X1007" s="45">
        <f t="shared" si="207"/>
        <v>0</v>
      </c>
      <c r="Y1007" s="46">
        <f>0</f>
        <v>0</v>
      </c>
      <c r="Z1007" s="11"/>
    </row>
    <row r="1008" spans="11:26" x14ac:dyDescent="0.45">
      <c r="K1008" s="39">
        <f t="shared" si="202"/>
        <v>0.18</v>
      </c>
      <c r="L1008" s="40">
        <f t="shared" si="195"/>
        <v>40.18</v>
      </c>
      <c r="M1008" s="41">
        <f t="shared" si="196"/>
        <v>35.18</v>
      </c>
      <c r="N1008" s="49">
        <f t="shared" si="197"/>
        <v>1.2760176410448455E-2</v>
      </c>
      <c r="O1008" s="50">
        <f t="shared" si="198"/>
        <v>8.2932391438542089E-3</v>
      </c>
      <c r="P1008" s="50">
        <f t="shared" si="203"/>
        <v>1.2760176410448455E-2</v>
      </c>
      <c r="Q1008" s="51">
        <f t="shared" si="204"/>
        <v>8.2932391438542089E-3</v>
      </c>
      <c r="R1008" s="4">
        <f t="shared" si="199"/>
        <v>-5.7876637545783947E-3</v>
      </c>
      <c r="S1008">
        <f t="shared" si="200"/>
        <v>0</v>
      </c>
      <c r="T1008">
        <f t="shared" si="201"/>
        <v>0</v>
      </c>
      <c r="U1008" s="5">
        <f>0</f>
        <v>0</v>
      </c>
      <c r="V1008" s="45">
        <f t="shared" si="205"/>
        <v>0.21484895104102908</v>
      </c>
      <c r="W1008" s="45">
        <f t="shared" si="206"/>
        <v>0</v>
      </c>
      <c r="X1008" s="45">
        <f t="shared" si="207"/>
        <v>0</v>
      </c>
      <c r="Y1008" s="46">
        <f>0</f>
        <v>0</v>
      </c>
      <c r="Z1008" s="11"/>
    </row>
    <row r="1009" spans="11:26" x14ac:dyDescent="0.45">
      <c r="K1009" s="39">
        <f t="shared" si="202"/>
        <v>0.17</v>
      </c>
      <c r="L1009" s="40">
        <f t="shared" si="195"/>
        <v>40.17</v>
      </c>
      <c r="M1009" s="41">
        <f t="shared" si="196"/>
        <v>35.17</v>
      </c>
      <c r="N1009" s="49">
        <f t="shared" si="197"/>
        <v>1.2749184721254157E-2</v>
      </c>
      <c r="O1009" s="50">
        <f t="shared" si="198"/>
        <v>8.2860953000583985E-3</v>
      </c>
      <c r="P1009" s="50">
        <f t="shared" si="203"/>
        <v>1.2749184721254157E-2</v>
      </c>
      <c r="Q1009" s="51">
        <f t="shared" si="204"/>
        <v>8.2860953000583985E-3</v>
      </c>
      <c r="R1009" s="4">
        <f t="shared" si="199"/>
        <v>-5.769313338673027E-3</v>
      </c>
      <c r="S1009">
        <f t="shared" si="200"/>
        <v>0</v>
      </c>
      <c r="T1009">
        <f t="shared" si="201"/>
        <v>0</v>
      </c>
      <c r="U1009" s="5">
        <f>0</f>
        <v>0</v>
      </c>
      <c r="V1009" s="45">
        <f t="shared" si="205"/>
        <v>0.21490682767857486</v>
      </c>
      <c r="W1009" s="45">
        <f t="shared" si="206"/>
        <v>0</v>
      </c>
      <c r="X1009" s="45">
        <f t="shared" si="207"/>
        <v>0</v>
      </c>
      <c r="Y1009" s="46">
        <f>0</f>
        <v>0</v>
      </c>
      <c r="Z1009" s="11"/>
    </row>
    <row r="1010" spans="11:26" x14ac:dyDescent="0.45">
      <c r="K1010" s="39">
        <f t="shared" si="202"/>
        <v>0.16</v>
      </c>
      <c r="L1010" s="40">
        <f t="shared" si="195"/>
        <v>40.159999999999997</v>
      </c>
      <c r="M1010" s="41">
        <f t="shared" si="196"/>
        <v>35.159999999999997</v>
      </c>
      <c r="N1010" s="49">
        <f t="shared" si="197"/>
        <v>1.2738202500364009E-2</v>
      </c>
      <c r="O1010" s="50">
        <f t="shared" si="198"/>
        <v>8.2789576100106305E-3</v>
      </c>
      <c r="P1010" s="50">
        <f t="shared" si="203"/>
        <v>1.2738202500364009E-2</v>
      </c>
      <c r="Q1010" s="51">
        <f t="shared" si="204"/>
        <v>8.2789576100106305E-3</v>
      </c>
      <c r="R1010" s="4">
        <f t="shared" si="199"/>
        <v>-5.7509903178215999E-3</v>
      </c>
      <c r="S1010">
        <f t="shared" si="200"/>
        <v>0</v>
      </c>
      <c r="T1010">
        <f t="shared" si="201"/>
        <v>0</v>
      </c>
      <c r="U1010" s="5">
        <f>0</f>
        <v>0</v>
      </c>
      <c r="V1010" s="45">
        <f t="shared" si="205"/>
        <v>0.2149645208119616</v>
      </c>
      <c r="W1010" s="45">
        <f t="shared" si="206"/>
        <v>0</v>
      </c>
      <c r="X1010" s="45">
        <f t="shared" si="207"/>
        <v>0</v>
      </c>
      <c r="Y1010" s="46">
        <f>0</f>
        <v>0</v>
      </c>
      <c r="Z1010" s="11"/>
    </row>
    <row r="1011" spans="11:26" x14ac:dyDescent="0.45">
      <c r="K1011" s="39">
        <f t="shared" si="202"/>
        <v>0.15</v>
      </c>
      <c r="L1011" s="40">
        <f t="shared" si="195"/>
        <v>40.15</v>
      </c>
      <c r="M1011" s="41">
        <f t="shared" si="196"/>
        <v>35.15</v>
      </c>
      <c r="N1011" s="49">
        <f t="shared" si="197"/>
        <v>1.2727229739621974E-2</v>
      </c>
      <c r="O1011" s="50">
        <f t="shared" si="198"/>
        <v>8.2718260684100393E-3</v>
      </c>
      <c r="P1011" s="50">
        <f t="shared" si="203"/>
        <v>1.2727229739621974E-2</v>
      </c>
      <c r="Q1011" s="51">
        <f t="shared" si="204"/>
        <v>8.2718260684100393E-3</v>
      </c>
      <c r="R1011" s="4">
        <f t="shared" si="199"/>
        <v>-5.7326946493314272E-3</v>
      </c>
      <c r="S1011">
        <f t="shared" si="200"/>
        <v>0</v>
      </c>
      <c r="T1011">
        <f t="shared" si="201"/>
        <v>0</v>
      </c>
      <c r="U1011" s="5">
        <f>0</f>
        <v>0</v>
      </c>
      <c r="V1011" s="45">
        <f t="shared" si="205"/>
        <v>0.21502203071513981</v>
      </c>
      <c r="W1011" s="45">
        <f t="shared" si="206"/>
        <v>0</v>
      </c>
      <c r="X1011" s="45">
        <f t="shared" si="207"/>
        <v>0</v>
      </c>
      <c r="Y1011" s="46">
        <f>0</f>
        <v>0</v>
      </c>
      <c r="Z1011" s="11"/>
    </row>
    <row r="1012" spans="11:26" x14ac:dyDescent="0.45">
      <c r="K1012" s="39">
        <f t="shared" si="202"/>
        <v>0.14000000000000001</v>
      </c>
      <c r="L1012" s="40">
        <f t="shared" si="195"/>
        <v>40.14</v>
      </c>
      <c r="M1012" s="41">
        <f t="shared" si="196"/>
        <v>35.14</v>
      </c>
      <c r="N1012" s="49">
        <f t="shared" si="197"/>
        <v>1.2716266430879017E-2</v>
      </c>
      <c r="O1012" s="50">
        <f t="shared" si="198"/>
        <v>8.2647006699603127E-3</v>
      </c>
      <c r="P1012" s="50">
        <f t="shared" si="203"/>
        <v>1.2716266430879017E-2</v>
      </c>
      <c r="Q1012" s="51">
        <f t="shared" si="204"/>
        <v>8.2647006699603127E-3</v>
      </c>
      <c r="R1012" s="4">
        <f t="shared" si="199"/>
        <v>-5.7144262905892921E-3</v>
      </c>
      <c r="S1012">
        <f t="shared" si="200"/>
        <v>0</v>
      </c>
      <c r="T1012">
        <f t="shared" si="201"/>
        <v>0</v>
      </c>
      <c r="U1012" s="5">
        <f>0</f>
        <v>0</v>
      </c>
      <c r="V1012" s="45">
        <f t="shared" si="205"/>
        <v>0.21507935766163314</v>
      </c>
      <c r="W1012" s="45">
        <f t="shared" si="206"/>
        <v>0</v>
      </c>
      <c r="X1012" s="45">
        <f t="shared" si="207"/>
        <v>0</v>
      </c>
      <c r="Y1012" s="46">
        <f>0</f>
        <v>0</v>
      </c>
      <c r="Z1012" s="11"/>
    </row>
    <row r="1013" spans="11:26" x14ac:dyDescent="0.45">
      <c r="K1013" s="39">
        <f t="shared" si="202"/>
        <v>0.13</v>
      </c>
      <c r="L1013" s="40">
        <f t="shared" si="195"/>
        <v>40.130000000000003</v>
      </c>
      <c r="M1013" s="41">
        <f t="shared" si="196"/>
        <v>35.130000000000003</v>
      </c>
      <c r="N1013" s="49">
        <f t="shared" si="197"/>
        <v>1.2705312565993139E-2</v>
      </c>
      <c r="O1013" s="50">
        <f t="shared" si="198"/>
        <v>8.2575814093697048E-3</v>
      </c>
      <c r="P1013" s="50">
        <f t="shared" si="203"/>
        <v>1.2705312565993139E-2</v>
      </c>
      <c r="Q1013" s="51">
        <f t="shared" si="204"/>
        <v>8.2575814093697048E-3</v>
      </c>
      <c r="R1013" s="4">
        <f t="shared" si="199"/>
        <v>-5.6961851990613346E-3</v>
      </c>
      <c r="S1013">
        <f t="shared" si="200"/>
        <v>0</v>
      </c>
      <c r="T1013">
        <f t="shared" si="201"/>
        <v>0</v>
      </c>
      <c r="U1013" s="5">
        <f>0</f>
        <v>0</v>
      </c>
      <c r="V1013" s="45">
        <f t="shared" si="205"/>
        <v>0.21513650192453904</v>
      </c>
      <c r="W1013" s="45">
        <f t="shared" si="206"/>
        <v>0</v>
      </c>
      <c r="X1013" s="45">
        <f t="shared" si="207"/>
        <v>0</v>
      </c>
      <c r="Y1013" s="46">
        <f>0</f>
        <v>0</v>
      </c>
      <c r="Z1013" s="11"/>
    </row>
    <row r="1014" spans="11:26" x14ac:dyDescent="0.45">
      <c r="K1014" s="39">
        <f t="shared" si="202"/>
        <v>0.12</v>
      </c>
      <c r="L1014" s="40">
        <f t="shared" si="195"/>
        <v>40.119999999999997</v>
      </c>
      <c r="M1014" s="41">
        <f t="shared" si="196"/>
        <v>35.119999999999997</v>
      </c>
      <c r="N1014" s="49">
        <f t="shared" si="197"/>
        <v>1.2694368136829323E-2</v>
      </c>
      <c r="O1014" s="50">
        <f t="shared" si="198"/>
        <v>8.2504682813510262E-3</v>
      </c>
      <c r="P1014" s="50">
        <f t="shared" si="203"/>
        <v>1.2694368136829323E-2</v>
      </c>
      <c r="Q1014" s="51">
        <f t="shared" si="204"/>
        <v>8.2504682813510262E-3</v>
      </c>
      <c r="R1014" s="4">
        <f t="shared" si="199"/>
        <v>-5.677971332292836E-3</v>
      </c>
      <c r="S1014">
        <f t="shared" si="200"/>
        <v>0</v>
      </c>
      <c r="T1014">
        <f t="shared" si="201"/>
        <v>0</v>
      </c>
      <c r="U1014" s="5">
        <f>0</f>
        <v>0</v>
      </c>
      <c r="V1014" s="45">
        <f t="shared" si="205"/>
        <v>0.21519346377652965</v>
      </c>
      <c r="W1014" s="45">
        <f t="shared" si="206"/>
        <v>0</v>
      </c>
      <c r="X1014" s="45">
        <f t="shared" si="207"/>
        <v>0</v>
      </c>
      <c r="Y1014" s="46">
        <f>0</f>
        <v>0</v>
      </c>
      <c r="Z1014" s="11"/>
    </row>
    <row r="1015" spans="11:26" x14ac:dyDescent="0.45">
      <c r="K1015" s="39">
        <f t="shared" si="202"/>
        <v>0.11</v>
      </c>
      <c r="L1015" s="40">
        <f t="shared" si="195"/>
        <v>40.11</v>
      </c>
      <c r="M1015" s="41">
        <f t="shared" si="196"/>
        <v>35.11</v>
      </c>
      <c r="N1015" s="49">
        <f t="shared" si="197"/>
        <v>1.2683433135259613E-2</v>
      </c>
      <c r="O1015" s="50">
        <f t="shared" si="198"/>
        <v>8.2433612806216503E-3</v>
      </c>
      <c r="P1015" s="50">
        <f t="shared" si="203"/>
        <v>1.2683433135259613E-2</v>
      </c>
      <c r="Q1015" s="51">
        <f t="shared" si="204"/>
        <v>8.2433612806216503E-3</v>
      </c>
      <c r="R1015" s="4">
        <f t="shared" si="199"/>
        <v>-5.6597846479081032E-3</v>
      </c>
      <c r="S1015">
        <f t="shared" si="200"/>
        <v>0</v>
      </c>
      <c r="T1015">
        <f t="shared" si="201"/>
        <v>0</v>
      </c>
      <c r="U1015" s="5">
        <f>0</f>
        <v>0</v>
      </c>
      <c r="V1015" s="45">
        <f t="shared" si="205"/>
        <v>0.21525024348985258</v>
      </c>
      <c r="W1015" s="45">
        <f t="shared" si="206"/>
        <v>0</v>
      </c>
      <c r="X1015" s="45">
        <f t="shared" si="207"/>
        <v>0</v>
      </c>
      <c r="Y1015" s="46">
        <f>0</f>
        <v>0</v>
      </c>
      <c r="Z1015" s="11"/>
    </row>
    <row r="1016" spans="11:26" x14ac:dyDescent="0.45">
      <c r="K1016" s="39">
        <f t="shared" si="202"/>
        <v>0.1</v>
      </c>
      <c r="L1016" s="40">
        <f t="shared" si="195"/>
        <v>40.1</v>
      </c>
      <c r="M1016" s="41">
        <f t="shared" si="196"/>
        <v>35.1</v>
      </c>
      <c r="N1016" s="49">
        <f t="shared" si="197"/>
        <v>1.2672507553163022E-2</v>
      </c>
      <c r="O1016" s="50">
        <f t="shared" si="198"/>
        <v>8.2362604019034918E-3</v>
      </c>
      <c r="P1016" s="50">
        <f t="shared" si="203"/>
        <v>1.2672507553163022E-2</v>
      </c>
      <c r="Q1016" s="51">
        <f t="shared" si="204"/>
        <v>8.2362604019034918E-3</v>
      </c>
      <c r="R1016" s="4">
        <f t="shared" si="199"/>
        <v>-5.6416251036102462E-3</v>
      </c>
      <c r="S1016">
        <f t="shared" si="200"/>
        <v>0</v>
      </c>
      <c r="T1016">
        <f t="shared" si="201"/>
        <v>0</v>
      </c>
      <c r="U1016" s="5">
        <f>0</f>
        <v>0</v>
      </c>
      <c r="V1016" s="45">
        <f t="shared" si="205"/>
        <v>0.21530684133633166</v>
      </c>
      <c r="W1016" s="45">
        <f t="shared" si="206"/>
        <v>0</v>
      </c>
      <c r="X1016" s="45">
        <f t="shared" si="207"/>
        <v>0</v>
      </c>
      <c r="Y1016" s="46">
        <f>0</f>
        <v>0</v>
      </c>
      <c r="Z1016" s="11"/>
    </row>
    <row r="1017" spans="11:26" x14ac:dyDescent="0.45">
      <c r="K1017" s="39">
        <f t="shared" si="202"/>
        <v>0.09</v>
      </c>
      <c r="L1017" s="40">
        <f t="shared" si="195"/>
        <v>40.090000000000003</v>
      </c>
      <c r="M1017" s="41">
        <f t="shared" si="196"/>
        <v>35.090000000000003</v>
      </c>
      <c r="N1017" s="49">
        <f t="shared" si="197"/>
        <v>1.2661591382425546E-2</v>
      </c>
      <c r="O1017" s="50">
        <f t="shared" si="198"/>
        <v>8.2291656399230157E-3</v>
      </c>
      <c r="P1017" s="50">
        <f t="shared" si="203"/>
        <v>1.2661591382425546E-2</v>
      </c>
      <c r="Q1017" s="51">
        <f t="shared" si="204"/>
        <v>8.2291656399230157E-3</v>
      </c>
      <c r="R1017" s="4">
        <f t="shared" si="199"/>
        <v>-5.6234926571810083E-3</v>
      </c>
      <c r="S1017">
        <f t="shared" si="200"/>
        <v>0</v>
      </c>
      <c r="T1017">
        <f t="shared" si="201"/>
        <v>0</v>
      </c>
      <c r="U1017" s="5">
        <f>0</f>
        <v>0</v>
      </c>
      <c r="V1017" s="45">
        <f t="shared" si="205"/>
        <v>0.21536325758736777</v>
      </c>
      <c r="W1017" s="45">
        <f t="shared" si="206"/>
        <v>0</v>
      </c>
      <c r="X1017" s="45">
        <f t="shared" si="207"/>
        <v>0</v>
      </c>
      <c r="Y1017" s="46">
        <f>0</f>
        <v>0</v>
      </c>
      <c r="Z1017" s="11"/>
    </row>
    <row r="1018" spans="11:26" x14ac:dyDescent="0.45">
      <c r="K1018" s="39">
        <f t="shared" si="202"/>
        <v>0.08</v>
      </c>
      <c r="L1018" s="40">
        <f t="shared" si="195"/>
        <v>40.08</v>
      </c>
      <c r="M1018" s="41">
        <f t="shared" si="196"/>
        <v>35.08</v>
      </c>
      <c r="N1018" s="49">
        <f t="shared" si="197"/>
        <v>1.2650684614940184E-2</v>
      </c>
      <c r="O1018" s="50">
        <f t="shared" si="198"/>
        <v>8.2220769894112249E-3</v>
      </c>
      <c r="P1018" s="50">
        <f t="shared" si="203"/>
        <v>1.2650684614940184E-2</v>
      </c>
      <c r="Q1018" s="51">
        <f t="shared" si="204"/>
        <v>8.2220769894112249E-3</v>
      </c>
      <c r="R1018" s="4">
        <f t="shared" si="199"/>
        <v>-5.6053872664806048E-3</v>
      </c>
      <c r="S1018">
        <f t="shared" si="200"/>
        <v>0</v>
      </c>
      <c r="T1018">
        <f t="shared" si="201"/>
        <v>0</v>
      </c>
      <c r="U1018" s="5">
        <f>0</f>
        <v>0</v>
      </c>
      <c r="V1018" s="45">
        <f t="shared" si="205"/>
        <v>0.21541949251393958</v>
      </c>
      <c r="W1018" s="45">
        <f t="shared" si="206"/>
        <v>0</v>
      </c>
      <c r="X1018" s="45">
        <f t="shared" si="207"/>
        <v>0</v>
      </c>
      <c r="Y1018" s="46">
        <f>0</f>
        <v>0</v>
      </c>
      <c r="Z1018" s="11"/>
    </row>
    <row r="1019" spans="11:26" x14ac:dyDescent="0.45">
      <c r="K1019" s="39">
        <f t="shared" si="202"/>
        <v>7.0000000000000007E-2</v>
      </c>
      <c r="L1019" s="40">
        <f t="shared" si="195"/>
        <v>40.07</v>
      </c>
      <c r="M1019" s="41">
        <f t="shared" si="196"/>
        <v>35.07</v>
      </c>
      <c r="N1019" s="49">
        <f t="shared" si="197"/>
        <v>1.263978724260695E-2</v>
      </c>
      <c r="O1019" s="50">
        <f t="shared" si="198"/>
        <v>8.2149944451036707E-3</v>
      </c>
      <c r="P1019" s="50">
        <f t="shared" si="203"/>
        <v>1.263978724260695E-2</v>
      </c>
      <c r="Q1019" s="51">
        <f t="shared" si="204"/>
        <v>8.2149944451036707E-3</v>
      </c>
      <c r="R1019" s="4">
        <f t="shared" si="199"/>
        <v>-5.587308889447605E-3</v>
      </c>
      <c r="S1019">
        <f t="shared" si="200"/>
        <v>0</v>
      </c>
      <c r="T1019">
        <f t="shared" si="201"/>
        <v>0</v>
      </c>
      <c r="U1019" s="5">
        <f>0</f>
        <v>0</v>
      </c>
      <c r="V1019" s="45">
        <f t="shared" si="205"/>
        <v>0.21547554638660438</v>
      </c>
      <c r="W1019" s="45">
        <f t="shared" si="206"/>
        <v>0</v>
      </c>
      <c r="X1019" s="45">
        <f t="shared" si="207"/>
        <v>0</v>
      </c>
      <c r="Y1019" s="46">
        <f>0</f>
        <v>0</v>
      </c>
      <c r="Z1019" s="11"/>
    </row>
    <row r="1020" spans="11:26" x14ac:dyDescent="0.45">
      <c r="K1020" s="39">
        <f t="shared" si="202"/>
        <v>0.06</v>
      </c>
      <c r="L1020" s="40">
        <f t="shared" si="195"/>
        <v>40.06</v>
      </c>
      <c r="M1020" s="41">
        <f t="shared" si="196"/>
        <v>35.06</v>
      </c>
      <c r="N1020" s="49">
        <f t="shared" si="197"/>
        <v>1.2628899257332777E-2</v>
      </c>
      <c r="O1020" s="50">
        <f t="shared" si="198"/>
        <v>8.2079180017404323E-3</v>
      </c>
      <c r="P1020" s="50">
        <f t="shared" si="203"/>
        <v>1.2628899257332777E-2</v>
      </c>
      <c r="Q1020" s="51">
        <f t="shared" si="204"/>
        <v>8.2079180017404323E-3</v>
      </c>
      <c r="R1020" s="4">
        <f t="shared" si="199"/>
        <v>-5.5692574840986424E-3</v>
      </c>
      <c r="S1020">
        <f t="shared" si="200"/>
        <v>0</v>
      </c>
      <c r="T1020">
        <f t="shared" si="201"/>
        <v>0</v>
      </c>
      <c r="U1020" s="5">
        <f>0</f>
        <v>0</v>
      </c>
      <c r="V1020" s="45">
        <f t="shared" si="205"/>
        <v>0.21553141947549886</v>
      </c>
      <c r="W1020" s="45">
        <f t="shared" si="206"/>
        <v>0</v>
      </c>
      <c r="X1020" s="45">
        <f t="shared" si="207"/>
        <v>0</v>
      </c>
      <c r="Y1020" s="46">
        <f>0</f>
        <v>0</v>
      </c>
      <c r="Z1020" s="11"/>
    </row>
    <row r="1021" spans="11:26" x14ac:dyDescent="0.45">
      <c r="K1021" s="39">
        <f t="shared" si="202"/>
        <v>0.05</v>
      </c>
      <c r="L1021" s="40">
        <f t="shared" si="195"/>
        <v>40.049999999999997</v>
      </c>
      <c r="M1021" s="41">
        <f t="shared" si="196"/>
        <v>35.049999999999997</v>
      </c>
      <c r="N1021" s="49">
        <f t="shared" si="197"/>
        <v>1.2618020651031601E-2</v>
      </c>
      <c r="O1021" s="50">
        <f t="shared" si="198"/>
        <v>8.2008476540661179E-3</v>
      </c>
      <c r="P1021" s="50">
        <f t="shared" si="203"/>
        <v>1.2618020651031601E-2</v>
      </c>
      <c r="Q1021" s="51">
        <f t="shared" si="204"/>
        <v>8.2008476540661179E-3</v>
      </c>
      <c r="R1021" s="4">
        <f t="shared" si="199"/>
        <v>-5.5512330085283543E-3</v>
      </c>
      <c r="S1021">
        <f t="shared" si="200"/>
        <v>0</v>
      </c>
      <c r="T1021">
        <f t="shared" si="201"/>
        <v>0</v>
      </c>
      <c r="U1021" s="5">
        <f>0</f>
        <v>0</v>
      </c>
      <c r="V1021" s="45">
        <f t="shared" si="205"/>
        <v>0.21558711205033984</v>
      </c>
      <c r="W1021" s="45">
        <f t="shared" si="206"/>
        <v>0</v>
      </c>
      <c r="X1021" s="45">
        <f t="shared" si="207"/>
        <v>0</v>
      </c>
      <c r="Y1021" s="46">
        <f>0</f>
        <v>0</v>
      </c>
      <c r="Z1021" s="11"/>
    </row>
    <row r="1022" spans="11:26" x14ac:dyDescent="0.45">
      <c r="K1022" s="39">
        <f t="shared" si="202"/>
        <v>0.04</v>
      </c>
      <c r="L1022" s="40">
        <f t="shared" si="195"/>
        <v>40.04</v>
      </c>
      <c r="M1022" s="41">
        <f t="shared" si="196"/>
        <v>35.04</v>
      </c>
      <c r="N1022" s="49">
        <f t="shared" si="197"/>
        <v>1.2607151415624343E-2</v>
      </c>
      <c r="O1022" s="50">
        <f t="shared" si="198"/>
        <v>8.1937833968298741E-3</v>
      </c>
      <c r="P1022" s="50">
        <f t="shared" si="203"/>
        <v>1.2607151415624343E-2</v>
      </c>
      <c r="Q1022" s="51">
        <f t="shared" si="204"/>
        <v>8.1937833968298741E-3</v>
      </c>
      <c r="R1022" s="4">
        <f t="shared" si="199"/>
        <v>-5.5332354209091869E-3</v>
      </c>
      <c r="S1022">
        <f t="shared" si="200"/>
        <v>0</v>
      </c>
      <c r="T1022">
        <f t="shared" si="201"/>
        <v>0</v>
      </c>
      <c r="U1022" s="5">
        <f>0</f>
        <v>0</v>
      </c>
      <c r="V1022" s="45">
        <f t="shared" si="205"/>
        <v>0.21564262438042511</v>
      </c>
      <c r="W1022" s="45">
        <f t="shared" si="206"/>
        <v>0</v>
      </c>
      <c r="X1022" s="45">
        <f t="shared" si="207"/>
        <v>0</v>
      </c>
      <c r="Y1022" s="46">
        <f>0</f>
        <v>0</v>
      </c>
      <c r="Z1022" s="11"/>
    </row>
    <row r="1023" spans="11:26" x14ac:dyDescent="0.45">
      <c r="K1023" s="39">
        <f t="shared" si="202"/>
        <v>0.03</v>
      </c>
      <c r="L1023" s="40">
        <f t="shared" si="195"/>
        <v>40.03</v>
      </c>
      <c r="M1023" s="41">
        <f t="shared" si="196"/>
        <v>35.03</v>
      </c>
      <c r="N1023" s="49">
        <f t="shared" si="197"/>
        <v>1.2596291543038842E-2</v>
      </c>
      <c r="O1023" s="50">
        <f t="shared" si="198"/>
        <v>8.1867252247853541E-3</v>
      </c>
      <c r="P1023" s="50">
        <f t="shared" si="203"/>
        <v>1.2596291543038842E-2</v>
      </c>
      <c r="Q1023" s="51">
        <f t="shared" si="204"/>
        <v>8.1867252247853541E-3</v>
      </c>
      <c r="R1023" s="4">
        <f t="shared" si="199"/>
        <v>-5.5152646794911653E-3</v>
      </c>
      <c r="S1023">
        <f t="shared" si="200"/>
        <v>0</v>
      </c>
      <c r="T1023">
        <f t="shared" si="201"/>
        <v>0</v>
      </c>
      <c r="U1023" s="5">
        <f>0</f>
        <v>0</v>
      </c>
      <c r="V1023" s="45">
        <f t="shared" si="205"/>
        <v>0.21569795673463421</v>
      </c>
      <c r="W1023" s="45">
        <f t="shared" si="206"/>
        <v>0</v>
      </c>
      <c r="X1023" s="45">
        <f t="shared" si="207"/>
        <v>0</v>
      </c>
      <c r="Y1023" s="46">
        <f>0</f>
        <v>0</v>
      </c>
      <c r="Z1023" s="11"/>
    </row>
    <row r="1024" spans="11:26" x14ac:dyDescent="0.45">
      <c r="K1024" s="39">
        <f t="shared" si="202"/>
        <v>0.02</v>
      </c>
      <c r="L1024" s="40">
        <f t="shared" si="195"/>
        <v>40.020000000000003</v>
      </c>
      <c r="M1024" s="41">
        <f t="shared" si="196"/>
        <v>35.020000000000003</v>
      </c>
      <c r="N1024" s="49">
        <f t="shared" si="197"/>
        <v>1.2585441025209913E-2</v>
      </c>
      <c r="O1024" s="50">
        <f t="shared" si="198"/>
        <v>8.1796731326907457E-3</v>
      </c>
      <c r="P1024" s="50">
        <f t="shared" si="203"/>
        <v>1.2585441025209913E-2</v>
      </c>
      <c r="Q1024" s="51">
        <f t="shared" si="204"/>
        <v>8.1796731326907457E-3</v>
      </c>
      <c r="R1024" s="4">
        <f t="shared" si="199"/>
        <v>-5.4973207426017995E-3</v>
      </c>
      <c r="S1024">
        <f t="shared" si="200"/>
        <v>0</v>
      </c>
      <c r="T1024">
        <f t="shared" si="201"/>
        <v>0</v>
      </c>
      <c r="U1024" s="5">
        <f>0</f>
        <v>0</v>
      </c>
      <c r="V1024" s="45">
        <f t="shared" si="205"/>
        <v>0.21575310938142911</v>
      </c>
      <c r="W1024" s="45">
        <f t="shared" si="206"/>
        <v>0</v>
      </c>
      <c r="X1024" s="45">
        <f t="shared" si="207"/>
        <v>0</v>
      </c>
      <c r="Y1024" s="46">
        <f>0</f>
        <v>0</v>
      </c>
      <c r="Z1024" s="11"/>
    </row>
    <row r="1025" spans="11:26" x14ac:dyDescent="0.45">
      <c r="K1025" s="39">
        <f t="shared" si="202"/>
        <v>0.01</v>
      </c>
      <c r="L1025" s="40">
        <f t="shared" si="195"/>
        <v>40.01</v>
      </c>
      <c r="M1025" s="41">
        <f t="shared" si="196"/>
        <v>35.01</v>
      </c>
      <c r="N1025" s="49">
        <f t="shared" si="197"/>
        <v>1.2574599854079311E-2</v>
      </c>
      <c r="O1025" s="50">
        <f t="shared" si="198"/>
        <v>8.1726271153087348E-3</v>
      </c>
      <c r="P1025" s="50">
        <f t="shared" si="203"/>
        <v>1.2574599854079311E-2</v>
      </c>
      <c r="Q1025" s="51">
        <f t="shared" si="204"/>
        <v>8.1726271153087348E-3</v>
      </c>
      <c r="R1025" s="4">
        <f t="shared" si="199"/>
        <v>-5.4794035686458725E-3</v>
      </c>
      <c r="S1025">
        <f t="shared" si="200"/>
        <v>0</v>
      </c>
      <c r="T1025">
        <f t="shared" si="201"/>
        <v>0</v>
      </c>
      <c r="U1025" s="5">
        <f>0</f>
        <v>0</v>
      </c>
      <c r="V1025" s="45">
        <f t="shared" si="205"/>
        <v>0.21580808258885512</v>
      </c>
      <c r="W1025" s="45">
        <f t="shared" si="206"/>
        <v>0</v>
      </c>
      <c r="X1025" s="45">
        <f t="shared" si="207"/>
        <v>0</v>
      </c>
      <c r="Y1025" s="46">
        <f>0</f>
        <v>0</v>
      </c>
      <c r="Z1025" s="11"/>
    </row>
    <row r="1026" spans="11:26" ht="14.65" thickBot="1" x14ac:dyDescent="0.5">
      <c r="K1026" s="42">
        <f t="shared" si="202"/>
        <v>0</v>
      </c>
      <c r="L1026" s="43">
        <f t="shared" si="195"/>
        <v>40</v>
      </c>
      <c r="M1026" s="44">
        <f t="shared" si="196"/>
        <v>35</v>
      </c>
      <c r="N1026" s="52">
        <f t="shared" si="197"/>
        <v>1.2563768021595732E-2</v>
      </c>
      <c r="O1026" s="53">
        <f t="shared" si="198"/>
        <v>8.165587167406535E-3</v>
      </c>
      <c r="P1026" s="53">
        <f t="shared" si="203"/>
        <v>1.2563768021595732E-2</v>
      </c>
      <c r="Q1026" s="54">
        <f t="shared" si="204"/>
        <v>8.165587167406535E-3</v>
      </c>
      <c r="R1026" s="6">
        <f t="shared" si="199"/>
        <v>-5.4615131161052898E-3</v>
      </c>
      <c r="S1026" s="8">
        <f t="shared" si="200"/>
        <v>0</v>
      </c>
      <c r="T1026" s="8">
        <f t="shared" si="201"/>
        <v>0</v>
      </c>
      <c r="U1026" s="9">
        <f>0</f>
        <v>0</v>
      </c>
      <c r="V1026" s="47">
        <f t="shared" si="205"/>
        <v>0.21586287662454157</v>
      </c>
      <c r="W1026" s="47">
        <f t="shared" si="206"/>
        <v>0</v>
      </c>
      <c r="X1026" s="47">
        <f t="shared" si="207"/>
        <v>0</v>
      </c>
      <c r="Y1026" s="48">
        <f>0</f>
        <v>0</v>
      </c>
      <c r="Z1026" s="11"/>
    </row>
  </sheetData>
  <dataValidations count="1">
    <dataValidation type="list" allowBlank="1" showInputMessage="1" showErrorMessage="1" sqref="N20" xr:uid="{8F7B36C2-429E-403A-821E-442FE87FF80F}">
      <formula1>$K$13:$K$18</formula1>
    </dataValidation>
  </dataValidation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FCA2-FBBF-4B2C-BC6C-E58B18556A70}">
  <dimension ref="A1:C9"/>
  <sheetViews>
    <sheetView workbookViewId="0">
      <selection activeCell="F6" sqref="F6"/>
    </sheetView>
  </sheetViews>
  <sheetFormatPr defaultRowHeight="14.25" x14ac:dyDescent="0.45"/>
  <sheetData>
    <row r="1" spans="1:3" x14ac:dyDescent="0.45">
      <c r="A1" s="1" t="s">
        <v>6</v>
      </c>
      <c r="B1" s="2"/>
      <c r="C1" s="3"/>
    </row>
    <row r="2" spans="1:3" x14ac:dyDescent="0.45">
      <c r="A2" s="4"/>
      <c r="C2" s="5"/>
    </row>
    <row r="3" spans="1:3" x14ac:dyDescent="0.45">
      <c r="A3" s="16" t="s">
        <v>4</v>
      </c>
      <c r="C3" s="5"/>
    </row>
    <row r="4" spans="1:3" x14ac:dyDescent="0.45">
      <c r="A4" s="17" t="s">
        <v>7</v>
      </c>
      <c r="C4" s="5"/>
    </row>
    <row r="5" spans="1:3" x14ac:dyDescent="0.45">
      <c r="A5" s="18" t="s">
        <v>8</v>
      </c>
      <c r="C5" s="5"/>
    </row>
    <row r="6" spans="1:3" x14ac:dyDescent="0.45">
      <c r="A6" s="19" t="s">
        <v>9</v>
      </c>
      <c r="C6" s="5"/>
    </row>
    <row r="7" spans="1:3" x14ac:dyDescent="0.45">
      <c r="A7" s="20" t="s">
        <v>10</v>
      </c>
      <c r="C7" s="5"/>
    </row>
    <row r="8" spans="1:3" x14ac:dyDescent="0.45">
      <c r="A8" s="4"/>
      <c r="C8" s="5"/>
    </row>
    <row r="9" spans="1:3" ht="14.65" thickBot="1" x14ac:dyDescent="0.5">
      <c r="A9" s="6"/>
      <c r="B9" s="8"/>
      <c r="C9" s="9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3bcb35-9aa9-4dbf-a1c9-a4059b9936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7327CF3CEC9145AC6F5B07EBB94F60" ma:contentTypeVersion="18" ma:contentTypeDescription="Create a new document." ma:contentTypeScope="" ma:versionID="a9dcb6b4534a9103a83e0bfde106f38f">
  <xsd:schema xmlns:xsd="http://www.w3.org/2001/XMLSchema" xmlns:xs="http://www.w3.org/2001/XMLSchema" xmlns:p="http://schemas.microsoft.com/office/2006/metadata/properties" xmlns:ns3="ac3bcb35-9aa9-4dbf-a1c9-a4059b99366b" xmlns:ns4="3c0e9b9a-dc5c-494c-bbac-09f077bb5a57" targetNamespace="http://schemas.microsoft.com/office/2006/metadata/properties" ma:root="true" ma:fieldsID="47a5799ec9c8dff36114ba72e22d6d9b" ns3:_="" ns4:_="">
    <xsd:import namespace="ac3bcb35-9aa9-4dbf-a1c9-a4059b99366b"/>
    <xsd:import namespace="3c0e9b9a-dc5c-494c-bbac-09f077bb5a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bcb35-9aa9-4dbf-a1c9-a4059b9936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e9b9a-dc5c-494c-bbac-09f077bb5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434B66-165F-4807-8B57-9065D4E11A9B}">
  <ds:schemaRefs>
    <ds:schemaRef ds:uri="http://purl.org/dc/elements/1.1/"/>
    <ds:schemaRef ds:uri="http://schemas.microsoft.com/office/2006/metadata/properties"/>
    <ds:schemaRef ds:uri="http://purl.org/dc/dcmitype/"/>
    <ds:schemaRef ds:uri="3c0e9b9a-dc5c-494c-bbac-09f077bb5a57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ac3bcb35-9aa9-4dbf-a1c9-a4059b99366b"/>
  </ds:schemaRefs>
</ds:datastoreItem>
</file>

<file path=customXml/itemProps2.xml><?xml version="1.0" encoding="utf-8"?>
<ds:datastoreItem xmlns:ds="http://schemas.openxmlformats.org/officeDocument/2006/customXml" ds:itemID="{6B4C3742-99DE-445C-802F-B2C6B23FFF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17096E-B0C2-4547-95BF-452DC9EE5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3bcb35-9aa9-4dbf-a1c9-a4059b99366b"/>
    <ds:schemaRef ds:uri="3c0e9b9a-dc5c-494c-bbac-09f077bb5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t5q2 - single answer</vt:lpstr>
      <vt:lpstr>colour key</vt:lpstr>
      <vt:lpstr>Constant_b1</vt:lpstr>
      <vt:lpstr>Constant_b12</vt:lpstr>
      <vt:lpstr>Constant_b13</vt:lpstr>
      <vt:lpstr>Constant_b2</vt:lpstr>
      <vt:lpstr>Constant_b24</vt:lpstr>
      <vt:lpstr>Constant_b3</vt:lpstr>
      <vt:lpstr>Constant_b34</vt:lpstr>
      <vt:lpstr>contract_name</vt:lpstr>
      <vt:lpstr>contracts</vt:lpstr>
      <vt:lpstr>Delta</vt:lpstr>
      <vt:lpstr>InitialAge_x</vt:lpstr>
      <vt:lpstr>InitialAge_y</vt:lpstr>
      <vt:lpstr>muParameter_B</vt:lpstr>
      <vt:lpstr>muParameter_c</vt:lpstr>
      <vt:lpstr>StepSize</vt:lpstr>
      <vt:lpstr>VState4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sharpe</dc:creator>
  <cp:keywords/>
  <dc:description/>
  <cp:lastModifiedBy>Marcus Gwee Wen Hong</cp:lastModifiedBy>
  <cp:revision/>
  <dcterms:created xsi:type="dcterms:W3CDTF">2021-02-04T10:14:44Z</dcterms:created>
  <dcterms:modified xsi:type="dcterms:W3CDTF">2026-02-02T12:12:52Z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0x0101001D7327CF3CEC9145AC6F5B07EBB94F60</vt:lpwstr>
  </property>
</Properties>
</file>