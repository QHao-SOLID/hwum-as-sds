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bcf56a11f402f5/Desktop/02_Courses/01_Life Insurance B/02_Lab/"/>
    </mc:Choice>
  </mc:AlternateContent>
  <xr:revisionPtr revIDLastSave="31" documentId="13_ncr:1_{899EBFC1-3FEC-4AAA-85BF-27A958E549F9}" xr6:coauthVersionLast="47" xr6:coauthVersionMax="47" xr10:uidLastSave="{48AF4FAE-68DA-4F6D-9A52-620EE27C0407}"/>
  <bookViews>
    <workbookView xWindow="-98" yWindow="-98" windowWidth="21795" windowHeight="12975" xr2:uid="{83E996CB-7D3B-4C07-B9BA-718AAC1F5E25}"/>
  </bookViews>
  <sheets>
    <sheet name="Sheet1" sheetId="1" r:id="rId1"/>
  </sheets>
  <definedNames>
    <definedName name="DeathPayment">Sheet1!$D$16</definedName>
    <definedName name="Delta">Sheet1!$D$15</definedName>
    <definedName name="FemaleAgeStart">Sheet1!$B$15</definedName>
    <definedName name="MaleAgeStart">Sheet1!$B$16</definedName>
    <definedName name="muValues">Sheet1!$A$29:$C$10329</definedName>
    <definedName name="StepSize">Sheet1!$B$17</definedName>
    <definedName name="TerminalTime">Sheet1!$B$19</definedName>
    <definedName name="TerminalValue">Sheet1!$B$18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" i="1" l="1"/>
  <c r="L25" i="1" s="1"/>
  <c r="D15" i="1"/>
  <c r="G26" i="1"/>
  <c r="H26" i="1"/>
  <c r="G27" i="1"/>
  <c r="H27" i="1"/>
  <c r="G28" i="1"/>
  <c r="I28" i="1" s="1"/>
  <c r="H28" i="1"/>
  <c r="J28" i="1" s="1"/>
  <c r="G29" i="1"/>
  <c r="I29" i="1" s="1"/>
  <c r="H29" i="1"/>
  <c r="G30" i="1"/>
  <c r="H30" i="1"/>
  <c r="G31" i="1"/>
  <c r="I31" i="1" s="1"/>
  <c r="H31" i="1"/>
  <c r="G32" i="1"/>
  <c r="H32" i="1"/>
  <c r="J32" i="1" s="1"/>
  <c r="G33" i="1"/>
  <c r="I33" i="1" s="1"/>
  <c r="H33" i="1"/>
  <c r="G34" i="1"/>
  <c r="I34" i="1" s="1"/>
  <c r="H34" i="1"/>
  <c r="G35" i="1"/>
  <c r="H35" i="1"/>
  <c r="G36" i="1"/>
  <c r="H36" i="1"/>
  <c r="J36" i="1" s="1"/>
  <c r="G37" i="1"/>
  <c r="I37" i="1" s="1"/>
  <c r="H37" i="1"/>
  <c r="G38" i="1"/>
  <c r="H38" i="1"/>
  <c r="G39" i="1"/>
  <c r="H39" i="1"/>
  <c r="G40" i="1"/>
  <c r="I40" i="1" s="1"/>
  <c r="H40" i="1"/>
  <c r="J40" i="1" s="1"/>
  <c r="G41" i="1"/>
  <c r="I41" i="1" s="1"/>
  <c r="H41" i="1"/>
  <c r="G42" i="1"/>
  <c r="H42" i="1"/>
  <c r="G43" i="1"/>
  <c r="I43" i="1" s="1"/>
  <c r="H43" i="1"/>
  <c r="G44" i="1"/>
  <c r="H44" i="1"/>
  <c r="J44" i="1" s="1"/>
  <c r="G45" i="1"/>
  <c r="I45" i="1" s="1"/>
  <c r="H45" i="1"/>
  <c r="G46" i="1"/>
  <c r="I46" i="1" s="1"/>
  <c r="H46" i="1"/>
  <c r="G47" i="1"/>
  <c r="H47" i="1"/>
  <c r="G48" i="1"/>
  <c r="H48" i="1"/>
  <c r="J48" i="1" s="1"/>
  <c r="G49" i="1"/>
  <c r="I49" i="1" s="1"/>
  <c r="H49" i="1"/>
  <c r="G50" i="1"/>
  <c r="H50" i="1"/>
  <c r="G51" i="1"/>
  <c r="H51" i="1"/>
  <c r="G52" i="1"/>
  <c r="I52" i="1" s="1"/>
  <c r="H52" i="1"/>
  <c r="J52" i="1" s="1"/>
  <c r="G53" i="1"/>
  <c r="I53" i="1" s="1"/>
  <c r="H53" i="1"/>
  <c r="G54" i="1"/>
  <c r="H54" i="1"/>
  <c r="G55" i="1"/>
  <c r="I55" i="1" s="1"/>
  <c r="H55" i="1"/>
  <c r="G56" i="1"/>
  <c r="H56" i="1"/>
  <c r="J56" i="1" s="1"/>
  <c r="G57" i="1"/>
  <c r="I57" i="1" s="1"/>
  <c r="H57" i="1"/>
  <c r="G58" i="1"/>
  <c r="I58" i="1" s="1"/>
  <c r="H58" i="1"/>
  <c r="G59" i="1"/>
  <c r="H59" i="1"/>
  <c r="G60" i="1"/>
  <c r="H60" i="1"/>
  <c r="J60" i="1" s="1"/>
  <c r="G61" i="1"/>
  <c r="I61" i="1" s="1"/>
  <c r="H61" i="1"/>
  <c r="G62" i="1"/>
  <c r="H62" i="1"/>
  <c r="G63" i="1"/>
  <c r="H63" i="1"/>
  <c r="G64" i="1"/>
  <c r="I64" i="1" s="1"/>
  <c r="H64" i="1"/>
  <c r="J64" i="1" s="1"/>
  <c r="G65" i="1"/>
  <c r="I65" i="1" s="1"/>
  <c r="H65" i="1"/>
  <c r="G66" i="1"/>
  <c r="H66" i="1"/>
  <c r="G67" i="1"/>
  <c r="I67" i="1" s="1"/>
  <c r="H67" i="1"/>
  <c r="G68" i="1"/>
  <c r="H68" i="1"/>
  <c r="J68" i="1" s="1"/>
  <c r="G69" i="1"/>
  <c r="I69" i="1" s="1"/>
  <c r="H69" i="1"/>
  <c r="G70" i="1"/>
  <c r="I70" i="1" s="1"/>
  <c r="H70" i="1"/>
  <c r="G71" i="1"/>
  <c r="H71" i="1"/>
  <c r="G72" i="1"/>
  <c r="H72" i="1"/>
  <c r="J72" i="1" s="1"/>
  <c r="G73" i="1"/>
  <c r="I73" i="1" s="1"/>
  <c r="H73" i="1"/>
  <c r="G74" i="1"/>
  <c r="H74" i="1"/>
  <c r="G75" i="1"/>
  <c r="H75" i="1"/>
  <c r="G76" i="1"/>
  <c r="I76" i="1" s="1"/>
  <c r="H76" i="1"/>
  <c r="J76" i="1" s="1"/>
  <c r="G77" i="1"/>
  <c r="I77" i="1" s="1"/>
  <c r="H77" i="1"/>
  <c r="G78" i="1"/>
  <c r="H78" i="1"/>
  <c r="G79" i="1"/>
  <c r="I79" i="1" s="1"/>
  <c r="H79" i="1"/>
  <c r="G80" i="1"/>
  <c r="H80" i="1"/>
  <c r="J80" i="1" s="1"/>
  <c r="G81" i="1"/>
  <c r="I81" i="1" s="1"/>
  <c r="H81" i="1"/>
  <c r="G82" i="1"/>
  <c r="I82" i="1" s="1"/>
  <c r="H82" i="1"/>
  <c r="G83" i="1"/>
  <c r="H83" i="1"/>
  <c r="G84" i="1"/>
  <c r="H84" i="1"/>
  <c r="J84" i="1" s="1"/>
  <c r="G85" i="1"/>
  <c r="I85" i="1" s="1"/>
  <c r="H85" i="1"/>
  <c r="G86" i="1"/>
  <c r="H86" i="1"/>
  <c r="G87" i="1"/>
  <c r="H87" i="1"/>
  <c r="G88" i="1"/>
  <c r="I88" i="1" s="1"/>
  <c r="H88" i="1"/>
  <c r="J88" i="1" s="1"/>
  <c r="G89" i="1"/>
  <c r="I89" i="1" s="1"/>
  <c r="H89" i="1"/>
  <c r="G90" i="1"/>
  <c r="H90" i="1"/>
  <c r="G91" i="1"/>
  <c r="I91" i="1" s="1"/>
  <c r="H91" i="1"/>
  <c r="G92" i="1"/>
  <c r="H92" i="1"/>
  <c r="J92" i="1" s="1"/>
  <c r="G93" i="1"/>
  <c r="I93" i="1" s="1"/>
  <c r="H93" i="1"/>
  <c r="G94" i="1"/>
  <c r="I94" i="1" s="1"/>
  <c r="H94" i="1"/>
  <c r="G95" i="1"/>
  <c r="H95" i="1"/>
  <c r="G96" i="1"/>
  <c r="H96" i="1"/>
  <c r="J96" i="1" s="1"/>
  <c r="G97" i="1"/>
  <c r="I97" i="1" s="1"/>
  <c r="H97" i="1"/>
  <c r="G98" i="1"/>
  <c r="H98" i="1"/>
  <c r="G99" i="1"/>
  <c r="H99" i="1"/>
  <c r="G100" i="1"/>
  <c r="I100" i="1" s="1"/>
  <c r="H100" i="1"/>
  <c r="J100" i="1" s="1"/>
  <c r="G101" i="1"/>
  <c r="I101" i="1" s="1"/>
  <c r="H101" i="1"/>
  <c r="G102" i="1"/>
  <c r="H102" i="1"/>
  <c r="G103" i="1"/>
  <c r="I103" i="1" s="1"/>
  <c r="H103" i="1"/>
  <c r="J103" i="1" s="1"/>
  <c r="G104" i="1"/>
  <c r="H104" i="1"/>
  <c r="J104" i="1" s="1"/>
  <c r="G105" i="1"/>
  <c r="I105" i="1" s="1"/>
  <c r="H105" i="1"/>
  <c r="G106" i="1"/>
  <c r="I106" i="1" s="1"/>
  <c r="H106" i="1"/>
  <c r="J106" i="1" s="1"/>
  <c r="G107" i="1"/>
  <c r="H107" i="1"/>
  <c r="G108" i="1"/>
  <c r="H108" i="1"/>
  <c r="J108" i="1" s="1"/>
  <c r="G109" i="1"/>
  <c r="I109" i="1" s="1"/>
  <c r="H109" i="1"/>
  <c r="J109" i="1" s="1"/>
  <c r="G110" i="1"/>
  <c r="H110" i="1"/>
  <c r="G111" i="1"/>
  <c r="H111" i="1"/>
  <c r="G112" i="1"/>
  <c r="I112" i="1" s="1"/>
  <c r="H112" i="1"/>
  <c r="J112" i="1" s="1"/>
  <c r="G113" i="1"/>
  <c r="I113" i="1" s="1"/>
  <c r="H113" i="1"/>
  <c r="G114" i="1"/>
  <c r="H114" i="1"/>
  <c r="G115" i="1"/>
  <c r="I115" i="1" s="1"/>
  <c r="H115" i="1"/>
  <c r="J115" i="1" s="1"/>
  <c r="G116" i="1"/>
  <c r="H116" i="1"/>
  <c r="J116" i="1" s="1"/>
  <c r="G117" i="1"/>
  <c r="I117" i="1" s="1"/>
  <c r="H117" i="1"/>
  <c r="G118" i="1"/>
  <c r="I118" i="1" s="1"/>
  <c r="H118" i="1"/>
  <c r="J118" i="1" s="1"/>
  <c r="G119" i="1"/>
  <c r="H119" i="1"/>
  <c r="G120" i="1"/>
  <c r="H120" i="1"/>
  <c r="J120" i="1" s="1"/>
  <c r="G121" i="1"/>
  <c r="I121" i="1" s="1"/>
  <c r="H121" i="1"/>
  <c r="G122" i="1"/>
  <c r="H122" i="1"/>
  <c r="G123" i="1"/>
  <c r="I123" i="1" s="1"/>
  <c r="H123" i="1"/>
  <c r="G124" i="1"/>
  <c r="I124" i="1" s="1"/>
  <c r="H124" i="1"/>
  <c r="J124" i="1" s="1"/>
  <c r="G125" i="1"/>
  <c r="I125" i="1" s="1"/>
  <c r="H125" i="1"/>
  <c r="G126" i="1"/>
  <c r="H126" i="1"/>
  <c r="G127" i="1"/>
  <c r="I127" i="1" s="1"/>
  <c r="H127" i="1"/>
  <c r="J127" i="1" s="1"/>
  <c r="G128" i="1"/>
  <c r="H128" i="1"/>
  <c r="J128" i="1" s="1"/>
  <c r="G129" i="1"/>
  <c r="I129" i="1" s="1"/>
  <c r="H129" i="1"/>
  <c r="G130" i="1"/>
  <c r="I130" i="1" s="1"/>
  <c r="H130" i="1"/>
  <c r="G131" i="1"/>
  <c r="H131" i="1"/>
  <c r="G132" i="1"/>
  <c r="H132" i="1"/>
  <c r="J132" i="1" s="1"/>
  <c r="G133" i="1"/>
  <c r="I133" i="1" s="1"/>
  <c r="H133" i="1"/>
  <c r="J133" i="1" s="1"/>
  <c r="G134" i="1"/>
  <c r="H134" i="1"/>
  <c r="G135" i="1"/>
  <c r="H135" i="1"/>
  <c r="G136" i="1"/>
  <c r="I136" i="1" s="1"/>
  <c r="H136" i="1"/>
  <c r="J136" i="1" s="1"/>
  <c r="G137" i="1"/>
  <c r="I137" i="1" s="1"/>
  <c r="H137" i="1"/>
  <c r="G138" i="1"/>
  <c r="H138" i="1"/>
  <c r="G139" i="1"/>
  <c r="I139" i="1" s="1"/>
  <c r="H139" i="1"/>
  <c r="G140" i="1"/>
  <c r="H140" i="1"/>
  <c r="J140" i="1" s="1"/>
  <c r="G141" i="1"/>
  <c r="I141" i="1" s="1"/>
  <c r="H141" i="1"/>
  <c r="G142" i="1"/>
  <c r="I142" i="1" s="1"/>
  <c r="H142" i="1"/>
  <c r="J142" i="1" s="1"/>
  <c r="G143" i="1"/>
  <c r="H143" i="1"/>
  <c r="G144" i="1"/>
  <c r="H144" i="1"/>
  <c r="J144" i="1" s="1"/>
  <c r="G145" i="1"/>
  <c r="I145" i="1" s="1"/>
  <c r="H145" i="1"/>
  <c r="J145" i="1" s="1"/>
  <c r="G146" i="1"/>
  <c r="H146" i="1"/>
  <c r="G147" i="1"/>
  <c r="H147" i="1"/>
  <c r="G148" i="1"/>
  <c r="I148" i="1" s="1"/>
  <c r="H148" i="1"/>
  <c r="G149" i="1"/>
  <c r="I149" i="1" s="1"/>
  <c r="H149" i="1"/>
  <c r="G150" i="1"/>
  <c r="I150" i="1" s="1"/>
  <c r="H150" i="1"/>
  <c r="G151" i="1"/>
  <c r="I151" i="1" s="1"/>
  <c r="H151" i="1"/>
  <c r="J151" i="1" s="1"/>
  <c r="G152" i="1"/>
  <c r="H152" i="1"/>
  <c r="J152" i="1" s="1"/>
  <c r="G153" i="1"/>
  <c r="I153" i="1" s="1"/>
  <c r="H153" i="1"/>
  <c r="G154" i="1"/>
  <c r="I154" i="1" s="1"/>
  <c r="H154" i="1"/>
  <c r="J154" i="1" s="1"/>
  <c r="G155" i="1"/>
  <c r="H155" i="1"/>
  <c r="G156" i="1"/>
  <c r="I156" i="1" s="1"/>
  <c r="H156" i="1"/>
  <c r="J156" i="1" s="1"/>
  <c r="G157" i="1"/>
  <c r="I157" i="1" s="1"/>
  <c r="H157" i="1"/>
  <c r="J157" i="1" s="1"/>
  <c r="G158" i="1"/>
  <c r="H158" i="1"/>
  <c r="G159" i="1"/>
  <c r="H159" i="1"/>
  <c r="G160" i="1"/>
  <c r="I160" i="1" s="1"/>
  <c r="H160" i="1"/>
  <c r="J160" i="1" s="1"/>
  <c r="G161" i="1"/>
  <c r="I161" i="1" s="1"/>
  <c r="H161" i="1"/>
  <c r="G162" i="1"/>
  <c r="I162" i="1" s="1"/>
  <c r="H162" i="1"/>
  <c r="G163" i="1"/>
  <c r="I163" i="1" s="1"/>
  <c r="H163" i="1"/>
  <c r="J163" i="1" s="1"/>
  <c r="G164" i="1"/>
  <c r="H164" i="1"/>
  <c r="J164" i="1" s="1"/>
  <c r="G165" i="1"/>
  <c r="I165" i="1" s="1"/>
  <c r="H165" i="1"/>
  <c r="G166" i="1"/>
  <c r="I166" i="1" s="1"/>
  <c r="H166" i="1"/>
  <c r="J166" i="1" s="1"/>
  <c r="G167" i="1"/>
  <c r="H167" i="1"/>
  <c r="G168" i="1"/>
  <c r="I168" i="1" s="1"/>
  <c r="H168" i="1"/>
  <c r="G169" i="1"/>
  <c r="I169" i="1" s="1"/>
  <c r="H169" i="1"/>
  <c r="J169" i="1" s="1"/>
  <c r="G170" i="1"/>
  <c r="H170" i="1"/>
  <c r="G171" i="1"/>
  <c r="H171" i="1"/>
  <c r="G172" i="1"/>
  <c r="I172" i="1" s="1"/>
  <c r="H172" i="1"/>
  <c r="J172" i="1" s="1"/>
  <c r="G173" i="1"/>
  <c r="I173" i="1" s="1"/>
  <c r="H173" i="1"/>
  <c r="G174" i="1"/>
  <c r="H174" i="1"/>
  <c r="G175" i="1"/>
  <c r="I175" i="1" s="1"/>
  <c r="H175" i="1"/>
  <c r="J175" i="1" s="1"/>
  <c r="G176" i="1"/>
  <c r="H176" i="1"/>
  <c r="J176" i="1" s="1"/>
  <c r="G177" i="1"/>
  <c r="I177" i="1" s="1"/>
  <c r="H177" i="1"/>
  <c r="G178" i="1"/>
  <c r="I178" i="1" s="1"/>
  <c r="H178" i="1"/>
  <c r="J178" i="1" s="1"/>
  <c r="G179" i="1"/>
  <c r="H179" i="1"/>
  <c r="G180" i="1"/>
  <c r="H180" i="1"/>
  <c r="J180" i="1" s="1"/>
  <c r="G181" i="1"/>
  <c r="I181" i="1" s="1"/>
  <c r="H181" i="1"/>
  <c r="G182" i="1"/>
  <c r="H182" i="1"/>
  <c r="G183" i="1"/>
  <c r="H183" i="1"/>
  <c r="G184" i="1"/>
  <c r="I184" i="1" s="1"/>
  <c r="H184" i="1"/>
  <c r="J184" i="1" s="1"/>
  <c r="G185" i="1"/>
  <c r="I185" i="1" s="1"/>
  <c r="H185" i="1"/>
  <c r="G186" i="1"/>
  <c r="H186" i="1"/>
  <c r="G187" i="1"/>
  <c r="I187" i="1" s="1"/>
  <c r="H187" i="1"/>
  <c r="J187" i="1" s="1"/>
  <c r="G188" i="1"/>
  <c r="H188" i="1"/>
  <c r="J188" i="1" s="1"/>
  <c r="G189" i="1"/>
  <c r="I189" i="1" s="1"/>
  <c r="H189" i="1"/>
  <c r="G190" i="1"/>
  <c r="I190" i="1" s="1"/>
  <c r="H190" i="1"/>
  <c r="J190" i="1" s="1"/>
  <c r="G191" i="1"/>
  <c r="H191" i="1"/>
  <c r="G192" i="1"/>
  <c r="H192" i="1"/>
  <c r="J192" i="1" s="1"/>
  <c r="G193" i="1"/>
  <c r="I193" i="1" s="1"/>
  <c r="H193" i="1"/>
  <c r="J193" i="1" s="1"/>
  <c r="G194" i="1"/>
  <c r="H194" i="1"/>
  <c r="G195" i="1"/>
  <c r="H195" i="1"/>
  <c r="G196" i="1"/>
  <c r="I196" i="1" s="1"/>
  <c r="H196" i="1"/>
  <c r="J196" i="1" s="1"/>
  <c r="G197" i="1"/>
  <c r="I197" i="1" s="1"/>
  <c r="H197" i="1"/>
  <c r="G198" i="1"/>
  <c r="H198" i="1"/>
  <c r="G199" i="1"/>
  <c r="I199" i="1" s="1"/>
  <c r="H199" i="1"/>
  <c r="G200" i="1"/>
  <c r="H200" i="1"/>
  <c r="J200" i="1" s="1"/>
  <c r="G201" i="1"/>
  <c r="I201" i="1" s="1"/>
  <c r="H201" i="1"/>
  <c r="G202" i="1"/>
  <c r="I202" i="1" s="1"/>
  <c r="H202" i="1"/>
  <c r="J202" i="1" s="1"/>
  <c r="G203" i="1"/>
  <c r="H203" i="1"/>
  <c r="G204" i="1"/>
  <c r="H204" i="1"/>
  <c r="J204" i="1" s="1"/>
  <c r="G205" i="1"/>
  <c r="I205" i="1" s="1"/>
  <c r="H205" i="1"/>
  <c r="J205" i="1" s="1"/>
  <c r="G206" i="1"/>
  <c r="H206" i="1"/>
  <c r="G207" i="1"/>
  <c r="I207" i="1" s="1"/>
  <c r="H207" i="1"/>
  <c r="G208" i="1"/>
  <c r="I208" i="1" s="1"/>
  <c r="H208" i="1"/>
  <c r="J208" i="1" s="1"/>
  <c r="G209" i="1"/>
  <c r="I209" i="1" s="1"/>
  <c r="H209" i="1"/>
  <c r="G210" i="1"/>
  <c r="H210" i="1"/>
  <c r="G211" i="1"/>
  <c r="I211" i="1" s="1"/>
  <c r="H211" i="1"/>
  <c r="J211" i="1" s="1"/>
  <c r="G212" i="1"/>
  <c r="H212" i="1"/>
  <c r="J212" i="1" s="1"/>
  <c r="G213" i="1"/>
  <c r="I213" i="1" s="1"/>
  <c r="H213" i="1"/>
  <c r="G214" i="1"/>
  <c r="I214" i="1" s="1"/>
  <c r="H214" i="1"/>
  <c r="G215" i="1"/>
  <c r="H215" i="1"/>
  <c r="G216" i="1"/>
  <c r="I216" i="1" s="1"/>
  <c r="H216" i="1"/>
  <c r="J216" i="1" s="1"/>
  <c r="G217" i="1"/>
  <c r="I217" i="1" s="1"/>
  <c r="H217" i="1"/>
  <c r="J217" i="1" s="1"/>
  <c r="G218" i="1"/>
  <c r="H218" i="1"/>
  <c r="G219" i="1"/>
  <c r="I219" i="1" s="1"/>
  <c r="H219" i="1"/>
  <c r="G220" i="1"/>
  <c r="I220" i="1" s="1"/>
  <c r="H220" i="1"/>
  <c r="J220" i="1" s="1"/>
  <c r="G221" i="1"/>
  <c r="I221" i="1" s="1"/>
  <c r="H221" i="1"/>
  <c r="G222" i="1"/>
  <c r="H222" i="1"/>
  <c r="G223" i="1"/>
  <c r="I223" i="1" s="1"/>
  <c r="H223" i="1"/>
  <c r="J223" i="1" s="1"/>
  <c r="G224" i="1"/>
  <c r="H224" i="1"/>
  <c r="J224" i="1" s="1"/>
  <c r="G225" i="1"/>
  <c r="I225" i="1" s="1"/>
  <c r="H225" i="1"/>
  <c r="G226" i="1"/>
  <c r="I226" i="1" s="1"/>
  <c r="H226" i="1"/>
  <c r="J226" i="1" s="1"/>
  <c r="G227" i="1"/>
  <c r="H227" i="1"/>
  <c r="G228" i="1"/>
  <c r="H228" i="1"/>
  <c r="J228" i="1" s="1"/>
  <c r="G229" i="1"/>
  <c r="I229" i="1" s="1"/>
  <c r="H229" i="1"/>
  <c r="J229" i="1" s="1"/>
  <c r="G230" i="1"/>
  <c r="H230" i="1"/>
  <c r="G231" i="1"/>
  <c r="I231" i="1" s="1"/>
  <c r="H231" i="1"/>
  <c r="J231" i="1" s="1"/>
  <c r="G232" i="1"/>
  <c r="I232" i="1" s="1"/>
  <c r="H232" i="1"/>
  <c r="J232" i="1" s="1"/>
  <c r="G233" i="1"/>
  <c r="I233" i="1" s="1"/>
  <c r="H233" i="1"/>
  <c r="G234" i="1"/>
  <c r="H234" i="1"/>
  <c r="J234" i="1" s="1"/>
  <c r="G235" i="1"/>
  <c r="I235" i="1" s="1"/>
  <c r="H235" i="1"/>
  <c r="J235" i="1" s="1"/>
  <c r="G236" i="1"/>
  <c r="H236" i="1"/>
  <c r="J236" i="1" s="1"/>
  <c r="G237" i="1"/>
  <c r="I237" i="1" s="1"/>
  <c r="H237" i="1"/>
  <c r="J237" i="1" s="1"/>
  <c r="G238" i="1"/>
  <c r="I238" i="1" s="1"/>
  <c r="H238" i="1"/>
  <c r="J238" i="1" s="1"/>
  <c r="G239" i="1"/>
  <c r="H239" i="1"/>
  <c r="G240" i="1"/>
  <c r="I240" i="1" s="1"/>
  <c r="H240" i="1"/>
  <c r="J240" i="1" s="1"/>
  <c r="G241" i="1"/>
  <c r="I241" i="1" s="1"/>
  <c r="H241" i="1"/>
  <c r="G242" i="1"/>
  <c r="H242" i="1"/>
  <c r="G243" i="1"/>
  <c r="I243" i="1" s="1"/>
  <c r="H243" i="1"/>
  <c r="J243" i="1" s="1"/>
  <c r="G244" i="1"/>
  <c r="I244" i="1" s="1"/>
  <c r="H244" i="1"/>
  <c r="J244" i="1" s="1"/>
  <c r="G245" i="1"/>
  <c r="I245" i="1" s="1"/>
  <c r="H245" i="1"/>
  <c r="G246" i="1"/>
  <c r="I246" i="1" s="1"/>
  <c r="H246" i="1"/>
  <c r="J246" i="1" s="1"/>
  <c r="G247" i="1"/>
  <c r="I247" i="1" s="1"/>
  <c r="H247" i="1"/>
  <c r="J247" i="1" s="1"/>
  <c r="G248" i="1"/>
  <c r="H248" i="1"/>
  <c r="J248" i="1" s="1"/>
  <c r="G249" i="1"/>
  <c r="I249" i="1" s="1"/>
  <c r="H249" i="1"/>
  <c r="J249" i="1" s="1"/>
  <c r="G250" i="1"/>
  <c r="I250" i="1" s="1"/>
  <c r="H250" i="1"/>
  <c r="J250" i="1" s="1"/>
  <c r="G251" i="1"/>
  <c r="H251" i="1"/>
  <c r="G252" i="1"/>
  <c r="I252" i="1" s="1"/>
  <c r="H252" i="1"/>
  <c r="J252" i="1" s="1"/>
  <c r="G253" i="1"/>
  <c r="I253" i="1" s="1"/>
  <c r="H253" i="1"/>
  <c r="J253" i="1" s="1"/>
  <c r="G254" i="1"/>
  <c r="H254" i="1"/>
  <c r="G255" i="1"/>
  <c r="H255" i="1"/>
  <c r="J255" i="1" s="1"/>
  <c r="G256" i="1"/>
  <c r="I256" i="1" s="1"/>
  <c r="H256" i="1"/>
  <c r="J256" i="1" s="1"/>
  <c r="G257" i="1"/>
  <c r="I257" i="1" s="1"/>
  <c r="H257" i="1"/>
  <c r="G258" i="1"/>
  <c r="I258" i="1" s="1"/>
  <c r="H258" i="1"/>
  <c r="J258" i="1" s="1"/>
  <c r="G259" i="1"/>
  <c r="I259" i="1" s="1"/>
  <c r="H259" i="1"/>
  <c r="J259" i="1" s="1"/>
  <c r="G260" i="1"/>
  <c r="H260" i="1"/>
  <c r="J260" i="1" s="1"/>
  <c r="G261" i="1"/>
  <c r="I261" i="1" s="1"/>
  <c r="H261" i="1"/>
  <c r="J261" i="1" s="1"/>
  <c r="G262" i="1"/>
  <c r="I262" i="1" s="1"/>
  <c r="H262" i="1"/>
  <c r="J262" i="1" s="1"/>
  <c r="G263" i="1"/>
  <c r="H263" i="1"/>
  <c r="G264" i="1"/>
  <c r="H264" i="1"/>
  <c r="J264" i="1" s="1"/>
  <c r="G265" i="1"/>
  <c r="I265" i="1" s="1"/>
  <c r="H265" i="1"/>
  <c r="J265" i="1" s="1"/>
  <c r="G266" i="1"/>
  <c r="H266" i="1"/>
  <c r="G267" i="1"/>
  <c r="H267" i="1"/>
  <c r="J267" i="1" s="1"/>
  <c r="G268" i="1"/>
  <c r="I268" i="1" s="1"/>
  <c r="H268" i="1"/>
  <c r="J268" i="1" s="1"/>
  <c r="G269" i="1"/>
  <c r="I269" i="1" s="1"/>
  <c r="H269" i="1"/>
  <c r="G270" i="1"/>
  <c r="H270" i="1"/>
  <c r="J270" i="1" s="1"/>
  <c r="G271" i="1"/>
  <c r="I271" i="1" s="1"/>
  <c r="H271" i="1"/>
  <c r="J271" i="1" s="1"/>
  <c r="G272" i="1"/>
  <c r="H272" i="1"/>
  <c r="J272" i="1" s="1"/>
  <c r="G273" i="1"/>
  <c r="I273" i="1" s="1"/>
  <c r="H273" i="1"/>
  <c r="J273" i="1" s="1"/>
  <c r="G274" i="1"/>
  <c r="I274" i="1" s="1"/>
  <c r="H274" i="1"/>
  <c r="J274" i="1" s="1"/>
  <c r="G275" i="1"/>
  <c r="H275" i="1"/>
  <c r="G276" i="1"/>
  <c r="H276" i="1"/>
  <c r="J276" i="1" s="1"/>
  <c r="G277" i="1"/>
  <c r="I277" i="1" s="1"/>
  <c r="H277" i="1"/>
  <c r="J277" i="1" s="1"/>
  <c r="G278" i="1"/>
  <c r="H278" i="1"/>
  <c r="G279" i="1"/>
  <c r="I279" i="1" s="1"/>
  <c r="H279" i="1"/>
  <c r="J279" i="1" s="1"/>
  <c r="G280" i="1"/>
  <c r="I280" i="1" s="1"/>
  <c r="H280" i="1"/>
  <c r="J280" i="1" s="1"/>
  <c r="G281" i="1"/>
  <c r="I281" i="1" s="1"/>
  <c r="H281" i="1"/>
  <c r="G282" i="1"/>
  <c r="H282" i="1"/>
  <c r="J282" i="1" s="1"/>
  <c r="G283" i="1"/>
  <c r="I283" i="1" s="1"/>
  <c r="H283" i="1"/>
  <c r="J283" i="1" s="1"/>
  <c r="G284" i="1"/>
  <c r="H284" i="1"/>
  <c r="J284" i="1" s="1"/>
  <c r="G285" i="1"/>
  <c r="I285" i="1" s="1"/>
  <c r="H285" i="1"/>
  <c r="J285" i="1" s="1"/>
  <c r="G286" i="1"/>
  <c r="I286" i="1" s="1"/>
  <c r="H286" i="1"/>
  <c r="J286" i="1" s="1"/>
  <c r="G287" i="1"/>
  <c r="H287" i="1"/>
  <c r="G288" i="1"/>
  <c r="I288" i="1" s="1"/>
  <c r="H288" i="1"/>
  <c r="J288" i="1" s="1"/>
  <c r="G289" i="1"/>
  <c r="I289" i="1" s="1"/>
  <c r="H289" i="1"/>
  <c r="J289" i="1" s="1"/>
  <c r="G290" i="1"/>
  <c r="H290" i="1"/>
  <c r="G291" i="1"/>
  <c r="H291" i="1"/>
  <c r="J291" i="1" s="1"/>
  <c r="G292" i="1"/>
  <c r="I292" i="1" s="1"/>
  <c r="H292" i="1"/>
  <c r="J292" i="1" s="1"/>
  <c r="G293" i="1"/>
  <c r="I293" i="1" s="1"/>
  <c r="H293" i="1"/>
  <c r="G294" i="1"/>
  <c r="H294" i="1"/>
  <c r="J294" i="1" s="1"/>
  <c r="G295" i="1"/>
  <c r="I295" i="1" s="1"/>
  <c r="H295" i="1"/>
  <c r="J295" i="1" s="1"/>
  <c r="G296" i="1"/>
  <c r="H296" i="1"/>
  <c r="J296" i="1" s="1"/>
  <c r="G297" i="1"/>
  <c r="I297" i="1" s="1"/>
  <c r="H297" i="1"/>
  <c r="J297" i="1" s="1"/>
  <c r="G298" i="1"/>
  <c r="I298" i="1" s="1"/>
  <c r="H298" i="1"/>
  <c r="J298" i="1" s="1"/>
  <c r="G299" i="1"/>
  <c r="H299" i="1"/>
  <c r="G300" i="1"/>
  <c r="H300" i="1"/>
  <c r="J300" i="1" s="1"/>
  <c r="G301" i="1"/>
  <c r="I301" i="1" s="1"/>
  <c r="H301" i="1"/>
  <c r="J301" i="1" s="1"/>
  <c r="G302" i="1"/>
  <c r="H302" i="1"/>
  <c r="G303" i="1"/>
  <c r="I303" i="1" s="1"/>
  <c r="H303" i="1"/>
  <c r="J303" i="1" s="1"/>
  <c r="G304" i="1"/>
  <c r="I304" i="1" s="1"/>
  <c r="H304" i="1"/>
  <c r="J304" i="1" s="1"/>
  <c r="G305" i="1"/>
  <c r="I305" i="1" s="1"/>
  <c r="H305" i="1"/>
  <c r="G306" i="1"/>
  <c r="H306" i="1"/>
  <c r="J306" i="1" s="1"/>
  <c r="G307" i="1"/>
  <c r="I307" i="1" s="1"/>
  <c r="H307" i="1"/>
  <c r="J307" i="1" s="1"/>
  <c r="G308" i="1"/>
  <c r="H308" i="1"/>
  <c r="J308" i="1" s="1"/>
  <c r="G309" i="1"/>
  <c r="I309" i="1" s="1"/>
  <c r="H309" i="1"/>
  <c r="J309" i="1" s="1"/>
  <c r="G310" i="1"/>
  <c r="I310" i="1" s="1"/>
  <c r="H310" i="1"/>
  <c r="J310" i="1" s="1"/>
  <c r="G311" i="1"/>
  <c r="H311" i="1"/>
  <c r="G312" i="1"/>
  <c r="I312" i="1" s="1"/>
  <c r="H312" i="1"/>
  <c r="J312" i="1" s="1"/>
  <c r="G313" i="1"/>
  <c r="I313" i="1" s="1"/>
  <c r="H313" i="1"/>
  <c r="J313" i="1" s="1"/>
  <c r="G314" i="1"/>
  <c r="H314" i="1"/>
  <c r="G315" i="1"/>
  <c r="H315" i="1"/>
  <c r="J315" i="1" s="1"/>
  <c r="G316" i="1"/>
  <c r="I316" i="1" s="1"/>
  <c r="H316" i="1"/>
  <c r="J316" i="1" s="1"/>
  <c r="G317" i="1"/>
  <c r="I317" i="1" s="1"/>
  <c r="H317" i="1"/>
  <c r="G318" i="1"/>
  <c r="I318" i="1" s="1"/>
  <c r="H318" i="1"/>
  <c r="J318" i="1" s="1"/>
  <c r="G319" i="1"/>
  <c r="I319" i="1" s="1"/>
  <c r="H319" i="1"/>
  <c r="J319" i="1" s="1"/>
  <c r="G320" i="1"/>
  <c r="H320" i="1"/>
  <c r="J320" i="1" s="1"/>
  <c r="G321" i="1"/>
  <c r="I321" i="1" s="1"/>
  <c r="H321" i="1"/>
  <c r="J321" i="1" s="1"/>
  <c r="G322" i="1"/>
  <c r="I322" i="1" s="1"/>
  <c r="H322" i="1"/>
  <c r="J322" i="1" s="1"/>
  <c r="G323" i="1"/>
  <c r="H323" i="1"/>
  <c r="G324" i="1"/>
  <c r="H324" i="1"/>
  <c r="J324" i="1" s="1"/>
  <c r="G325" i="1"/>
  <c r="I325" i="1" s="1"/>
  <c r="H325" i="1"/>
  <c r="J325" i="1" s="1"/>
  <c r="G326" i="1"/>
  <c r="H326" i="1"/>
  <c r="G327" i="1"/>
  <c r="I327" i="1" s="1"/>
  <c r="H327" i="1"/>
  <c r="J327" i="1" s="1"/>
  <c r="G328" i="1"/>
  <c r="I328" i="1" s="1"/>
  <c r="H328" i="1"/>
  <c r="J328" i="1" s="1"/>
  <c r="G329" i="1"/>
  <c r="I329" i="1" s="1"/>
  <c r="H329" i="1"/>
  <c r="G330" i="1"/>
  <c r="H330" i="1"/>
  <c r="J330" i="1" s="1"/>
  <c r="G331" i="1"/>
  <c r="I331" i="1" s="1"/>
  <c r="H331" i="1"/>
  <c r="J331" i="1" s="1"/>
  <c r="G332" i="1"/>
  <c r="H332" i="1"/>
  <c r="J332" i="1" s="1"/>
  <c r="G333" i="1"/>
  <c r="I333" i="1" s="1"/>
  <c r="H333" i="1"/>
  <c r="J333" i="1" s="1"/>
  <c r="G334" i="1"/>
  <c r="I334" i="1" s="1"/>
  <c r="H334" i="1"/>
  <c r="J334" i="1" s="1"/>
  <c r="G335" i="1"/>
  <c r="H335" i="1"/>
  <c r="G336" i="1"/>
  <c r="H336" i="1"/>
  <c r="J336" i="1" s="1"/>
  <c r="G337" i="1"/>
  <c r="I337" i="1" s="1"/>
  <c r="H337" i="1"/>
  <c r="J337" i="1" s="1"/>
  <c r="G338" i="1"/>
  <c r="H338" i="1"/>
  <c r="G339" i="1"/>
  <c r="I339" i="1" s="1"/>
  <c r="H339" i="1"/>
  <c r="J339" i="1" s="1"/>
  <c r="G340" i="1"/>
  <c r="I340" i="1" s="1"/>
  <c r="H340" i="1"/>
  <c r="J340" i="1" s="1"/>
  <c r="G341" i="1"/>
  <c r="I341" i="1" s="1"/>
  <c r="H341" i="1"/>
  <c r="G342" i="1"/>
  <c r="I342" i="1" s="1"/>
  <c r="H342" i="1"/>
  <c r="J342" i="1" s="1"/>
  <c r="G343" i="1"/>
  <c r="I343" i="1" s="1"/>
  <c r="H343" i="1"/>
  <c r="J343" i="1" s="1"/>
  <c r="G344" i="1"/>
  <c r="H344" i="1"/>
  <c r="J344" i="1" s="1"/>
  <c r="G345" i="1"/>
  <c r="I345" i="1" s="1"/>
  <c r="H345" i="1"/>
  <c r="J345" i="1" s="1"/>
  <c r="G346" i="1"/>
  <c r="I346" i="1" s="1"/>
  <c r="H346" i="1"/>
  <c r="J346" i="1" s="1"/>
  <c r="G347" i="1"/>
  <c r="H347" i="1"/>
  <c r="G348" i="1"/>
  <c r="I348" i="1" s="1"/>
  <c r="H348" i="1"/>
  <c r="J348" i="1" s="1"/>
  <c r="G349" i="1"/>
  <c r="I349" i="1" s="1"/>
  <c r="H349" i="1"/>
  <c r="G350" i="1"/>
  <c r="H350" i="1"/>
  <c r="G351" i="1"/>
  <c r="H351" i="1"/>
  <c r="J351" i="1" s="1"/>
  <c r="G352" i="1"/>
  <c r="I352" i="1" s="1"/>
  <c r="H352" i="1"/>
  <c r="J352" i="1" s="1"/>
  <c r="G353" i="1"/>
  <c r="I353" i="1" s="1"/>
  <c r="H353" i="1"/>
  <c r="G354" i="1"/>
  <c r="I354" i="1" s="1"/>
  <c r="H354" i="1"/>
  <c r="J354" i="1" s="1"/>
  <c r="G355" i="1"/>
  <c r="I355" i="1" s="1"/>
  <c r="H355" i="1"/>
  <c r="J355" i="1" s="1"/>
  <c r="G356" i="1"/>
  <c r="H356" i="1"/>
  <c r="J356" i="1" s="1"/>
  <c r="G357" i="1"/>
  <c r="I357" i="1" s="1"/>
  <c r="H357" i="1"/>
  <c r="J357" i="1" s="1"/>
  <c r="G358" i="1"/>
  <c r="I358" i="1" s="1"/>
  <c r="H358" i="1"/>
  <c r="J358" i="1" s="1"/>
  <c r="G359" i="1"/>
  <c r="H359" i="1"/>
  <c r="G360" i="1"/>
  <c r="I360" i="1" s="1"/>
  <c r="H360" i="1"/>
  <c r="J360" i="1" s="1"/>
  <c r="G361" i="1"/>
  <c r="I361" i="1" s="1"/>
  <c r="H361" i="1"/>
  <c r="J361" i="1" s="1"/>
  <c r="G362" i="1"/>
  <c r="H362" i="1"/>
  <c r="G363" i="1"/>
  <c r="I363" i="1" s="1"/>
  <c r="H363" i="1"/>
  <c r="J363" i="1" s="1"/>
  <c r="G364" i="1"/>
  <c r="I364" i="1" s="1"/>
  <c r="H364" i="1"/>
  <c r="J364" i="1" s="1"/>
  <c r="G365" i="1"/>
  <c r="I365" i="1" s="1"/>
  <c r="H365" i="1"/>
  <c r="G366" i="1"/>
  <c r="H366" i="1"/>
  <c r="J366" i="1" s="1"/>
  <c r="G367" i="1"/>
  <c r="I367" i="1" s="1"/>
  <c r="H367" i="1"/>
  <c r="J367" i="1" s="1"/>
  <c r="G368" i="1"/>
  <c r="H368" i="1"/>
  <c r="J368" i="1" s="1"/>
  <c r="G369" i="1"/>
  <c r="I369" i="1" s="1"/>
  <c r="H369" i="1"/>
  <c r="J369" i="1" s="1"/>
  <c r="G370" i="1"/>
  <c r="I370" i="1" s="1"/>
  <c r="H370" i="1"/>
  <c r="J370" i="1" s="1"/>
  <c r="G371" i="1"/>
  <c r="H371" i="1"/>
  <c r="G372" i="1"/>
  <c r="H372" i="1"/>
  <c r="J372" i="1" s="1"/>
  <c r="G373" i="1"/>
  <c r="I373" i="1" s="1"/>
  <c r="H373" i="1"/>
  <c r="J373" i="1" s="1"/>
  <c r="G374" i="1"/>
  <c r="H374" i="1"/>
  <c r="G375" i="1"/>
  <c r="I375" i="1" s="1"/>
  <c r="H375" i="1"/>
  <c r="J375" i="1" s="1"/>
  <c r="G376" i="1"/>
  <c r="I376" i="1" s="1"/>
  <c r="H376" i="1"/>
  <c r="J376" i="1" s="1"/>
  <c r="G377" i="1"/>
  <c r="I377" i="1" s="1"/>
  <c r="H377" i="1"/>
  <c r="G378" i="1"/>
  <c r="I378" i="1" s="1"/>
  <c r="H378" i="1"/>
  <c r="J378" i="1" s="1"/>
  <c r="G379" i="1"/>
  <c r="I379" i="1" s="1"/>
  <c r="H379" i="1"/>
  <c r="J379" i="1" s="1"/>
  <c r="G380" i="1"/>
  <c r="H380" i="1"/>
  <c r="J380" i="1" s="1"/>
  <c r="G381" i="1"/>
  <c r="I381" i="1" s="1"/>
  <c r="H381" i="1"/>
  <c r="J381" i="1" s="1"/>
  <c r="G382" i="1"/>
  <c r="I382" i="1" s="1"/>
  <c r="H382" i="1"/>
  <c r="J382" i="1" s="1"/>
  <c r="G383" i="1"/>
  <c r="H383" i="1"/>
  <c r="G384" i="1"/>
  <c r="I384" i="1" s="1"/>
  <c r="H384" i="1"/>
  <c r="J384" i="1" s="1"/>
  <c r="G385" i="1"/>
  <c r="I385" i="1" s="1"/>
  <c r="H385" i="1"/>
  <c r="J385" i="1" s="1"/>
  <c r="G386" i="1"/>
  <c r="H386" i="1"/>
  <c r="G387" i="1"/>
  <c r="I387" i="1" s="1"/>
  <c r="H387" i="1"/>
  <c r="J387" i="1" s="1"/>
  <c r="G388" i="1"/>
  <c r="I388" i="1" s="1"/>
  <c r="H388" i="1"/>
  <c r="J388" i="1" s="1"/>
  <c r="G389" i="1"/>
  <c r="I389" i="1" s="1"/>
  <c r="H389" i="1"/>
  <c r="G390" i="1"/>
  <c r="I390" i="1" s="1"/>
  <c r="H390" i="1"/>
  <c r="J390" i="1" s="1"/>
  <c r="G391" i="1"/>
  <c r="I391" i="1" s="1"/>
  <c r="H391" i="1"/>
  <c r="J391" i="1" s="1"/>
  <c r="G392" i="1"/>
  <c r="H392" i="1"/>
  <c r="J392" i="1" s="1"/>
  <c r="G393" i="1"/>
  <c r="I393" i="1" s="1"/>
  <c r="H393" i="1"/>
  <c r="J393" i="1" s="1"/>
  <c r="G394" i="1"/>
  <c r="I394" i="1" s="1"/>
  <c r="H394" i="1"/>
  <c r="J394" i="1" s="1"/>
  <c r="G395" i="1"/>
  <c r="H395" i="1"/>
  <c r="G396" i="1"/>
  <c r="H396" i="1"/>
  <c r="J396" i="1" s="1"/>
  <c r="G397" i="1"/>
  <c r="I397" i="1" s="1"/>
  <c r="H397" i="1"/>
  <c r="J397" i="1" s="1"/>
  <c r="G398" i="1"/>
  <c r="H398" i="1"/>
  <c r="G399" i="1"/>
  <c r="I399" i="1" s="1"/>
  <c r="H399" i="1"/>
  <c r="J399" i="1" s="1"/>
  <c r="G400" i="1"/>
  <c r="I400" i="1" s="1"/>
  <c r="H400" i="1"/>
  <c r="J400" i="1" s="1"/>
  <c r="G401" i="1"/>
  <c r="I401" i="1" s="1"/>
  <c r="H401" i="1"/>
  <c r="G402" i="1"/>
  <c r="H402" i="1"/>
  <c r="J402" i="1" s="1"/>
  <c r="G403" i="1"/>
  <c r="I403" i="1" s="1"/>
  <c r="H403" i="1"/>
  <c r="J403" i="1" s="1"/>
  <c r="G404" i="1"/>
  <c r="H404" i="1"/>
  <c r="J404" i="1" s="1"/>
  <c r="G405" i="1"/>
  <c r="I405" i="1" s="1"/>
  <c r="H405" i="1"/>
  <c r="J405" i="1" s="1"/>
  <c r="G406" i="1"/>
  <c r="I406" i="1" s="1"/>
  <c r="H406" i="1"/>
  <c r="J406" i="1" s="1"/>
  <c r="G407" i="1"/>
  <c r="H407" i="1"/>
  <c r="G408" i="1"/>
  <c r="I408" i="1" s="1"/>
  <c r="H408" i="1"/>
  <c r="J408" i="1" s="1"/>
  <c r="G409" i="1"/>
  <c r="I409" i="1" s="1"/>
  <c r="H409" i="1"/>
  <c r="J409" i="1" s="1"/>
  <c r="G410" i="1"/>
  <c r="H410" i="1"/>
  <c r="G411" i="1"/>
  <c r="H411" i="1"/>
  <c r="J411" i="1" s="1"/>
  <c r="G412" i="1"/>
  <c r="I412" i="1" s="1"/>
  <c r="H412" i="1"/>
  <c r="J412" i="1" s="1"/>
  <c r="G413" i="1"/>
  <c r="I413" i="1" s="1"/>
  <c r="H413" i="1"/>
  <c r="G414" i="1"/>
  <c r="I414" i="1" s="1"/>
  <c r="H414" i="1"/>
  <c r="J414" i="1" s="1"/>
  <c r="G415" i="1"/>
  <c r="I415" i="1" s="1"/>
  <c r="H415" i="1"/>
  <c r="J415" i="1" s="1"/>
  <c r="G416" i="1"/>
  <c r="H416" i="1"/>
  <c r="J416" i="1" s="1"/>
  <c r="G417" i="1"/>
  <c r="I417" i="1" s="1"/>
  <c r="H417" i="1"/>
  <c r="J417" i="1" s="1"/>
  <c r="G418" i="1"/>
  <c r="I418" i="1" s="1"/>
  <c r="H418" i="1"/>
  <c r="J418" i="1" s="1"/>
  <c r="G419" i="1"/>
  <c r="H419" i="1"/>
  <c r="G420" i="1"/>
  <c r="H420" i="1"/>
  <c r="J420" i="1" s="1"/>
  <c r="G421" i="1"/>
  <c r="I421" i="1" s="1"/>
  <c r="H421" i="1"/>
  <c r="J421" i="1" s="1"/>
  <c r="G422" i="1"/>
  <c r="H422" i="1"/>
  <c r="G423" i="1"/>
  <c r="I423" i="1" s="1"/>
  <c r="H423" i="1"/>
  <c r="J423" i="1" s="1"/>
  <c r="G424" i="1"/>
  <c r="I424" i="1" s="1"/>
  <c r="H424" i="1"/>
  <c r="J424" i="1" s="1"/>
  <c r="G425" i="1"/>
  <c r="I425" i="1" s="1"/>
  <c r="H425" i="1"/>
  <c r="G426" i="1"/>
  <c r="I426" i="1" s="1"/>
  <c r="H426" i="1"/>
  <c r="J426" i="1" s="1"/>
  <c r="G427" i="1"/>
  <c r="I427" i="1" s="1"/>
  <c r="H427" i="1"/>
  <c r="J427" i="1" s="1"/>
  <c r="G428" i="1"/>
  <c r="H428" i="1"/>
  <c r="J428" i="1" s="1"/>
  <c r="G429" i="1"/>
  <c r="I429" i="1" s="1"/>
  <c r="H429" i="1"/>
  <c r="J429" i="1" s="1"/>
  <c r="G430" i="1"/>
  <c r="I430" i="1" s="1"/>
  <c r="H430" i="1"/>
  <c r="J430" i="1" s="1"/>
  <c r="G431" i="1"/>
  <c r="H431" i="1"/>
  <c r="G432" i="1"/>
  <c r="I432" i="1" s="1"/>
  <c r="H432" i="1"/>
  <c r="J432" i="1" s="1"/>
  <c r="G433" i="1"/>
  <c r="I433" i="1" s="1"/>
  <c r="H433" i="1"/>
  <c r="J433" i="1" s="1"/>
  <c r="G434" i="1"/>
  <c r="H434" i="1"/>
  <c r="G435" i="1"/>
  <c r="I435" i="1" s="1"/>
  <c r="H435" i="1"/>
  <c r="J435" i="1" s="1"/>
  <c r="G436" i="1"/>
  <c r="I436" i="1" s="1"/>
  <c r="H436" i="1"/>
  <c r="J436" i="1" s="1"/>
  <c r="G437" i="1"/>
  <c r="I437" i="1" s="1"/>
  <c r="H437" i="1"/>
  <c r="G438" i="1"/>
  <c r="I438" i="1" s="1"/>
  <c r="H438" i="1"/>
  <c r="J438" i="1" s="1"/>
  <c r="G439" i="1"/>
  <c r="I439" i="1" s="1"/>
  <c r="H439" i="1"/>
  <c r="J439" i="1" s="1"/>
  <c r="G440" i="1"/>
  <c r="H440" i="1"/>
  <c r="J440" i="1" s="1"/>
  <c r="G441" i="1"/>
  <c r="I441" i="1" s="1"/>
  <c r="H441" i="1"/>
  <c r="J441" i="1" s="1"/>
  <c r="G442" i="1"/>
  <c r="I442" i="1" s="1"/>
  <c r="H442" i="1"/>
  <c r="J442" i="1" s="1"/>
  <c r="G443" i="1"/>
  <c r="H443" i="1"/>
  <c r="G444" i="1"/>
  <c r="H444" i="1"/>
  <c r="J444" i="1" s="1"/>
  <c r="G445" i="1"/>
  <c r="I445" i="1" s="1"/>
  <c r="H445" i="1"/>
  <c r="J445" i="1" s="1"/>
  <c r="G446" i="1"/>
  <c r="H446" i="1"/>
  <c r="G447" i="1"/>
  <c r="I447" i="1" s="1"/>
  <c r="H447" i="1"/>
  <c r="J447" i="1" s="1"/>
  <c r="G448" i="1"/>
  <c r="I448" i="1" s="1"/>
  <c r="H448" i="1"/>
  <c r="J448" i="1" s="1"/>
  <c r="G449" i="1"/>
  <c r="I449" i="1" s="1"/>
  <c r="H449" i="1"/>
  <c r="G450" i="1"/>
  <c r="H450" i="1"/>
  <c r="J450" i="1" s="1"/>
  <c r="G451" i="1"/>
  <c r="I451" i="1" s="1"/>
  <c r="H451" i="1"/>
  <c r="J451" i="1" s="1"/>
  <c r="G452" i="1"/>
  <c r="H452" i="1"/>
  <c r="J452" i="1" s="1"/>
  <c r="G453" i="1"/>
  <c r="I453" i="1" s="1"/>
  <c r="H453" i="1"/>
  <c r="J453" i="1" s="1"/>
  <c r="G454" i="1"/>
  <c r="I454" i="1" s="1"/>
  <c r="H454" i="1"/>
  <c r="J454" i="1" s="1"/>
  <c r="G455" i="1"/>
  <c r="H455" i="1"/>
  <c r="G456" i="1"/>
  <c r="H456" i="1"/>
  <c r="J456" i="1" s="1"/>
  <c r="G457" i="1"/>
  <c r="I457" i="1" s="1"/>
  <c r="H457" i="1"/>
  <c r="J457" i="1" s="1"/>
  <c r="G458" i="1"/>
  <c r="H458" i="1"/>
  <c r="G459" i="1"/>
  <c r="I459" i="1" s="1"/>
  <c r="H459" i="1"/>
  <c r="J459" i="1" s="1"/>
  <c r="G460" i="1"/>
  <c r="I460" i="1" s="1"/>
  <c r="H460" i="1"/>
  <c r="J460" i="1" s="1"/>
  <c r="G461" i="1"/>
  <c r="I461" i="1" s="1"/>
  <c r="H461" i="1"/>
  <c r="G462" i="1"/>
  <c r="I462" i="1" s="1"/>
  <c r="H462" i="1"/>
  <c r="J462" i="1" s="1"/>
  <c r="G463" i="1"/>
  <c r="I463" i="1" s="1"/>
  <c r="H463" i="1"/>
  <c r="J463" i="1" s="1"/>
  <c r="G464" i="1"/>
  <c r="H464" i="1"/>
  <c r="J464" i="1" s="1"/>
  <c r="G465" i="1"/>
  <c r="I465" i="1" s="1"/>
  <c r="H465" i="1"/>
  <c r="J465" i="1" s="1"/>
  <c r="G466" i="1"/>
  <c r="I466" i="1" s="1"/>
  <c r="H466" i="1"/>
  <c r="J466" i="1" s="1"/>
  <c r="G467" i="1"/>
  <c r="H467" i="1"/>
  <c r="G468" i="1"/>
  <c r="I468" i="1" s="1"/>
  <c r="H468" i="1"/>
  <c r="J468" i="1" s="1"/>
  <c r="G469" i="1"/>
  <c r="I469" i="1" s="1"/>
  <c r="H469" i="1"/>
  <c r="J469" i="1" s="1"/>
  <c r="G470" i="1"/>
  <c r="H470" i="1"/>
  <c r="G471" i="1"/>
  <c r="H471" i="1"/>
  <c r="J471" i="1" s="1"/>
  <c r="G472" i="1"/>
  <c r="I472" i="1" s="1"/>
  <c r="H472" i="1"/>
  <c r="J472" i="1" s="1"/>
  <c r="G473" i="1"/>
  <c r="I473" i="1" s="1"/>
  <c r="H473" i="1"/>
  <c r="G474" i="1"/>
  <c r="I474" i="1" s="1"/>
  <c r="H474" i="1"/>
  <c r="J474" i="1" s="1"/>
  <c r="G475" i="1"/>
  <c r="I475" i="1" s="1"/>
  <c r="H475" i="1"/>
  <c r="J475" i="1" s="1"/>
  <c r="G476" i="1"/>
  <c r="H476" i="1"/>
  <c r="J476" i="1" s="1"/>
  <c r="G477" i="1"/>
  <c r="I477" i="1" s="1"/>
  <c r="H477" i="1"/>
  <c r="J477" i="1" s="1"/>
  <c r="G478" i="1"/>
  <c r="I478" i="1" s="1"/>
  <c r="H478" i="1"/>
  <c r="J478" i="1" s="1"/>
  <c r="G479" i="1"/>
  <c r="H479" i="1"/>
  <c r="G480" i="1"/>
  <c r="H480" i="1"/>
  <c r="J480" i="1" s="1"/>
  <c r="G481" i="1"/>
  <c r="I481" i="1" s="1"/>
  <c r="H481" i="1"/>
  <c r="J481" i="1" s="1"/>
  <c r="G482" i="1"/>
  <c r="H482" i="1"/>
  <c r="G483" i="1"/>
  <c r="I483" i="1" s="1"/>
  <c r="H483" i="1"/>
  <c r="J483" i="1" s="1"/>
  <c r="G484" i="1"/>
  <c r="I484" i="1" s="1"/>
  <c r="H484" i="1"/>
  <c r="J484" i="1" s="1"/>
  <c r="G485" i="1"/>
  <c r="I485" i="1" s="1"/>
  <c r="H485" i="1"/>
  <c r="G486" i="1"/>
  <c r="I486" i="1" s="1"/>
  <c r="H486" i="1"/>
  <c r="J486" i="1" s="1"/>
  <c r="G487" i="1"/>
  <c r="I487" i="1" s="1"/>
  <c r="H487" i="1"/>
  <c r="J487" i="1" s="1"/>
  <c r="G488" i="1"/>
  <c r="H488" i="1"/>
  <c r="J488" i="1" s="1"/>
  <c r="G489" i="1"/>
  <c r="I489" i="1" s="1"/>
  <c r="H489" i="1"/>
  <c r="J489" i="1" s="1"/>
  <c r="G490" i="1"/>
  <c r="I490" i="1" s="1"/>
  <c r="H490" i="1"/>
  <c r="J490" i="1" s="1"/>
  <c r="G491" i="1"/>
  <c r="H491" i="1"/>
  <c r="G492" i="1"/>
  <c r="I492" i="1" s="1"/>
  <c r="H492" i="1"/>
  <c r="J492" i="1" s="1"/>
  <c r="G493" i="1"/>
  <c r="I493" i="1" s="1"/>
  <c r="H493" i="1"/>
  <c r="J493" i="1" s="1"/>
  <c r="G494" i="1"/>
  <c r="H494" i="1"/>
  <c r="G495" i="1"/>
  <c r="H495" i="1"/>
  <c r="J495" i="1" s="1"/>
  <c r="G496" i="1"/>
  <c r="I496" i="1" s="1"/>
  <c r="H496" i="1"/>
  <c r="J496" i="1" s="1"/>
  <c r="G497" i="1"/>
  <c r="I497" i="1" s="1"/>
  <c r="H497" i="1"/>
  <c r="G498" i="1"/>
  <c r="I498" i="1" s="1"/>
  <c r="H498" i="1"/>
  <c r="J498" i="1" s="1"/>
  <c r="G499" i="1"/>
  <c r="I499" i="1" s="1"/>
  <c r="H499" i="1"/>
  <c r="J499" i="1" s="1"/>
  <c r="G500" i="1"/>
  <c r="H500" i="1"/>
  <c r="J500" i="1" s="1"/>
  <c r="G501" i="1"/>
  <c r="I501" i="1" s="1"/>
  <c r="H501" i="1"/>
  <c r="J501" i="1" s="1"/>
  <c r="G502" i="1"/>
  <c r="I502" i="1" s="1"/>
  <c r="H502" i="1"/>
  <c r="J502" i="1" s="1"/>
  <c r="G503" i="1"/>
  <c r="H503" i="1"/>
  <c r="G504" i="1"/>
  <c r="I504" i="1" s="1"/>
  <c r="H504" i="1"/>
  <c r="J504" i="1" s="1"/>
  <c r="G505" i="1"/>
  <c r="I505" i="1" s="1"/>
  <c r="H505" i="1"/>
  <c r="J505" i="1" s="1"/>
  <c r="G506" i="1"/>
  <c r="H506" i="1"/>
  <c r="G507" i="1"/>
  <c r="I507" i="1" s="1"/>
  <c r="H507" i="1"/>
  <c r="J507" i="1" s="1"/>
  <c r="G508" i="1"/>
  <c r="I508" i="1" s="1"/>
  <c r="H508" i="1"/>
  <c r="J508" i="1" s="1"/>
  <c r="G509" i="1"/>
  <c r="I509" i="1" s="1"/>
  <c r="H509" i="1"/>
  <c r="G510" i="1"/>
  <c r="H510" i="1"/>
  <c r="J510" i="1" s="1"/>
  <c r="G511" i="1"/>
  <c r="I511" i="1" s="1"/>
  <c r="H511" i="1"/>
  <c r="J511" i="1" s="1"/>
  <c r="G512" i="1"/>
  <c r="H512" i="1"/>
  <c r="J512" i="1" s="1"/>
  <c r="G513" i="1"/>
  <c r="I513" i="1" s="1"/>
  <c r="H513" i="1"/>
  <c r="J513" i="1" s="1"/>
  <c r="G514" i="1"/>
  <c r="I514" i="1" s="1"/>
  <c r="H514" i="1"/>
  <c r="J514" i="1" s="1"/>
  <c r="G515" i="1"/>
  <c r="I515" i="1" s="1"/>
  <c r="H515" i="1"/>
  <c r="G516" i="1"/>
  <c r="I516" i="1" s="1"/>
  <c r="H516" i="1"/>
  <c r="J516" i="1" s="1"/>
  <c r="G517" i="1"/>
  <c r="I517" i="1" s="1"/>
  <c r="H517" i="1"/>
  <c r="J517" i="1" s="1"/>
  <c r="G518" i="1"/>
  <c r="H518" i="1"/>
  <c r="G519" i="1"/>
  <c r="H519" i="1"/>
  <c r="J519" i="1" s="1"/>
  <c r="G520" i="1"/>
  <c r="I520" i="1" s="1"/>
  <c r="H520" i="1"/>
  <c r="J520" i="1" s="1"/>
  <c r="G521" i="1"/>
  <c r="I521" i="1" s="1"/>
  <c r="H521" i="1"/>
  <c r="G522" i="1"/>
  <c r="I522" i="1" s="1"/>
  <c r="H522" i="1"/>
  <c r="J522" i="1" s="1"/>
  <c r="G523" i="1"/>
  <c r="I523" i="1" s="1"/>
  <c r="H523" i="1"/>
  <c r="J523" i="1" s="1"/>
  <c r="G524" i="1"/>
  <c r="I524" i="1" s="1"/>
  <c r="H524" i="1"/>
  <c r="J524" i="1" s="1"/>
  <c r="G525" i="1"/>
  <c r="I525" i="1" s="1"/>
  <c r="H525" i="1"/>
  <c r="J525" i="1" s="1"/>
  <c r="G526" i="1"/>
  <c r="I526" i="1" s="1"/>
  <c r="H526" i="1"/>
  <c r="J526" i="1" s="1"/>
  <c r="G527" i="1"/>
  <c r="H527" i="1"/>
  <c r="G528" i="1"/>
  <c r="H528" i="1"/>
  <c r="J528" i="1" s="1"/>
  <c r="G529" i="1"/>
  <c r="I529" i="1" s="1"/>
  <c r="H529" i="1"/>
  <c r="J529" i="1" s="1"/>
  <c r="G530" i="1"/>
  <c r="H530" i="1"/>
  <c r="G531" i="1"/>
  <c r="I531" i="1" s="1"/>
  <c r="H531" i="1"/>
  <c r="J531" i="1" s="1"/>
  <c r="G532" i="1"/>
  <c r="I532" i="1" s="1"/>
  <c r="H532" i="1"/>
  <c r="J532" i="1" s="1"/>
  <c r="G533" i="1"/>
  <c r="I533" i="1" s="1"/>
  <c r="H533" i="1"/>
  <c r="G534" i="1"/>
  <c r="I534" i="1" s="1"/>
  <c r="H534" i="1"/>
  <c r="J534" i="1" s="1"/>
  <c r="G535" i="1"/>
  <c r="I535" i="1" s="1"/>
  <c r="H535" i="1"/>
  <c r="J535" i="1" s="1"/>
  <c r="G536" i="1"/>
  <c r="H536" i="1"/>
  <c r="J536" i="1" s="1"/>
  <c r="G537" i="1"/>
  <c r="I537" i="1" s="1"/>
  <c r="H537" i="1"/>
  <c r="J537" i="1" s="1"/>
  <c r="G538" i="1"/>
  <c r="I538" i="1" s="1"/>
  <c r="H538" i="1"/>
  <c r="J538" i="1" s="1"/>
  <c r="G539" i="1"/>
  <c r="H539" i="1"/>
  <c r="G540" i="1"/>
  <c r="I540" i="1" s="1"/>
  <c r="H540" i="1"/>
  <c r="J540" i="1" s="1"/>
  <c r="G541" i="1"/>
  <c r="I541" i="1" s="1"/>
  <c r="H541" i="1"/>
  <c r="J541" i="1" s="1"/>
  <c r="G542" i="1"/>
  <c r="H542" i="1"/>
  <c r="G543" i="1"/>
  <c r="H543" i="1"/>
  <c r="J543" i="1" s="1"/>
  <c r="G544" i="1"/>
  <c r="I544" i="1" s="1"/>
  <c r="H544" i="1"/>
  <c r="J544" i="1" s="1"/>
  <c r="G545" i="1"/>
  <c r="I545" i="1" s="1"/>
  <c r="H545" i="1"/>
  <c r="G546" i="1"/>
  <c r="I546" i="1" s="1"/>
  <c r="H546" i="1"/>
  <c r="J546" i="1" s="1"/>
  <c r="G547" i="1"/>
  <c r="I547" i="1" s="1"/>
  <c r="H547" i="1"/>
  <c r="J547" i="1" s="1"/>
  <c r="G548" i="1"/>
  <c r="H548" i="1"/>
  <c r="J548" i="1" s="1"/>
  <c r="G549" i="1"/>
  <c r="I549" i="1" s="1"/>
  <c r="H549" i="1"/>
  <c r="J549" i="1" s="1"/>
  <c r="G550" i="1"/>
  <c r="I550" i="1" s="1"/>
  <c r="H550" i="1"/>
  <c r="J550" i="1" s="1"/>
  <c r="G551" i="1"/>
  <c r="H551" i="1"/>
  <c r="G552" i="1"/>
  <c r="H552" i="1"/>
  <c r="J552" i="1" s="1"/>
  <c r="G553" i="1"/>
  <c r="I553" i="1" s="1"/>
  <c r="H553" i="1"/>
  <c r="J553" i="1" s="1"/>
  <c r="G554" i="1"/>
  <c r="H554" i="1"/>
  <c r="G555" i="1"/>
  <c r="I555" i="1" s="1"/>
  <c r="H555" i="1"/>
  <c r="J555" i="1" s="1"/>
  <c r="G556" i="1"/>
  <c r="I556" i="1" s="1"/>
  <c r="H556" i="1"/>
  <c r="J556" i="1" s="1"/>
  <c r="G557" i="1"/>
  <c r="I557" i="1" s="1"/>
  <c r="H557" i="1"/>
  <c r="G558" i="1"/>
  <c r="H558" i="1"/>
  <c r="J558" i="1" s="1"/>
  <c r="G559" i="1"/>
  <c r="I559" i="1" s="1"/>
  <c r="H559" i="1"/>
  <c r="J559" i="1" s="1"/>
  <c r="G560" i="1"/>
  <c r="H560" i="1"/>
  <c r="J560" i="1" s="1"/>
  <c r="G561" i="1"/>
  <c r="I561" i="1" s="1"/>
  <c r="H561" i="1"/>
  <c r="J561" i="1" s="1"/>
  <c r="G562" i="1"/>
  <c r="I562" i="1" s="1"/>
  <c r="H562" i="1"/>
  <c r="J562" i="1" s="1"/>
  <c r="G563" i="1"/>
  <c r="I563" i="1" s="1"/>
  <c r="H563" i="1"/>
  <c r="G564" i="1"/>
  <c r="I564" i="1" s="1"/>
  <c r="H564" i="1"/>
  <c r="J564" i="1" s="1"/>
  <c r="G565" i="1"/>
  <c r="I565" i="1" s="1"/>
  <c r="H565" i="1"/>
  <c r="J565" i="1" s="1"/>
  <c r="G566" i="1"/>
  <c r="H566" i="1"/>
  <c r="G567" i="1"/>
  <c r="H567" i="1"/>
  <c r="J567" i="1" s="1"/>
  <c r="G568" i="1"/>
  <c r="I568" i="1" s="1"/>
  <c r="H568" i="1"/>
  <c r="J568" i="1" s="1"/>
  <c r="G569" i="1"/>
  <c r="I569" i="1" s="1"/>
  <c r="H569" i="1"/>
  <c r="G570" i="1"/>
  <c r="I570" i="1" s="1"/>
  <c r="H570" i="1"/>
  <c r="J570" i="1" s="1"/>
  <c r="G571" i="1"/>
  <c r="I571" i="1" s="1"/>
  <c r="H571" i="1"/>
  <c r="J571" i="1" s="1"/>
  <c r="G572" i="1"/>
  <c r="I572" i="1" s="1"/>
  <c r="H572" i="1"/>
  <c r="J572" i="1" s="1"/>
  <c r="G573" i="1"/>
  <c r="I573" i="1" s="1"/>
  <c r="H573" i="1"/>
  <c r="J573" i="1" s="1"/>
  <c r="G574" i="1"/>
  <c r="I574" i="1" s="1"/>
  <c r="H574" i="1"/>
  <c r="J574" i="1" s="1"/>
  <c r="G575" i="1"/>
  <c r="H575" i="1"/>
  <c r="G576" i="1"/>
  <c r="I576" i="1" s="1"/>
  <c r="H576" i="1"/>
  <c r="J576" i="1" s="1"/>
  <c r="G577" i="1"/>
  <c r="I577" i="1" s="1"/>
  <c r="H577" i="1"/>
  <c r="J577" i="1" s="1"/>
  <c r="G578" i="1"/>
  <c r="H578" i="1"/>
  <c r="G579" i="1"/>
  <c r="I579" i="1" s="1"/>
  <c r="H579" i="1"/>
  <c r="J579" i="1" s="1"/>
  <c r="G580" i="1"/>
  <c r="I580" i="1" s="1"/>
  <c r="H580" i="1"/>
  <c r="J580" i="1" s="1"/>
  <c r="G581" i="1"/>
  <c r="I581" i="1" s="1"/>
  <c r="H581" i="1"/>
  <c r="G582" i="1"/>
  <c r="H582" i="1"/>
  <c r="J582" i="1" s="1"/>
  <c r="G583" i="1"/>
  <c r="I583" i="1" s="1"/>
  <c r="H583" i="1"/>
  <c r="J583" i="1" s="1"/>
  <c r="G584" i="1"/>
  <c r="H584" i="1"/>
  <c r="J584" i="1" s="1"/>
  <c r="G585" i="1"/>
  <c r="I585" i="1" s="1"/>
  <c r="H585" i="1"/>
  <c r="J585" i="1" s="1"/>
  <c r="G586" i="1"/>
  <c r="I586" i="1" s="1"/>
  <c r="H586" i="1"/>
  <c r="J586" i="1" s="1"/>
  <c r="G587" i="1"/>
  <c r="H587" i="1"/>
  <c r="G588" i="1"/>
  <c r="I588" i="1" s="1"/>
  <c r="H588" i="1"/>
  <c r="J588" i="1" s="1"/>
  <c r="G589" i="1"/>
  <c r="I589" i="1" s="1"/>
  <c r="H589" i="1"/>
  <c r="J589" i="1" s="1"/>
  <c r="G590" i="1"/>
  <c r="H590" i="1"/>
  <c r="G591" i="1"/>
  <c r="I591" i="1" s="1"/>
  <c r="H591" i="1"/>
  <c r="J591" i="1" s="1"/>
  <c r="G592" i="1"/>
  <c r="I592" i="1" s="1"/>
  <c r="H592" i="1"/>
  <c r="J592" i="1" s="1"/>
  <c r="G593" i="1"/>
  <c r="I593" i="1" s="1"/>
  <c r="H593" i="1"/>
  <c r="G594" i="1"/>
  <c r="I594" i="1" s="1"/>
  <c r="H594" i="1"/>
  <c r="J594" i="1" s="1"/>
  <c r="G595" i="1"/>
  <c r="I595" i="1" s="1"/>
  <c r="H595" i="1"/>
  <c r="J595" i="1" s="1"/>
  <c r="G596" i="1"/>
  <c r="H596" i="1"/>
  <c r="J596" i="1" s="1"/>
  <c r="G597" i="1"/>
  <c r="I597" i="1" s="1"/>
  <c r="H597" i="1"/>
  <c r="J597" i="1" s="1"/>
  <c r="G598" i="1"/>
  <c r="I598" i="1" s="1"/>
  <c r="H598" i="1"/>
  <c r="J598" i="1" s="1"/>
  <c r="G599" i="1"/>
  <c r="H599" i="1"/>
  <c r="G600" i="1"/>
  <c r="H600" i="1"/>
  <c r="J600" i="1" s="1"/>
  <c r="G601" i="1"/>
  <c r="I601" i="1" s="1"/>
  <c r="H601" i="1"/>
  <c r="J601" i="1" s="1"/>
  <c r="G602" i="1"/>
  <c r="I602" i="1" s="1"/>
  <c r="H602" i="1"/>
  <c r="G603" i="1"/>
  <c r="I603" i="1" s="1"/>
  <c r="H603" i="1"/>
  <c r="J603" i="1" s="1"/>
  <c r="G604" i="1"/>
  <c r="I604" i="1" s="1"/>
  <c r="H604" i="1"/>
  <c r="J604" i="1" s="1"/>
  <c r="G605" i="1"/>
  <c r="I605" i="1" s="1"/>
  <c r="H605" i="1"/>
  <c r="G606" i="1"/>
  <c r="I606" i="1" s="1"/>
  <c r="H606" i="1"/>
  <c r="J606" i="1" s="1"/>
  <c r="G607" i="1"/>
  <c r="I607" i="1" s="1"/>
  <c r="H607" i="1"/>
  <c r="J607" i="1" s="1"/>
  <c r="G608" i="1"/>
  <c r="I608" i="1" s="1"/>
  <c r="H608" i="1"/>
  <c r="J608" i="1" s="1"/>
  <c r="G609" i="1"/>
  <c r="I609" i="1" s="1"/>
  <c r="H609" i="1"/>
  <c r="J609" i="1" s="1"/>
  <c r="G610" i="1"/>
  <c r="I610" i="1" s="1"/>
  <c r="H610" i="1"/>
  <c r="J610" i="1" s="1"/>
  <c r="G611" i="1"/>
  <c r="I611" i="1" s="1"/>
  <c r="H611" i="1"/>
  <c r="G612" i="1"/>
  <c r="I612" i="1" s="1"/>
  <c r="H612" i="1"/>
  <c r="J612" i="1" s="1"/>
  <c r="G613" i="1"/>
  <c r="I613" i="1" s="1"/>
  <c r="H613" i="1"/>
  <c r="J613" i="1" s="1"/>
  <c r="G614" i="1"/>
  <c r="I614" i="1" s="1"/>
  <c r="H614" i="1"/>
  <c r="G615" i="1"/>
  <c r="I615" i="1" s="1"/>
  <c r="H615" i="1"/>
  <c r="J615" i="1" s="1"/>
  <c r="G616" i="1"/>
  <c r="I616" i="1" s="1"/>
  <c r="H616" i="1"/>
  <c r="J616" i="1" s="1"/>
  <c r="G617" i="1"/>
  <c r="I617" i="1" s="1"/>
  <c r="H617" i="1"/>
  <c r="G618" i="1"/>
  <c r="H618" i="1"/>
  <c r="J618" i="1" s="1"/>
  <c r="G619" i="1"/>
  <c r="I619" i="1" s="1"/>
  <c r="H619" i="1"/>
  <c r="J619" i="1" s="1"/>
  <c r="G620" i="1"/>
  <c r="I620" i="1" s="1"/>
  <c r="H620" i="1"/>
  <c r="J620" i="1" s="1"/>
  <c r="G621" i="1"/>
  <c r="I621" i="1" s="1"/>
  <c r="H621" i="1"/>
  <c r="J621" i="1" s="1"/>
  <c r="G622" i="1"/>
  <c r="I622" i="1" s="1"/>
  <c r="H622" i="1"/>
  <c r="J622" i="1" s="1"/>
  <c r="G623" i="1"/>
  <c r="I623" i="1" s="1"/>
  <c r="H623" i="1"/>
  <c r="G624" i="1"/>
  <c r="I624" i="1" s="1"/>
  <c r="H624" i="1"/>
  <c r="J624" i="1" s="1"/>
  <c r="G625" i="1"/>
  <c r="I625" i="1" s="1"/>
  <c r="H625" i="1"/>
  <c r="J625" i="1" s="1"/>
  <c r="G626" i="1"/>
  <c r="I626" i="1" s="1"/>
  <c r="H626" i="1"/>
  <c r="G627" i="1"/>
  <c r="I627" i="1" s="1"/>
  <c r="H627" i="1"/>
  <c r="J627" i="1" s="1"/>
  <c r="G628" i="1"/>
  <c r="I628" i="1" s="1"/>
  <c r="H628" i="1"/>
  <c r="J628" i="1" s="1"/>
  <c r="G629" i="1"/>
  <c r="I629" i="1" s="1"/>
  <c r="H629" i="1"/>
  <c r="G630" i="1"/>
  <c r="I630" i="1" s="1"/>
  <c r="H630" i="1"/>
  <c r="J630" i="1" s="1"/>
  <c r="G631" i="1"/>
  <c r="I631" i="1" s="1"/>
  <c r="H631" i="1"/>
  <c r="J631" i="1" s="1"/>
  <c r="G632" i="1"/>
  <c r="I632" i="1" s="1"/>
  <c r="H632" i="1"/>
  <c r="J632" i="1" s="1"/>
  <c r="G633" i="1"/>
  <c r="I633" i="1" s="1"/>
  <c r="H633" i="1"/>
  <c r="J633" i="1" s="1"/>
  <c r="G634" i="1"/>
  <c r="I634" i="1" s="1"/>
  <c r="H634" i="1"/>
  <c r="J634" i="1" s="1"/>
  <c r="G635" i="1"/>
  <c r="I635" i="1" s="1"/>
  <c r="H635" i="1"/>
  <c r="G636" i="1"/>
  <c r="H636" i="1"/>
  <c r="J636" i="1" s="1"/>
  <c r="G637" i="1"/>
  <c r="I637" i="1" s="1"/>
  <c r="H637" i="1"/>
  <c r="J637" i="1" s="1"/>
  <c r="G638" i="1"/>
  <c r="H638" i="1"/>
  <c r="G639" i="1"/>
  <c r="I639" i="1" s="1"/>
  <c r="H639" i="1"/>
  <c r="J639" i="1" s="1"/>
  <c r="G640" i="1"/>
  <c r="I640" i="1" s="1"/>
  <c r="H640" i="1"/>
  <c r="J640" i="1" s="1"/>
  <c r="G641" i="1"/>
  <c r="I641" i="1" s="1"/>
  <c r="H641" i="1"/>
  <c r="G642" i="1"/>
  <c r="I642" i="1" s="1"/>
  <c r="H642" i="1"/>
  <c r="J642" i="1" s="1"/>
  <c r="G643" i="1"/>
  <c r="I643" i="1" s="1"/>
  <c r="H643" i="1"/>
  <c r="J643" i="1" s="1"/>
  <c r="G644" i="1"/>
  <c r="I644" i="1" s="1"/>
  <c r="H644" i="1"/>
  <c r="J644" i="1" s="1"/>
  <c r="G645" i="1"/>
  <c r="I645" i="1" s="1"/>
  <c r="H645" i="1"/>
  <c r="J645" i="1" s="1"/>
  <c r="G646" i="1"/>
  <c r="I646" i="1" s="1"/>
  <c r="H646" i="1"/>
  <c r="J646" i="1" s="1"/>
  <c r="G647" i="1"/>
  <c r="H647" i="1"/>
  <c r="G648" i="1"/>
  <c r="I648" i="1" s="1"/>
  <c r="H648" i="1"/>
  <c r="J648" i="1" s="1"/>
  <c r="G649" i="1"/>
  <c r="I649" i="1" s="1"/>
  <c r="H649" i="1"/>
  <c r="J649" i="1" s="1"/>
  <c r="G650" i="1"/>
  <c r="H650" i="1"/>
  <c r="G651" i="1"/>
  <c r="H651" i="1"/>
  <c r="J651" i="1" s="1"/>
  <c r="G652" i="1"/>
  <c r="I652" i="1" s="1"/>
  <c r="H652" i="1"/>
  <c r="J652" i="1" s="1"/>
  <c r="G653" i="1"/>
  <c r="I653" i="1" s="1"/>
  <c r="H653" i="1"/>
  <c r="G654" i="1"/>
  <c r="I654" i="1" s="1"/>
  <c r="H654" i="1"/>
  <c r="J654" i="1" s="1"/>
  <c r="G655" i="1"/>
  <c r="I655" i="1" s="1"/>
  <c r="H655" i="1"/>
  <c r="J655" i="1" s="1"/>
  <c r="G656" i="1"/>
  <c r="H656" i="1"/>
  <c r="J656" i="1" s="1"/>
  <c r="G657" i="1"/>
  <c r="I657" i="1" s="1"/>
  <c r="H657" i="1"/>
  <c r="J657" i="1" s="1"/>
  <c r="G658" i="1"/>
  <c r="I658" i="1" s="1"/>
  <c r="H658" i="1"/>
  <c r="J658" i="1" s="1"/>
  <c r="G659" i="1"/>
  <c r="I659" i="1" s="1"/>
  <c r="H659" i="1"/>
  <c r="G660" i="1"/>
  <c r="H660" i="1"/>
  <c r="J660" i="1" s="1"/>
  <c r="G661" i="1"/>
  <c r="I661" i="1" s="1"/>
  <c r="H661" i="1"/>
  <c r="J661" i="1" s="1"/>
  <c r="G662" i="1"/>
  <c r="H662" i="1"/>
  <c r="G663" i="1"/>
  <c r="I663" i="1" s="1"/>
  <c r="H663" i="1"/>
  <c r="J663" i="1" s="1"/>
  <c r="G664" i="1"/>
  <c r="I664" i="1" s="1"/>
  <c r="H664" i="1"/>
  <c r="J664" i="1" s="1"/>
  <c r="G665" i="1"/>
  <c r="I665" i="1" s="1"/>
  <c r="H665" i="1"/>
  <c r="G666" i="1"/>
  <c r="I666" i="1" s="1"/>
  <c r="H666" i="1"/>
  <c r="J666" i="1" s="1"/>
  <c r="G667" i="1"/>
  <c r="I667" i="1" s="1"/>
  <c r="H667" i="1"/>
  <c r="J667" i="1" s="1"/>
  <c r="G668" i="1"/>
  <c r="I668" i="1" s="1"/>
  <c r="H668" i="1"/>
  <c r="J668" i="1" s="1"/>
  <c r="G669" i="1"/>
  <c r="I669" i="1" s="1"/>
  <c r="H669" i="1"/>
  <c r="J669" i="1" s="1"/>
  <c r="G670" i="1"/>
  <c r="I670" i="1" s="1"/>
  <c r="H670" i="1"/>
  <c r="J670" i="1" s="1"/>
  <c r="G671" i="1"/>
  <c r="H671" i="1"/>
  <c r="G672" i="1"/>
  <c r="I672" i="1" s="1"/>
  <c r="H672" i="1"/>
  <c r="J672" i="1" s="1"/>
  <c r="G673" i="1"/>
  <c r="I673" i="1" s="1"/>
  <c r="H673" i="1"/>
  <c r="J673" i="1" s="1"/>
  <c r="G674" i="1"/>
  <c r="H674" i="1"/>
  <c r="G675" i="1"/>
  <c r="I675" i="1" s="1"/>
  <c r="H675" i="1"/>
  <c r="J675" i="1" s="1"/>
  <c r="G676" i="1"/>
  <c r="I676" i="1" s="1"/>
  <c r="H676" i="1"/>
  <c r="J676" i="1" s="1"/>
  <c r="G677" i="1"/>
  <c r="I677" i="1" s="1"/>
  <c r="H677" i="1"/>
  <c r="G678" i="1"/>
  <c r="I678" i="1" s="1"/>
  <c r="H678" i="1"/>
  <c r="J678" i="1" s="1"/>
  <c r="G679" i="1"/>
  <c r="I679" i="1" s="1"/>
  <c r="H679" i="1"/>
  <c r="J679" i="1" s="1"/>
  <c r="G680" i="1"/>
  <c r="I680" i="1" s="1"/>
  <c r="H680" i="1"/>
  <c r="J680" i="1" s="1"/>
  <c r="G681" i="1"/>
  <c r="I681" i="1" s="1"/>
  <c r="H681" i="1"/>
  <c r="J681" i="1" s="1"/>
  <c r="G682" i="1"/>
  <c r="I682" i="1" s="1"/>
  <c r="H682" i="1"/>
  <c r="J682" i="1" s="1"/>
  <c r="G683" i="1"/>
  <c r="H683" i="1"/>
  <c r="G684" i="1"/>
  <c r="H684" i="1"/>
  <c r="J684" i="1" s="1"/>
  <c r="G685" i="1"/>
  <c r="I685" i="1" s="1"/>
  <c r="H685" i="1"/>
  <c r="J685" i="1" s="1"/>
  <c r="G686" i="1"/>
  <c r="I686" i="1" s="1"/>
  <c r="H686" i="1"/>
  <c r="G687" i="1"/>
  <c r="I687" i="1" s="1"/>
  <c r="H687" i="1"/>
  <c r="J687" i="1" s="1"/>
  <c r="G688" i="1"/>
  <c r="I688" i="1" s="1"/>
  <c r="H688" i="1"/>
  <c r="J688" i="1" s="1"/>
  <c r="G689" i="1"/>
  <c r="I689" i="1" s="1"/>
  <c r="H689" i="1"/>
  <c r="G690" i="1"/>
  <c r="I690" i="1" s="1"/>
  <c r="H690" i="1"/>
  <c r="J690" i="1" s="1"/>
  <c r="G691" i="1"/>
  <c r="I691" i="1" s="1"/>
  <c r="H691" i="1"/>
  <c r="J691" i="1" s="1"/>
  <c r="G692" i="1"/>
  <c r="H692" i="1"/>
  <c r="J692" i="1" s="1"/>
  <c r="G693" i="1"/>
  <c r="I693" i="1" s="1"/>
  <c r="H693" i="1"/>
  <c r="J693" i="1" s="1"/>
  <c r="G694" i="1"/>
  <c r="I694" i="1" s="1"/>
  <c r="H694" i="1"/>
  <c r="J694" i="1" s="1"/>
  <c r="G695" i="1"/>
  <c r="I695" i="1" s="1"/>
  <c r="H695" i="1"/>
  <c r="G696" i="1"/>
  <c r="I696" i="1" s="1"/>
  <c r="H696" i="1"/>
  <c r="J696" i="1" s="1"/>
  <c r="G697" i="1"/>
  <c r="I697" i="1" s="1"/>
  <c r="H697" i="1"/>
  <c r="J697" i="1" s="1"/>
  <c r="G698" i="1"/>
  <c r="I698" i="1" s="1"/>
  <c r="H698" i="1"/>
  <c r="G699" i="1"/>
  <c r="I699" i="1" s="1"/>
  <c r="H699" i="1"/>
  <c r="J699" i="1" s="1"/>
  <c r="G700" i="1"/>
  <c r="I700" i="1" s="1"/>
  <c r="H700" i="1"/>
  <c r="J700" i="1" s="1"/>
  <c r="G701" i="1"/>
  <c r="I701" i="1" s="1"/>
  <c r="H701" i="1"/>
  <c r="G702" i="1"/>
  <c r="H702" i="1"/>
  <c r="J702" i="1" s="1"/>
  <c r="G703" i="1"/>
  <c r="I703" i="1" s="1"/>
  <c r="H703" i="1"/>
  <c r="J703" i="1" s="1"/>
  <c r="G704" i="1"/>
  <c r="I704" i="1" s="1"/>
  <c r="H704" i="1"/>
  <c r="J704" i="1" s="1"/>
  <c r="G705" i="1"/>
  <c r="I705" i="1" s="1"/>
  <c r="H705" i="1"/>
  <c r="J705" i="1" s="1"/>
  <c r="G706" i="1"/>
  <c r="I706" i="1" s="1"/>
  <c r="H706" i="1"/>
  <c r="J706" i="1" s="1"/>
  <c r="G707" i="1"/>
  <c r="H707" i="1"/>
  <c r="G708" i="1"/>
  <c r="I708" i="1" s="1"/>
  <c r="H708" i="1"/>
  <c r="J708" i="1" s="1"/>
  <c r="G709" i="1"/>
  <c r="I709" i="1" s="1"/>
  <c r="H709" i="1"/>
  <c r="J709" i="1" s="1"/>
  <c r="G710" i="1"/>
  <c r="H710" i="1"/>
  <c r="G711" i="1"/>
  <c r="H711" i="1"/>
  <c r="J711" i="1" s="1"/>
  <c r="G712" i="1"/>
  <c r="I712" i="1" s="1"/>
  <c r="H712" i="1"/>
  <c r="J712" i="1" s="1"/>
  <c r="G713" i="1"/>
  <c r="I713" i="1" s="1"/>
  <c r="H713" i="1"/>
  <c r="G714" i="1"/>
  <c r="I714" i="1" s="1"/>
  <c r="H714" i="1"/>
  <c r="J714" i="1" s="1"/>
  <c r="G715" i="1"/>
  <c r="I715" i="1" s="1"/>
  <c r="H715" i="1"/>
  <c r="J715" i="1" s="1"/>
  <c r="G716" i="1"/>
  <c r="H716" i="1"/>
  <c r="J716" i="1" s="1"/>
  <c r="G717" i="1"/>
  <c r="I717" i="1" s="1"/>
  <c r="H717" i="1"/>
  <c r="J717" i="1" s="1"/>
  <c r="G718" i="1"/>
  <c r="I718" i="1" s="1"/>
  <c r="H718" i="1"/>
  <c r="J718" i="1" s="1"/>
  <c r="G719" i="1"/>
  <c r="I719" i="1" s="1"/>
  <c r="H719" i="1"/>
  <c r="G720" i="1"/>
  <c r="I720" i="1" s="1"/>
  <c r="H720" i="1"/>
  <c r="J720" i="1" s="1"/>
  <c r="G721" i="1"/>
  <c r="I721" i="1" s="1"/>
  <c r="H721" i="1"/>
  <c r="J721" i="1" s="1"/>
  <c r="G722" i="1"/>
  <c r="I722" i="1" s="1"/>
  <c r="H722" i="1"/>
  <c r="G723" i="1"/>
  <c r="I723" i="1" s="1"/>
  <c r="H723" i="1"/>
  <c r="J723" i="1" s="1"/>
  <c r="G724" i="1"/>
  <c r="I724" i="1" s="1"/>
  <c r="H724" i="1"/>
  <c r="J724" i="1" s="1"/>
  <c r="G725" i="1"/>
  <c r="I725" i="1" s="1"/>
  <c r="H725" i="1"/>
  <c r="G726" i="1"/>
  <c r="I726" i="1" s="1"/>
  <c r="H726" i="1"/>
  <c r="J726" i="1" s="1"/>
  <c r="G727" i="1"/>
  <c r="I727" i="1" s="1"/>
  <c r="H727" i="1"/>
  <c r="J727" i="1" s="1"/>
  <c r="G728" i="1"/>
  <c r="H728" i="1"/>
  <c r="J728" i="1" s="1"/>
  <c r="G729" i="1"/>
  <c r="I729" i="1" s="1"/>
  <c r="H729" i="1"/>
  <c r="J729" i="1" s="1"/>
  <c r="G730" i="1"/>
  <c r="I730" i="1" s="1"/>
  <c r="H730" i="1"/>
  <c r="J730" i="1" s="1"/>
  <c r="G731" i="1"/>
  <c r="I731" i="1" s="1"/>
  <c r="H731" i="1"/>
  <c r="G732" i="1"/>
  <c r="I732" i="1" s="1"/>
  <c r="H732" i="1"/>
  <c r="J732" i="1" s="1"/>
  <c r="G733" i="1"/>
  <c r="I733" i="1" s="1"/>
  <c r="H733" i="1"/>
  <c r="J733" i="1" s="1"/>
  <c r="G734" i="1"/>
  <c r="I734" i="1" s="1"/>
  <c r="H734" i="1"/>
  <c r="G735" i="1"/>
  <c r="I735" i="1" s="1"/>
  <c r="H735" i="1"/>
  <c r="J735" i="1" s="1"/>
  <c r="G736" i="1"/>
  <c r="I736" i="1" s="1"/>
  <c r="H736" i="1"/>
  <c r="J736" i="1" s="1"/>
  <c r="G737" i="1"/>
  <c r="I737" i="1" s="1"/>
  <c r="H737" i="1"/>
  <c r="G738" i="1"/>
  <c r="I738" i="1" s="1"/>
  <c r="H738" i="1"/>
  <c r="J738" i="1" s="1"/>
  <c r="G739" i="1"/>
  <c r="I739" i="1" s="1"/>
  <c r="H739" i="1"/>
  <c r="J739" i="1" s="1"/>
  <c r="G740" i="1"/>
  <c r="I740" i="1" s="1"/>
  <c r="H740" i="1"/>
  <c r="J740" i="1" s="1"/>
  <c r="G741" i="1"/>
  <c r="I741" i="1" s="1"/>
  <c r="H741" i="1"/>
  <c r="J741" i="1" s="1"/>
  <c r="G742" i="1"/>
  <c r="I742" i="1" s="1"/>
  <c r="H742" i="1"/>
  <c r="J742" i="1" s="1"/>
  <c r="G743" i="1"/>
  <c r="I743" i="1" s="1"/>
  <c r="H743" i="1"/>
  <c r="G744" i="1"/>
  <c r="H744" i="1"/>
  <c r="J744" i="1" s="1"/>
  <c r="G745" i="1"/>
  <c r="I745" i="1" s="1"/>
  <c r="H745" i="1"/>
  <c r="J745" i="1" s="1"/>
  <c r="G746" i="1"/>
  <c r="H746" i="1"/>
  <c r="G747" i="1"/>
  <c r="I747" i="1" s="1"/>
  <c r="H747" i="1"/>
  <c r="J747" i="1" s="1"/>
  <c r="G748" i="1"/>
  <c r="I748" i="1" s="1"/>
  <c r="H748" i="1"/>
  <c r="J748" i="1" s="1"/>
  <c r="G749" i="1"/>
  <c r="I749" i="1" s="1"/>
  <c r="H749" i="1"/>
  <c r="G750" i="1"/>
  <c r="I750" i="1" s="1"/>
  <c r="H750" i="1"/>
  <c r="J750" i="1" s="1"/>
  <c r="G751" i="1"/>
  <c r="I751" i="1" s="1"/>
  <c r="H751" i="1"/>
  <c r="J751" i="1" s="1"/>
  <c r="G752" i="1"/>
  <c r="I752" i="1" s="1"/>
  <c r="H752" i="1"/>
  <c r="J752" i="1" s="1"/>
  <c r="G753" i="1"/>
  <c r="I753" i="1" s="1"/>
  <c r="H753" i="1"/>
  <c r="J753" i="1" s="1"/>
  <c r="G754" i="1"/>
  <c r="I754" i="1" s="1"/>
  <c r="H754" i="1"/>
  <c r="J754" i="1" s="1"/>
  <c r="G755" i="1"/>
  <c r="H755" i="1"/>
  <c r="G756" i="1"/>
  <c r="I756" i="1" s="1"/>
  <c r="H756" i="1"/>
  <c r="J756" i="1" s="1"/>
  <c r="G757" i="1"/>
  <c r="I757" i="1" s="1"/>
  <c r="H757" i="1"/>
  <c r="J757" i="1" s="1"/>
  <c r="G758" i="1"/>
  <c r="H758" i="1"/>
  <c r="G759" i="1"/>
  <c r="I759" i="1" s="1"/>
  <c r="H759" i="1"/>
  <c r="J759" i="1" s="1"/>
  <c r="G760" i="1"/>
  <c r="I760" i="1" s="1"/>
  <c r="H760" i="1"/>
  <c r="J760" i="1" s="1"/>
  <c r="G761" i="1"/>
  <c r="I761" i="1" s="1"/>
  <c r="H761" i="1"/>
  <c r="G762" i="1"/>
  <c r="I762" i="1" s="1"/>
  <c r="H762" i="1"/>
  <c r="J762" i="1" s="1"/>
  <c r="G763" i="1"/>
  <c r="I763" i="1" s="1"/>
  <c r="H763" i="1"/>
  <c r="J763" i="1" s="1"/>
  <c r="G764" i="1"/>
  <c r="I764" i="1" s="1"/>
  <c r="H764" i="1"/>
  <c r="J764" i="1" s="1"/>
  <c r="G765" i="1"/>
  <c r="I765" i="1" s="1"/>
  <c r="H765" i="1"/>
  <c r="J765" i="1" s="1"/>
  <c r="G766" i="1"/>
  <c r="I766" i="1" s="1"/>
  <c r="H766" i="1"/>
  <c r="J766" i="1" s="1"/>
  <c r="G767" i="1"/>
  <c r="H767" i="1"/>
  <c r="G768" i="1"/>
  <c r="I768" i="1" s="1"/>
  <c r="H768" i="1"/>
  <c r="J768" i="1" s="1"/>
  <c r="G769" i="1"/>
  <c r="I769" i="1" s="1"/>
  <c r="H769" i="1"/>
  <c r="J769" i="1" s="1"/>
  <c r="G770" i="1"/>
  <c r="H770" i="1"/>
  <c r="G771" i="1"/>
  <c r="H771" i="1"/>
  <c r="J771" i="1" s="1"/>
  <c r="G772" i="1"/>
  <c r="I772" i="1" s="1"/>
  <c r="H772" i="1"/>
  <c r="J772" i="1" s="1"/>
  <c r="G773" i="1"/>
  <c r="I773" i="1" s="1"/>
  <c r="H773" i="1"/>
  <c r="G774" i="1"/>
  <c r="I774" i="1" s="1"/>
  <c r="H774" i="1"/>
  <c r="J774" i="1" s="1"/>
  <c r="G775" i="1"/>
  <c r="I775" i="1" s="1"/>
  <c r="H775" i="1"/>
  <c r="J775" i="1" s="1"/>
  <c r="G776" i="1"/>
  <c r="H776" i="1"/>
  <c r="J776" i="1" s="1"/>
  <c r="G777" i="1"/>
  <c r="I777" i="1" s="1"/>
  <c r="H777" i="1"/>
  <c r="J777" i="1" s="1"/>
  <c r="G778" i="1"/>
  <c r="I778" i="1" s="1"/>
  <c r="H778" i="1"/>
  <c r="J778" i="1" s="1"/>
  <c r="G779" i="1"/>
  <c r="I779" i="1" s="1"/>
  <c r="H779" i="1"/>
  <c r="G780" i="1"/>
  <c r="I780" i="1" s="1"/>
  <c r="H780" i="1"/>
  <c r="J780" i="1" s="1"/>
  <c r="G781" i="1"/>
  <c r="I781" i="1" s="1"/>
  <c r="H781" i="1"/>
  <c r="J781" i="1" s="1"/>
  <c r="G782" i="1"/>
  <c r="I782" i="1" s="1"/>
  <c r="H782" i="1"/>
  <c r="G783" i="1"/>
  <c r="I783" i="1" s="1"/>
  <c r="H783" i="1"/>
  <c r="J783" i="1" s="1"/>
  <c r="G784" i="1"/>
  <c r="I784" i="1" s="1"/>
  <c r="H784" i="1"/>
  <c r="J784" i="1" s="1"/>
  <c r="G785" i="1"/>
  <c r="I785" i="1" s="1"/>
  <c r="H785" i="1"/>
  <c r="G786" i="1"/>
  <c r="I786" i="1" s="1"/>
  <c r="H786" i="1"/>
  <c r="J786" i="1" s="1"/>
  <c r="G787" i="1"/>
  <c r="I787" i="1" s="1"/>
  <c r="H787" i="1"/>
  <c r="J787" i="1" s="1"/>
  <c r="G788" i="1"/>
  <c r="H788" i="1"/>
  <c r="J788" i="1" s="1"/>
  <c r="G789" i="1"/>
  <c r="I789" i="1" s="1"/>
  <c r="H789" i="1"/>
  <c r="J789" i="1" s="1"/>
  <c r="G790" i="1"/>
  <c r="I790" i="1" s="1"/>
  <c r="H790" i="1"/>
  <c r="J790" i="1" s="1"/>
  <c r="G791" i="1"/>
  <c r="I791" i="1" s="1"/>
  <c r="H791" i="1"/>
  <c r="G792" i="1"/>
  <c r="I792" i="1" s="1"/>
  <c r="H792" i="1"/>
  <c r="J792" i="1" s="1"/>
  <c r="G793" i="1"/>
  <c r="I793" i="1" s="1"/>
  <c r="H793" i="1"/>
  <c r="J793" i="1" s="1"/>
  <c r="G794" i="1"/>
  <c r="I794" i="1" s="1"/>
  <c r="H794" i="1"/>
  <c r="G795" i="1"/>
  <c r="I795" i="1" s="1"/>
  <c r="H795" i="1"/>
  <c r="J795" i="1" s="1"/>
  <c r="G796" i="1"/>
  <c r="I796" i="1" s="1"/>
  <c r="H796" i="1"/>
  <c r="J796" i="1" s="1"/>
  <c r="G797" i="1"/>
  <c r="I797" i="1" s="1"/>
  <c r="H797" i="1"/>
  <c r="G798" i="1"/>
  <c r="I798" i="1" s="1"/>
  <c r="H798" i="1"/>
  <c r="J798" i="1" s="1"/>
  <c r="G799" i="1"/>
  <c r="I799" i="1" s="1"/>
  <c r="H799" i="1"/>
  <c r="J799" i="1" s="1"/>
  <c r="G800" i="1"/>
  <c r="H800" i="1"/>
  <c r="J800" i="1" s="1"/>
  <c r="G801" i="1"/>
  <c r="I801" i="1" s="1"/>
  <c r="H801" i="1"/>
  <c r="J801" i="1" s="1"/>
  <c r="G802" i="1"/>
  <c r="I802" i="1" s="1"/>
  <c r="H802" i="1"/>
  <c r="J802" i="1" s="1"/>
  <c r="G803" i="1"/>
  <c r="I803" i="1" s="1"/>
  <c r="H803" i="1"/>
  <c r="G804" i="1"/>
  <c r="I804" i="1" s="1"/>
  <c r="H804" i="1"/>
  <c r="J804" i="1" s="1"/>
  <c r="G805" i="1"/>
  <c r="I805" i="1" s="1"/>
  <c r="H805" i="1"/>
  <c r="J805" i="1" s="1"/>
  <c r="G806" i="1"/>
  <c r="I806" i="1" s="1"/>
  <c r="H806" i="1"/>
  <c r="G807" i="1"/>
  <c r="I807" i="1" s="1"/>
  <c r="H807" i="1"/>
  <c r="J807" i="1" s="1"/>
  <c r="G808" i="1"/>
  <c r="I808" i="1" s="1"/>
  <c r="H808" i="1"/>
  <c r="J808" i="1" s="1"/>
  <c r="G809" i="1"/>
  <c r="I809" i="1" s="1"/>
  <c r="H809" i="1"/>
  <c r="G810" i="1"/>
  <c r="I810" i="1" s="1"/>
  <c r="H810" i="1"/>
  <c r="J810" i="1" s="1"/>
  <c r="G811" i="1"/>
  <c r="I811" i="1" s="1"/>
  <c r="H811" i="1"/>
  <c r="J811" i="1" s="1"/>
  <c r="G812" i="1"/>
  <c r="H812" i="1"/>
  <c r="J812" i="1" s="1"/>
  <c r="G813" i="1"/>
  <c r="I813" i="1" s="1"/>
  <c r="H813" i="1"/>
  <c r="J813" i="1" s="1"/>
  <c r="G814" i="1"/>
  <c r="I814" i="1" s="1"/>
  <c r="H814" i="1"/>
  <c r="J814" i="1" s="1"/>
  <c r="G815" i="1"/>
  <c r="I815" i="1" s="1"/>
  <c r="H815" i="1"/>
  <c r="G816" i="1"/>
  <c r="H816" i="1"/>
  <c r="J816" i="1" s="1"/>
  <c r="G817" i="1"/>
  <c r="I817" i="1" s="1"/>
  <c r="H817" i="1"/>
  <c r="J817" i="1" s="1"/>
  <c r="G818" i="1"/>
  <c r="I818" i="1" s="1"/>
  <c r="H818" i="1"/>
  <c r="G819" i="1"/>
  <c r="I819" i="1" s="1"/>
  <c r="H819" i="1"/>
  <c r="J819" i="1" s="1"/>
  <c r="G820" i="1"/>
  <c r="I820" i="1" s="1"/>
  <c r="H820" i="1"/>
  <c r="J820" i="1" s="1"/>
  <c r="G821" i="1"/>
  <c r="I821" i="1" s="1"/>
  <c r="H821" i="1"/>
  <c r="G822" i="1"/>
  <c r="I822" i="1" s="1"/>
  <c r="H822" i="1"/>
  <c r="J822" i="1" s="1"/>
  <c r="G823" i="1"/>
  <c r="I823" i="1" s="1"/>
  <c r="H823" i="1"/>
  <c r="J823" i="1" s="1"/>
  <c r="G824" i="1"/>
  <c r="H824" i="1"/>
  <c r="J824" i="1" s="1"/>
  <c r="G825" i="1"/>
  <c r="I825" i="1" s="1"/>
  <c r="H825" i="1"/>
  <c r="J825" i="1" s="1"/>
  <c r="G826" i="1"/>
  <c r="I826" i="1" s="1"/>
  <c r="H826" i="1"/>
  <c r="J826" i="1" s="1"/>
  <c r="G827" i="1"/>
  <c r="I827" i="1" s="1"/>
  <c r="H827" i="1"/>
  <c r="G828" i="1"/>
  <c r="I828" i="1" s="1"/>
  <c r="H828" i="1"/>
  <c r="J828" i="1" s="1"/>
  <c r="G829" i="1"/>
  <c r="I829" i="1" s="1"/>
  <c r="H829" i="1"/>
  <c r="J829" i="1" s="1"/>
  <c r="G830" i="1"/>
  <c r="I830" i="1" s="1"/>
  <c r="H830" i="1"/>
  <c r="G831" i="1"/>
  <c r="I831" i="1" s="1"/>
  <c r="H831" i="1"/>
  <c r="J831" i="1" s="1"/>
  <c r="G832" i="1"/>
  <c r="I832" i="1" s="1"/>
  <c r="H832" i="1"/>
  <c r="J832" i="1" s="1"/>
  <c r="G833" i="1"/>
  <c r="I833" i="1" s="1"/>
  <c r="H833" i="1"/>
  <c r="G834" i="1"/>
  <c r="I834" i="1" s="1"/>
  <c r="H834" i="1"/>
  <c r="J834" i="1" s="1"/>
  <c r="G835" i="1"/>
  <c r="I835" i="1" s="1"/>
  <c r="H835" i="1"/>
  <c r="J835" i="1" s="1"/>
  <c r="G836" i="1"/>
  <c r="H836" i="1"/>
  <c r="J836" i="1" s="1"/>
  <c r="G837" i="1"/>
  <c r="I837" i="1" s="1"/>
  <c r="H837" i="1"/>
  <c r="J837" i="1" s="1"/>
  <c r="G838" i="1"/>
  <c r="I838" i="1" s="1"/>
  <c r="H838" i="1"/>
  <c r="J838" i="1" s="1"/>
  <c r="G839" i="1"/>
  <c r="I839" i="1" s="1"/>
  <c r="H839" i="1"/>
  <c r="G840" i="1"/>
  <c r="I840" i="1" s="1"/>
  <c r="H840" i="1"/>
  <c r="J840" i="1" s="1"/>
  <c r="G841" i="1"/>
  <c r="I841" i="1" s="1"/>
  <c r="H841" i="1"/>
  <c r="J841" i="1" s="1"/>
  <c r="G842" i="1"/>
  <c r="I842" i="1" s="1"/>
  <c r="H842" i="1"/>
  <c r="G843" i="1"/>
  <c r="I843" i="1" s="1"/>
  <c r="H843" i="1"/>
  <c r="J843" i="1" s="1"/>
  <c r="G844" i="1"/>
  <c r="I844" i="1" s="1"/>
  <c r="H844" i="1"/>
  <c r="J844" i="1" s="1"/>
  <c r="G845" i="1"/>
  <c r="I845" i="1" s="1"/>
  <c r="H845" i="1"/>
  <c r="G846" i="1"/>
  <c r="I846" i="1" s="1"/>
  <c r="H846" i="1"/>
  <c r="J846" i="1" s="1"/>
  <c r="G847" i="1"/>
  <c r="I847" i="1" s="1"/>
  <c r="H847" i="1"/>
  <c r="J847" i="1" s="1"/>
  <c r="G848" i="1"/>
  <c r="I848" i="1" s="1"/>
  <c r="H848" i="1"/>
  <c r="J848" i="1" s="1"/>
  <c r="G849" i="1"/>
  <c r="I849" i="1" s="1"/>
  <c r="H849" i="1"/>
  <c r="J849" i="1" s="1"/>
  <c r="G850" i="1"/>
  <c r="I850" i="1" s="1"/>
  <c r="H850" i="1"/>
  <c r="J850" i="1" s="1"/>
  <c r="G851" i="1"/>
  <c r="H851" i="1"/>
  <c r="G852" i="1"/>
  <c r="I852" i="1" s="1"/>
  <c r="H852" i="1"/>
  <c r="J852" i="1" s="1"/>
  <c r="G853" i="1"/>
  <c r="I853" i="1" s="1"/>
  <c r="H853" i="1"/>
  <c r="J853" i="1" s="1"/>
  <c r="G854" i="1"/>
  <c r="I854" i="1" s="1"/>
  <c r="H854" i="1"/>
  <c r="G855" i="1"/>
  <c r="I855" i="1" s="1"/>
  <c r="H855" i="1"/>
  <c r="J855" i="1" s="1"/>
  <c r="G856" i="1"/>
  <c r="I856" i="1" s="1"/>
  <c r="H856" i="1"/>
  <c r="J856" i="1" s="1"/>
  <c r="G857" i="1"/>
  <c r="I857" i="1" s="1"/>
  <c r="H857" i="1"/>
  <c r="G858" i="1"/>
  <c r="I858" i="1" s="1"/>
  <c r="H858" i="1"/>
  <c r="J858" i="1" s="1"/>
  <c r="G859" i="1"/>
  <c r="I859" i="1" s="1"/>
  <c r="H859" i="1"/>
  <c r="J859" i="1" s="1"/>
  <c r="G860" i="1"/>
  <c r="I860" i="1" s="1"/>
  <c r="H860" i="1"/>
  <c r="J860" i="1" s="1"/>
  <c r="G861" i="1"/>
  <c r="I861" i="1" s="1"/>
  <c r="H861" i="1"/>
  <c r="J861" i="1" s="1"/>
  <c r="G862" i="1"/>
  <c r="I862" i="1" s="1"/>
  <c r="H862" i="1"/>
  <c r="J862" i="1" s="1"/>
  <c r="G863" i="1"/>
  <c r="H863" i="1"/>
  <c r="G864" i="1"/>
  <c r="I864" i="1" s="1"/>
  <c r="H864" i="1"/>
  <c r="J864" i="1" s="1"/>
  <c r="G865" i="1"/>
  <c r="I865" i="1" s="1"/>
  <c r="H865" i="1"/>
  <c r="J865" i="1" s="1"/>
  <c r="G866" i="1"/>
  <c r="I866" i="1" s="1"/>
  <c r="H866" i="1"/>
  <c r="G867" i="1"/>
  <c r="I867" i="1" s="1"/>
  <c r="H867" i="1"/>
  <c r="J867" i="1" s="1"/>
  <c r="G868" i="1"/>
  <c r="I868" i="1" s="1"/>
  <c r="H868" i="1"/>
  <c r="J868" i="1" s="1"/>
  <c r="G869" i="1"/>
  <c r="I869" i="1" s="1"/>
  <c r="H869" i="1"/>
  <c r="G870" i="1"/>
  <c r="I870" i="1" s="1"/>
  <c r="H870" i="1"/>
  <c r="J870" i="1" s="1"/>
  <c r="G871" i="1"/>
  <c r="I871" i="1" s="1"/>
  <c r="H871" i="1"/>
  <c r="J871" i="1" s="1"/>
  <c r="G872" i="1"/>
  <c r="I872" i="1" s="1"/>
  <c r="H872" i="1"/>
  <c r="J872" i="1" s="1"/>
  <c r="G873" i="1"/>
  <c r="I873" i="1" s="1"/>
  <c r="H873" i="1"/>
  <c r="J873" i="1" s="1"/>
  <c r="G874" i="1"/>
  <c r="I874" i="1" s="1"/>
  <c r="H874" i="1"/>
  <c r="J874" i="1" s="1"/>
  <c r="G875" i="1"/>
  <c r="H875" i="1"/>
  <c r="G876" i="1"/>
  <c r="I876" i="1" s="1"/>
  <c r="H876" i="1"/>
  <c r="J876" i="1" s="1"/>
  <c r="G877" i="1"/>
  <c r="I877" i="1" s="1"/>
  <c r="H877" i="1"/>
  <c r="J877" i="1" s="1"/>
  <c r="G878" i="1"/>
  <c r="I878" i="1" s="1"/>
  <c r="H878" i="1"/>
  <c r="G879" i="1"/>
  <c r="I879" i="1" s="1"/>
  <c r="H879" i="1"/>
  <c r="J879" i="1" s="1"/>
  <c r="G880" i="1"/>
  <c r="I880" i="1" s="1"/>
  <c r="H880" i="1"/>
  <c r="J880" i="1" s="1"/>
  <c r="G881" i="1"/>
  <c r="I881" i="1" s="1"/>
  <c r="H881" i="1"/>
  <c r="G882" i="1"/>
  <c r="H882" i="1"/>
  <c r="J882" i="1" s="1"/>
  <c r="G883" i="1"/>
  <c r="I883" i="1" s="1"/>
  <c r="H883" i="1"/>
  <c r="J883" i="1" s="1"/>
  <c r="G884" i="1"/>
  <c r="I884" i="1" s="1"/>
  <c r="H884" i="1"/>
  <c r="J884" i="1" s="1"/>
  <c r="G885" i="1"/>
  <c r="I885" i="1" s="1"/>
  <c r="H885" i="1"/>
  <c r="J885" i="1" s="1"/>
  <c r="G886" i="1"/>
  <c r="I886" i="1" s="1"/>
  <c r="H886" i="1"/>
  <c r="J886" i="1" s="1"/>
  <c r="G887" i="1"/>
  <c r="I887" i="1" s="1"/>
  <c r="H887" i="1"/>
  <c r="G888" i="1"/>
  <c r="I888" i="1" s="1"/>
  <c r="H888" i="1"/>
  <c r="J888" i="1" s="1"/>
  <c r="G889" i="1"/>
  <c r="I889" i="1" s="1"/>
  <c r="H889" i="1"/>
  <c r="J889" i="1" s="1"/>
  <c r="G890" i="1"/>
  <c r="I890" i="1" s="1"/>
  <c r="H890" i="1"/>
  <c r="G891" i="1"/>
  <c r="I891" i="1" s="1"/>
  <c r="H891" i="1"/>
  <c r="J891" i="1" s="1"/>
  <c r="G892" i="1"/>
  <c r="I892" i="1" s="1"/>
  <c r="H892" i="1"/>
  <c r="J892" i="1" s="1"/>
  <c r="G893" i="1"/>
  <c r="I893" i="1" s="1"/>
  <c r="H893" i="1"/>
  <c r="G894" i="1"/>
  <c r="I894" i="1" s="1"/>
  <c r="H894" i="1"/>
  <c r="J894" i="1" s="1"/>
  <c r="G895" i="1"/>
  <c r="I895" i="1" s="1"/>
  <c r="H895" i="1"/>
  <c r="J895" i="1" s="1"/>
  <c r="G896" i="1"/>
  <c r="H896" i="1"/>
  <c r="J896" i="1" s="1"/>
  <c r="G897" i="1"/>
  <c r="I897" i="1" s="1"/>
  <c r="H897" i="1"/>
  <c r="J897" i="1" s="1"/>
  <c r="G898" i="1"/>
  <c r="I898" i="1" s="1"/>
  <c r="H898" i="1"/>
  <c r="J898" i="1" s="1"/>
  <c r="G899" i="1"/>
  <c r="I899" i="1" s="1"/>
  <c r="H899" i="1"/>
  <c r="G900" i="1"/>
  <c r="I900" i="1" s="1"/>
  <c r="H900" i="1"/>
  <c r="J900" i="1" s="1"/>
  <c r="G901" i="1"/>
  <c r="I901" i="1" s="1"/>
  <c r="H901" i="1"/>
  <c r="J901" i="1" s="1"/>
  <c r="G902" i="1"/>
  <c r="I902" i="1" s="1"/>
  <c r="H902" i="1"/>
  <c r="G903" i="1"/>
  <c r="I903" i="1" s="1"/>
  <c r="H903" i="1"/>
  <c r="J903" i="1" s="1"/>
  <c r="G904" i="1"/>
  <c r="I904" i="1" s="1"/>
  <c r="H904" i="1"/>
  <c r="J904" i="1" s="1"/>
  <c r="G905" i="1"/>
  <c r="I905" i="1" s="1"/>
  <c r="H905" i="1"/>
  <c r="G906" i="1"/>
  <c r="I906" i="1" s="1"/>
  <c r="H906" i="1"/>
  <c r="J906" i="1" s="1"/>
  <c r="G907" i="1"/>
  <c r="I907" i="1" s="1"/>
  <c r="H907" i="1"/>
  <c r="J907" i="1" s="1"/>
  <c r="G908" i="1"/>
  <c r="I908" i="1" s="1"/>
  <c r="H908" i="1"/>
  <c r="J908" i="1" s="1"/>
  <c r="G909" i="1"/>
  <c r="I909" i="1" s="1"/>
  <c r="H909" i="1"/>
  <c r="J909" i="1" s="1"/>
  <c r="G910" i="1"/>
  <c r="I910" i="1" s="1"/>
  <c r="H910" i="1"/>
  <c r="J910" i="1" s="1"/>
  <c r="G911" i="1"/>
  <c r="I911" i="1" s="1"/>
  <c r="H911" i="1"/>
  <c r="G912" i="1"/>
  <c r="I912" i="1" s="1"/>
  <c r="H912" i="1"/>
  <c r="J912" i="1" s="1"/>
  <c r="G913" i="1"/>
  <c r="I913" i="1" s="1"/>
  <c r="H913" i="1"/>
  <c r="J913" i="1" s="1"/>
  <c r="G914" i="1"/>
  <c r="I914" i="1" s="1"/>
  <c r="H914" i="1"/>
  <c r="G915" i="1"/>
  <c r="I915" i="1" s="1"/>
  <c r="H915" i="1"/>
  <c r="J915" i="1" s="1"/>
  <c r="G916" i="1"/>
  <c r="I916" i="1" s="1"/>
  <c r="H916" i="1"/>
  <c r="J916" i="1" s="1"/>
  <c r="G917" i="1"/>
  <c r="I917" i="1" s="1"/>
  <c r="H917" i="1"/>
  <c r="G918" i="1"/>
  <c r="I918" i="1" s="1"/>
  <c r="H918" i="1"/>
  <c r="J918" i="1" s="1"/>
  <c r="G919" i="1"/>
  <c r="I919" i="1" s="1"/>
  <c r="H919" i="1"/>
  <c r="J919" i="1" s="1"/>
  <c r="G920" i="1"/>
  <c r="I920" i="1" s="1"/>
  <c r="H920" i="1"/>
  <c r="J920" i="1" s="1"/>
  <c r="G921" i="1"/>
  <c r="I921" i="1" s="1"/>
  <c r="H921" i="1"/>
  <c r="J921" i="1" s="1"/>
  <c r="G922" i="1"/>
  <c r="I922" i="1" s="1"/>
  <c r="H922" i="1"/>
  <c r="J922" i="1" s="1"/>
  <c r="G923" i="1"/>
  <c r="H923" i="1"/>
  <c r="G924" i="1"/>
  <c r="I924" i="1" s="1"/>
  <c r="H924" i="1"/>
  <c r="J924" i="1" s="1"/>
  <c r="G925" i="1"/>
  <c r="I925" i="1" s="1"/>
  <c r="H925" i="1"/>
  <c r="J925" i="1" s="1"/>
  <c r="G926" i="1"/>
  <c r="I926" i="1" s="1"/>
  <c r="H926" i="1"/>
  <c r="G927" i="1"/>
  <c r="I927" i="1" s="1"/>
  <c r="H927" i="1"/>
  <c r="J927" i="1" s="1"/>
  <c r="G928" i="1"/>
  <c r="I928" i="1" s="1"/>
  <c r="H928" i="1"/>
  <c r="J928" i="1" s="1"/>
  <c r="G929" i="1"/>
  <c r="I929" i="1" s="1"/>
  <c r="H929" i="1"/>
  <c r="G930" i="1"/>
  <c r="I930" i="1" s="1"/>
  <c r="H930" i="1"/>
  <c r="J930" i="1" s="1"/>
  <c r="G931" i="1"/>
  <c r="I931" i="1" s="1"/>
  <c r="H931" i="1"/>
  <c r="J931" i="1" s="1"/>
  <c r="G932" i="1"/>
  <c r="I932" i="1" s="1"/>
  <c r="H932" i="1"/>
  <c r="J932" i="1" s="1"/>
  <c r="G933" i="1"/>
  <c r="I933" i="1" s="1"/>
  <c r="H933" i="1"/>
  <c r="J933" i="1" s="1"/>
  <c r="G934" i="1"/>
  <c r="I934" i="1" s="1"/>
  <c r="H934" i="1"/>
  <c r="J934" i="1" s="1"/>
  <c r="G935" i="1"/>
  <c r="H935" i="1"/>
  <c r="G936" i="1"/>
  <c r="I936" i="1" s="1"/>
  <c r="H936" i="1"/>
  <c r="J936" i="1" s="1"/>
  <c r="G937" i="1"/>
  <c r="I937" i="1" s="1"/>
  <c r="H937" i="1"/>
  <c r="J937" i="1" s="1"/>
  <c r="G938" i="1"/>
  <c r="I938" i="1" s="1"/>
  <c r="H938" i="1"/>
  <c r="G939" i="1"/>
  <c r="I939" i="1" s="1"/>
  <c r="H939" i="1"/>
  <c r="J939" i="1" s="1"/>
  <c r="G940" i="1"/>
  <c r="I940" i="1" s="1"/>
  <c r="H940" i="1"/>
  <c r="J940" i="1" s="1"/>
  <c r="G941" i="1"/>
  <c r="I941" i="1" s="1"/>
  <c r="H941" i="1"/>
  <c r="G942" i="1"/>
  <c r="I942" i="1" s="1"/>
  <c r="H942" i="1"/>
  <c r="J942" i="1" s="1"/>
  <c r="G943" i="1"/>
  <c r="I943" i="1" s="1"/>
  <c r="H943" i="1"/>
  <c r="J943" i="1" s="1"/>
  <c r="G944" i="1"/>
  <c r="I944" i="1" s="1"/>
  <c r="H944" i="1"/>
  <c r="G945" i="1"/>
  <c r="I945" i="1" s="1"/>
  <c r="H945" i="1"/>
  <c r="J945" i="1" s="1"/>
  <c r="G946" i="1"/>
  <c r="I946" i="1" s="1"/>
  <c r="H946" i="1"/>
  <c r="J946" i="1" s="1"/>
  <c r="G947" i="1"/>
  <c r="I947" i="1" s="1"/>
  <c r="H947" i="1"/>
  <c r="G948" i="1"/>
  <c r="I948" i="1" s="1"/>
  <c r="H948" i="1"/>
  <c r="J948" i="1" s="1"/>
  <c r="G949" i="1"/>
  <c r="I949" i="1" s="1"/>
  <c r="H949" i="1"/>
  <c r="J949" i="1" s="1"/>
  <c r="G950" i="1"/>
  <c r="I950" i="1" s="1"/>
  <c r="H950" i="1"/>
  <c r="G951" i="1"/>
  <c r="I951" i="1" s="1"/>
  <c r="H951" i="1"/>
  <c r="J951" i="1" s="1"/>
  <c r="G952" i="1"/>
  <c r="I952" i="1" s="1"/>
  <c r="H952" i="1"/>
  <c r="J952" i="1" s="1"/>
  <c r="G953" i="1"/>
  <c r="I953" i="1" s="1"/>
  <c r="H953" i="1"/>
  <c r="G954" i="1"/>
  <c r="I954" i="1" s="1"/>
  <c r="H954" i="1"/>
  <c r="J954" i="1" s="1"/>
  <c r="G955" i="1"/>
  <c r="I955" i="1" s="1"/>
  <c r="H955" i="1"/>
  <c r="J955" i="1" s="1"/>
  <c r="G956" i="1"/>
  <c r="H956" i="1"/>
  <c r="J956" i="1" s="1"/>
  <c r="G957" i="1"/>
  <c r="I957" i="1" s="1"/>
  <c r="H957" i="1"/>
  <c r="J957" i="1" s="1"/>
  <c r="G958" i="1"/>
  <c r="I958" i="1" s="1"/>
  <c r="H958" i="1"/>
  <c r="J958" i="1" s="1"/>
  <c r="G959" i="1"/>
  <c r="I959" i="1" s="1"/>
  <c r="H959" i="1"/>
  <c r="G960" i="1"/>
  <c r="I960" i="1" s="1"/>
  <c r="H960" i="1"/>
  <c r="J960" i="1" s="1"/>
  <c r="G961" i="1"/>
  <c r="I961" i="1" s="1"/>
  <c r="H961" i="1"/>
  <c r="J961" i="1" s="1"/>
  <c r="G962" i="1"/>
  <c r="I962" i="1" s="1"/>
  <c r="H962" i="1"/>
  <c r="G963" i="1"/>
  <c r="I963" i="1" s="1"/>
  <c r="H963" i="1"/>
  <c r="J963" i="1" s="1"/>
  <c r="G964" i="1"/>
  <c r="I964" i="1" s="1"/>
  <c r="H964" i="1"/>
  <c r="J964" i="1" s="1"/>
  <c r="G965" i="1"/>
  <c r="I965" i="1" s="1"/>
  <c r="H965" i="1"/>
  <c r="G966" i="1"/>
  <c r="I966" i="1" s="1"/>
  <c r="H966" i="1"/>
  <c r="J966" i="1" s="1"/>
  <c r="G967" i="1"/>
  <c r="I967" i="1" s="1"/>
  <c r="H967" i="1"/>
  <c r="J967" i="1" s="1"/>
  <c r="G968" i="1"/>
  <c r="I968" i="1" s="1"/>
  <c r="H968" i="1"/>
  <c r="J968" i="1" s="1"/>
  <c r="G969" i="1"/>
  <c r="I969" i="1" s="1"/>
  <c r="H969" i="1"/>
  <c r="J969" i="1" s="1"/>
  <c r="G970" i="1"/>
  <c r="I970" i="1" s="1"/>
  <c r="H970" i="1"/>
  <c r="J970" i="1" s="1"/>
  <c r="G971" i="1"/>
  <c r="I971" i="1" s="1"/>
  <c r="H971" i="1"/>
  <c r="G972" i="1"/>
  <c r="I972" i="1" s="1"/>
  <c r="H972" i="1"/>
  <c r="J972" i="1" s="1"/>
  <c r="G973" i="1"/>
  <c r="I973" i="1" s="1"/>
  <c r="H973" i="1"/>
  <c r="J973" i="1" s="1"/>
  <c r="G974" i="1"/>
  <c r="H974" i="1"/>
  <c r="G975" i="1"/>
  <c r="I975" i="1" s="1"/>
  <c r="H975" i="1"/>
  <c r="J975" i="1" s="1"/>
  <c r="G976" i="1"/>
  <c r="I976" i="1" s="1"/>
  <c r="H976" i="1"/>
  <c r="J976" i="1" s="1"/>
  <c r="G977" i="1"/>
  <c r="I977" i="1" s="1"/>
  <c r="H977" i="1"/>
  <c r="G978" i="1"/>
  <c r="I978" i="1" s="1"/>
  <c r="H978" i="1"/>
  <c r="J978" i="1" s="1"/>
  <c r="G979" i="1"/>
  <c r="I979" i="1" s="1"/>
  <c r="H979" i="1"/>
  <c r="J979" i="1" s="1"/>
  <c r="G980" i="1"/>
  <c r="I980" i="1" s="1"/>
  <c r="H980" i="1"/>
  <c r="J980" i="1" s="1"/>
  <c r="G981" i="1"/>
  <c r="I981" i="1" s="1"/>
  <c r="H981" i="1"/>
  <c r="J981" i="1" s="1"/>
  <c r="G982" i="1"/>
  <c r="I982" i="1" s="1"/>
  <c r="H982" i="1"/>
  <c r="J982" i="1" s="1"/>
  <c r="G983" i="1"/>
  <c r="I983" i="1" s="1"/>
  <c r="H983" i="1"/>
  <c r="G984" i="1"/>
  <c r="I984" i="1" s="1"/>
  <c r="H984" i="1"/>
  <c r="J984" i="1" s="1"/>
  <c r="G985" i="1"/>
  <c r="I985" i="1" s="1"/>
  <c r="H985" i="1"/>
  <c r="J985" i="1" s="1"/>
  <c r="G986" i="1"/>
  <c r="I986" i="1" s="1"/>
  <c r="H986" i="1"/>
  <c r="G987" i="1"/>
  <c r="I987" i="1" s="1"/>
  <c r="H987" i="1"/>
  <c r="J987" i="1" s="1"/>
  <c r="G988" i="1"/>
  <c r="I988" i="1" s="1"/>
  <c r="H988" i="1"/>
  <c r="J988" i="1" s="1"/>
  <c r="G989" i="1"/>
  <c r="I989" i="1" s="1"/>
  <c r="H989" i="1"/>
  <c r="G990" i="1"/>
  <c r="I990" i="1" s="1"/>
  <c r="H990" i="1"/>
  <c r="J990" i="1" s="1"/>
  <c r="G991" i="1"/>
  <c r="I991" i="1" s="1"/>
  <c r="H991" i="1"/>
  <c r="J991" i="1" s="1"/>
  <c r="G992" i="1"/>
  <c r="H992" i="1"/>
  <c r="J992" i="1" s="1"/>
  <c r="G993" i="1"/>
  <c r="I993" i="1" s="1"/>
  <c r="H993" i="1"/>
  <c r="J993" i="1" s="1"/>
  <c r="G994" i="1"/>
  <c r="I994" i="1" s="1"/>
  <c r="H994" i="1"/>
  <c r="J994" i="1" s="1"/>
  <c r="G995" i="1"/>
  <c r="I995" i="1" s="1"/>
  <c r="H995" i="1"/>
  <c r="G996" i="1"/>
  <c r="I996" i="1" s="1"/>
  <c r="H996" i="1"/>
  <c r="J996" i="1" s="1"/>
  <c r="G997" i="1"/>
  <c r="I997" i="1" s="1"/>
  <c r="H997" i="1"/>
  <c r="J997" i="1" s="1"/>
  <c r="G998" i="1"/>
  <c r="I998" i="1" s="1"/>
  <c r="H998" i="1"/>
  <c r="G999" i="1"/>
  <c r="I999" i="1" s="1"/>
  <c r="H999" i="1"/>
  <c r="J999" i="1" s="1"/>
  <c r="G1000" i="1"/>
  <c r="I1000" i="1" s="1"/>
  <c r="H1000" i="1"/>
  <c r="J1000" i="1" s="1"/>
  <c r="G1001" i="1"/>
  <c r="I1001" i="1" s="1"/>
  <c r="H1001" i="1"/>
  <c r="G1002" i="1"/>
  <c r="I1002" i="1" s="1"/>
  <c r="H1002" i="1"/>
  <c r="J1002" i="1" s="1"/>
  <c r="G1003" i="1"/>
  <c r="I1003" i="1" s="1"/>
  <c r="H1003" i="1"/>
  <c r="J1003" i="1" s="1"/>
  <c r="G1004" i="1"/>
  <c r="I1004" i="1" s="1"/>
  <c r="H1004" i="1"/>
  <c r="J1004" i="1" s="1"/>
  <c r="G1005" i="1"/>
  <c r="I1005" i="1" s="1"/>
  <c r="H1005" i="1"/>
  <c r="G1006" i="1"/>
  <c r="I1006" i="1" s="1"/>
  <c r="H1006" i="1"/>
  <c r="J1006" i="1" s="1"/>
  <c r="G1007" i="1"/>
  <c r="I1007" i="1" s="1"/>
  <c r="H1007" i="1"/>
  <c r="G1008" i="1"/>
  <c r="I1008" i="1" s="1"/>
  <c r="H1008" i="1"/>
  <c r="J1008" i="1" s="1"/>
  <c r="G1009" i="1"/>
  <c r="I1009" i="1" s="1"/>
  <c r="H1009" i="1"/>
  <c r="J1009" i="1" s="1"/>
  <c r="G1010" i="1"/>
  <c r="I1010" i="1" s="1"/>
  <c r="H1010" i="1"/>
  <c r="G1011" i="1"/>
  <c r="I1011" i="1" s="1"/>
  <c r="H1011" i="1"/>
  <c r="J1011" i="1" s="1"/>
  <c r="G1012" i="1"/>
  <c r="I1012" i="1" s="1"/>
  <c r="H1012" i="1"/>
  <c r="J1012" i="1" s="1"/>
  <c r="G1013" i="1"/>
  <c r="I1013" i="1" s="1"/>
  <c r="H1013" i="1"/>
  <c r="G1014" i="1"/>
  <c r="I1014" i="1" s="1"/>
  <c r="H1014" i="1"/>
  <c r="J1014" i="1" s="1"/>
  <c r="G1015" i="1"/>
  <c r="I1015" i="1" s="1"/>
  <c r="H1015" i="1"/>
  <c r="J1015" i="1" s="1"/>
  <c r="G1016" i="1"/>
  <c r="I1016" i="1" s="1"/>
  <c r="H1016" i="1"/>
  <c r="J1016" i="1" s="1"/>
  <c r="G1017" i="1"/>
  <c r="I1017" i="1" s="1"/>
  <c r="H1017" i="1"/>
  <c r="J1017" i="1" s="1"/>
  <c r="G1018" i="1"/>
  <c r="I1018" i="1" s="1"/>
  <c r="H1018" i="1"/>
  <c r="J1018" i="1" s="1"/>
  <c r="G1019" i="1"/>
  <c r="I1019" i="1" s="1"/>
  <c r="H1019" i="1"/>
  <c r="G1020" i="1"/>
  <c r="I1020" i="1" s="1"/>
  <c r="H1020" i="1"/>
  <c r="J1020" i="1" s="1"/>
  <c r="G1021" i="1"/>
  <c r="I1021" i="1" s="1"/>
  <c r="H1021" i="1"/>
  <c r="J1021" i="1" s="1"/>
  <c r="G1022" i="1"/>
  <c r="I1022" i="1" s="1"/>
  <c r="H1022" i="1"/>
  <c r="G1023" i="1"/>
  <c r="I1023" i="1" s="1"/>
  <c r="H1023" i="1"/>
  <c r="J1023" i="1" s="1"/>
  <c r="G1024" i="1"/>
  <c r="I1024" i="1" s="1"/>
  <c r="H1024" i="1"/>
  <c r="J1024" i="1" s="1"/>
  <c r="G1025" i="1"/>
  <c r="I1025" i="1" s="1"/>
  <c r="H1025" i="1"/>
  <c r="H25" i="1"/>
  <c r="J25" i="1" s="1"/>
  <c r="G25" i="1"/>
  <c r="I25" i="1" s="1"/>
  <c r="I26" i="1"/>
  <c r="J26" i="1"/>
  <c r="I27" i="1"/>
  <c r="J27" i="1"/>
  <c r="J29" i="1"/>
  <c r="I30" i="1"/>
  <c r="J30" i="1"/>
  <c r="J31" i="1"/>
  <c r="I32" i="1"/>
  <c r="J33" i="1"/>
  <c r="J34" i="1"/>
  <c r="I35" i="1"/>
  <c r="J35" i="1"/>
  <c r="I36" i="1"/>
  <c r="J37" i="1"/>
  <c r="I38" i="1"/>
  <c r="J38" i="1"/>
  <c r="I39" i="1"/>
  <c r="J39" i="1"/>
  <c r="J41" i="1"/>
  <c r="I42" i="1"/>
  <c r="J42" i="1"/>
  <c r="J43" i="1"/>
  <c r="I44" i="1"/>
  <c r="J45" i="1"/>
  <c r="J46" i="1"/>
  <c r="I47" i="1"/>
  <c r="J47" i="1"/>
  <c r="I48" i="1"/>
  <c r="J49" i="1"/>
  <c r="I50" i="1"/>
  <c r="J50" i="1"/>
  <c r="I51" i="1"/>
  <c r="J51" i="1"/>
  <c r="J53" i="1"/>
  <c r="I54" i="1"/>
  <c r="J54" i="1"/>
  <c r="J55" i="1"/>
  <c r="I56" i="1"/>
  <c r="J57" i="1"/>
  <c r="J58" i="1"/>
  <c r="I59" i="1"/>
  <c r="J59" i="1"/>
  <c r="I60" i="1"/>
  <c r="J61" i="1"/>
  <c r="I62" i="1"/>
  <c r="J62" i="1"/>
  <c r="I63" i="1"/>
  <c r="J63" i="1"/>
  <c r="J65" i="1"/>
  <c r="I66" i="1"/>
  <c r="J66" i="1"/>
  <c r="J67" i="1"/>
  <c r="I68" i="1"/>
  <c r="J69" i="1"/>
  <c r="J70" i="1"/>
  <c r="I71" i="1"/>
  <c r="J71" i="1"/>
  <c r="I72" i="1"/>
  <c r="J73" i="1"/>
  <c r="I74" i="1"/>
  <c r="J74" i="1"/>
  <c r="I75" i="1"/>
  <c r="J75" i="1"/>
  <c r="J77" i="1"/>
  <c r="I78" i="1"/>
  <c r="J78" i="1"/>
  <c r="J79" i="1"/>
  <c r="I80" i="1"/>
  <c r="J81" i="1"/>
  <c r="J82" i="1"/>
  <c r="I83" i="1"/>
  <c r="J83" i="1"/>
  <c r="I84" i="1"/>
  <c r="J85" i="1"/>
  <c r="I86" i="1"/>
  <c r="J86" i="1"/>
  <c r="I87" i="1"/>
  <c r="J87" i="1"/>
  <c r="J89" i="1"/>
  <c r="I90" i="1"/>
  <c r="J90" i="1"/>
  <c r="J91" i="1"/>
  <c r="I92" i="1"/>
  <c r="J93" i="1"/>
  <c r="J94" i="1"/>
  <c r="I95" i="1"/>
  <c r="J95" i="1"/>
  <c r="I96" i="1"/>
  <c r="J97" i="1"/>
  <c r="I98" i="1"/>
  <c r="J98" i="1"/>
  <c r="I99" i="1"/>
  <c r="J99" i="1"/>
  <c r="J101" i="1"/>
  <c r="I102" i="1"/>
  <c r="J102" i="1"/>
  <c r="I104" i="1"/>
  <c r="J105" i="1"/>
  <c r="I107" i="1"/>
  <c r="J107" i="1"/>
  <c r="I108" i="1"/>
  <c r="I110" i="1"/>
  <c r="J110" i="1"/>
  <c r="I111" i="1"/>
  <c r="J111" i="1"/>
  <c r="J113" i="1"/>
  <c r="I114" i="1"/>
  <c r="J114" i="1"/>
  <c r="I116" i="1"/>
  <c r="J117" i="1"/>
  <c r="I119" i="1"/>
  <c r="J119" i="1"/>
  <c r="I120" i="1"/>
  <c r="J121" i="1"/>
  <c r="I122" i="1"/>
  <c r="J122" i="1"/>
  <c r="J123" i="1"/>
  <c r="J125" i="1"/>
  <c r="I126" i="1"/>
  <c r="J126" i="1"/>
  <c r="I128" i="1"/>
  <c r="J129" i="1"/>
  <c r="J130" i="1"/>
  <c r="I131" i="1"/>
  <c r="J131" i="1"/>
  <c r="I132" i="1"/>
  <c r="I134" i="1"/>
  <c r="J134" i="1"/>
  <c r="I135" i="1"/>
  <c r="J135" i="1"/>
  <c r="J137" i="1"/>
  <c r="I138" i="1"/>
  <c r="J138" i="1"/>
  <c r="J139" i="1"/>
  <c r="I140" i="1"/>
  <c r="J141" i="1"/>
  <c r="I143" i="1"/>
  <c r="J143" i="1"/>
  <c r="I144" i="1"/>
  <c r="I146" i="1"/>
  <c r="J146" i="1"/>
  <c r="I147" i="1"/>
  <c r="J147" i="1"/>
  <c r="J148" i="1"/>
  <c r="J149" i="1"/>
  <c r="J150" i="1"/>
  <c r="I152" i="1"/>
  <c r="J153" i="1"/>
  <c r="I155" i="1"/>
  <c r="J155" i="1"/>
  <c r="I158" i="1"/>
  <c r="J158" i="1"/>
  <c r="I159" i="1"/>
  <c r="J159" i="1"/>
  <c r="J161" i="1"/>
  <c r="J162" i="1"/>
  <c r="I164" i="1"/>
  <c r="J165" i="1"/>
  <c r="I167" i="1"/>
  <c r="J167" i="1"/>
  <c r="J168" i="1"/>
  <c r="I170" i="1"/>
  <c r="J170" i="1"/>
  <c r="I171" i="1"/>
  <c r="J171" i="1"/>
  <c r="J173" i="1"/>
  <c r="I174" i="1"/>
  <c r="J174" i="1"/>
  <c r="I176" i="1"/>
  <c r="J177" i="1"/>
  <c r="I179" i="1"/>
  <c r="J179" i="1"/>
  <c r="I180" i="1"/>
  <c r="J181" i="1"/>
  <c r="I182" i="1"/>
  <c r="J182" i="1"/>
  <c r="I183" i="1"/>
  <c r="J183" i="1"/>
  <c r="J185" i="1"/>
  <c r="I186" i="1"/>
  <c r="J186" i="1"/>
  <c r="I188" i="1"/>
  <c r="J189" i="1"/>
  <c r="I191" i="1"/>
  <c r="J191" i="1"/>
  <c r="I192" i="1"/>
  <c r="I194" i="1"/>
  <c r="J194" i="1"/>
  <c r="I195" i="1"/>
  <c r="J195" i="1"/>
  <c r="J197" i="1"/>
  <c r="I198" i="1"/>
  <c r="J198" i="1"/>
  <c r="J199" i="1"/>
  <c r="I200" i="1"/>
  <c r="J201" i="1"/>
  <c r="I203" i="1"/>
  <c r="J203" i="1"/>
  <c r="I204" i="1"/>
  <c r="I206" i="1"/>
  <c r="J206" i="1"/>
  <c r="J207" i="1"/>
  <c r="J209" i="1"/>
  <c r="I210" i="1"/>
  <c r="J210" i="1"/>
  <c r="I212" i="1"/>
  <c r="J213" i="1"/>
  <c r="J214" i="1"/>
  <c r="I215" i="1"/>
  <c r="J215" i="1"/>
  <c r="I218" i="1"/>
  <c r="J218" i="1"/>
  <c r="J219" i="1"/>
  <c r="J221" i="1"/>
  <c r="I222" i="1"/>
  <c r="J222" i="1"/>
  <c r="I224" i="1"/>
  <c r="J225" i="1"/>
  <c r="I227" i="1"/>
  <c r="J227" i="1"/>
  <c r="I228" i="1"/>
  <c r="I230" i="1"/>
  <c r="J230" i="1"/>
  <c r="J233" i="1"/>
  <c r="I234" i="1"/>
  <c r="I236" i="1"/>
  <c r="I239" i="1"/>
  <c r="J239" i="1"/>
  <c r="J241" i="1"/>
  <c r="I242" i="1"/>
  <c r="J242" i="1"/>
  <c r="J245" i="1"/>
  <c r="I248" i="1"/>
  <c r="I251" i="1"/>
  <c r="J251" i="1"/>
  <c r="I254" i="1"/>
  <c r="J254" i="1"/>
  <c r="I255" i="1"/>
  <c r="J257" i="1"/>
  <c r="I260" i="1"/>
  <c r="I263" i="1"/>
  <c r="J263" i="1"/>
  <c r="I264" i="1"/>
  <c r="I266" i="1"/>
  <c r="J266" i="1"/>
  <c r="I267" i="1"/>
  <c r="J269" i="1"/>
  <c r="I270" i="1"/>
  <c r="I272" i="1"/>
  <c r="I275" i="1"/>
  <c r="J275" i="1"/>
  <c r="I276" i="1"/>
  <c r="I278" i="1"/>
  <c r="J278" i="1"/>
  <c r="J281" i="1"/>
  <c r="I282" i="1"/>
  <c r="I284" i="1"/>
  <c r="I287" i="1"/>
  <c r="J287" i="1"/>
  <c r="I290" i="1"/>
  <c r="J290" i="1"/>
  <c r="I291" i="1"/>
  <c r="J293" i="1"/>
  <c r="I294" i="1"/>
  <c r="I296" i="1"/>
  <c r="I299" i="1"/>
  <c r="J299" i="1"/>
  <c r="I300" i="1"/>
  <c r="I302" i="1"/>
  <c r="J302" i="1"/>
  <c r="J305" i="1"/>
  <c r="I306" i="1"/>
  <c r="I308" i="1"/>
  <c r="I311" i="1"/>
  <c r="J311" i="1"/>
  <c r="I314" i="1"/>
  <c r="J314" i="1"/>
  <c r="I315" i="1"/>
  <c r="J317" i="1"/>
  <c r="I320" i="1"/>
  <c r="I323" i="1"/>
  <c r="J323" i="1"/>
  <c r="I324" i="1"/>
  <c r="I326" i="1"/>
  <c r="J326" i="1"/>
  <c r="J329" i="1"/>
  <c r="I330" i="1"/>
  <c r="I332" i="1"/>
  <c r="I335" i="1"/>
  <c r="J335" i="1"/>
  <c r="I336" i="1"/>
  <c r="I338" i="1"/>
  <c r="J338" i="1"/>
  <c r="J341" i="1"/>
  <c r="I344" i="1"/>
  <c r="I347" i="1"/>
  <c r="J347" i="1"/>
  <c r="J349" i="1"/>
  <c r="I350" i="1"/>
  <c r="J350" i="1"/>
  <c r="I351" i="1"/>
  <c r="J353" i="1"/>
  <c r="I356" i="1"/>
  <c r="I359" i="1"/>
  <c r="J359" i="1"/>
  <c r="I362" i="1"/>
  <c r="J362" i="1"/>
  <c r="J365" i="1"/>
  <c r="I366" i="1"/>
  <c r="I368" i="1"/>
  <c r="I371" i="1"/>
  <c r="J371" i="1"/>
  <c r="I372" i="1"/>
  <c r="I374" i="1"/>
  <c r="J374" i="1"/>
  <c r="J377" i="1"/>
  <c r="I380" i="1"/>
  <c r="I383" i="1"/>
  <c r="J383" i="1"/>
  <c r="I386" i="1"/>
  <c r="J386" i="1"/>
  <c r="J389" i="1"/>
  <c r="I392" i="1"/>
  <c r="I395" i="1"/>
  <c r="J395" i="1"/>
  <c r="I396" i="1"/>
  <c r="I398" i="1"/>
  <c r="J398" i="1"/>
  <c r="J401" i="1"/>
  <c r="I402" i="1"/>
  <c r="I404" i="1"/>
  <c r="I407" i="1"/>
  <c r="J407" i="1"/>
  <c r="I410" i="1"/>
  <c r="J410" i="1"/>
  <c r="I411" i="1"/>
  <c r="J413" i="1"/>
  <c r="I416" i="1"/>
  <c r="I419" i="1"/>
  <c r="J419" i="1"/>
  <c r="I420" i="1"/>
  <c r="I422" i="1"/>
  <c r="J422" i="1"/>
  <c r="J425" i="1"/>
  <c r="I428" i="1"/>
  <c r="I431" i="1"/>
  <c r="J431" i="1"/>
  <c r="I434" i="1"/>
  <c r="J434" i="1"/>
  <c r="J437" i="1"/>
  <c r="I440" i="1"/>
  <c r="I443" i="1"/>
  <c r="J443" i="1"/>
  <c r="I444" i="1"/>
  <c r="I446" i="1"/>
  <c r="J446" i="1"/>
  <c r="J449" i="1"/>
  <c r="I450" i="1"/>
  <c r="I452" i="1"/>
  <c r="I455" i="1"/>
  <c r="J455" i="1"/>
  <c r="I456" i="1"/>
  <c r="I458" i="1"/>
  <c r="J458" i="1"/>
  <c r="J461" i="1"/>
  <c r="I464" i="1"/>
  <c r="I467" i="1"/>
  <c r="J467" i="1"/>
  <c r="I470" i="1"/>
  <c r="J470" i="1"/>
  <c r="I471" i="1"/>
  <c r="J473" i="1"/>
  <c r="I476" i="1"/>
  <c r="I479" i="1"/>
  <c r="J479" i="1"/>
  <c r="I480" i="1"/>
  <c r="I482" i="1"/>
  <c r="J482" i="1"/>
  <c r="J485" i="1"/>
  <c r="I488" i="1"/>
  <c r="I491" i="1"/>
  <c r="J491" i="1"/>
  <c r="I494" i="1"/>
  <c r="J494" i="1"/>
  <c r="I495" i="1"/>
  <c r="J497" i="1"/>
  <c r="I500" i="1"/>
  <c r="I503" i="1"/>
  <c r="J503" i="1"/>
  <c r="I506" i="1"/>
  <c r="J506" i="1"/>
  <c r="J509" i="1"/>
  <c r="I510" i="1"/>
  <c r="I512" i="1"/>
  <c r="J515" i="1"/>
  <c r="I518" i="1"/>
  <c r="J518" i="1"/>
  <c r="I519" i="1"/>
  <c r="J521" i="1"/>
  <c r="I527" i="1"/>
  <c r="J527" i="1"/>
  <c r="I528" i="1"/>
  <c r="I530" i="1"/>
  <c r="J530" i="1"/>
  <c r="J533" i="1"/>
  <c r="I536" i="1"/>
  <c r="I539" i="1"/>
  <c r="J539" i="1"/>
  <c r="I542" i="1"/>
  <c r="J542" i="1"/>
  <c r="I543" i="1"/>
  <c r="J545" i="1"/>
  <c r="I548" i="1"/>
  <c r="I551" i="1"/>
  <c r="J551" i="1"/>
  <c r="I552" i="1"/>
  <c r="I554" i="1"/>
  <c r="J554" i="1"/>
  <c r="J557" i="1"/>
  <c r="I558" i="1"/>
  <c r="I560" i="1"/>
  <c r="J563" i="1"/>
  <c r="I566" i="1"/>
  <c r="J566" i="1"/>
  <c r="I567" i="1"/>
  <c r="J569" i="1"/>
  <c r="I575" i="1"/>
  <c r="J575" i="1"/>
  <c r="I578" i="1"/>
  <c r="J578" i="1"/>
  <c r="J581" i="1"/>
  <c r="I582" i="1"/>
  <c r="I584" i="1"/>
  <c r="I587" i="1"/>
  <c r="J587" i="1"/>
  <c r="I590" i="1"/>
  <c r="J590" i="1"/>
  <c r="J593" i="1"/>
  <c r="I596" i="1"/>
  <c r="I599" i="1"/>
  <c r="J599" i="1"/>
  <c r="I600" i="1"/>
  <c r="J602" i="1"/>
  <c r="J605" i="1"/>
  <c r="J611" i="1"/>
  <c r="J614" i="1"/>
  <c r="J617" i="1"/>
  <c r="I618" i="1"/>
  <c r="J623" i="1"/>
  <c r="J626" i="1"/>
  <c r="J629" i="1"/>
  <c r="J635" i="1"/>
  <c r="I636" i="1"/>
  <c r="I638" i="1"/>
  <c r="J638" i="1"/>
  <c r="J641" i="1"/>
  <c r="I647" i="1"/>
  <c r="J647" i="1"/>
  <c r="I650" i="1"/>
  <c r="J650" i="1"/>
  <c r="I651" i="1"/>
  <c r="J653" i="1"/>
  <c r="I656" i="1"/>
  <c r="J659" i="1"/>
  <c r="I660" i="1"/>
  <c r="I662" i="1"/>
  <c r="J662" i="1"/>
  <c r="J665" i="1"/>
  <c r="I671" i="1"/>
  <c r="J671" i="1"/>
  <c r="I674" i="1"/>
  <c r="J674" i="1"/>
  <c r="J677" i="1"/>
  <c r="I683" i="1"/>
  <c r="J683" i="1"/>
  <c r="I684" i="1"/>
  <c r="J686" i="1"/>
  <c r="J689" i="1"/>
  <c r="I692" i="1"/>
  <c r="J695" i="1"/>
  <c r="J698" i="1"/>
  <c r="J701" i="1"/>
  <c r="I702" i="1"/>
  <c r="I707" i="1"/>
  <c r="J707" i="1"/>
  <c r="I710" i="1"/>
  <c r="J710" i="1"/>
  <c r="I711" i="1"/>
  <c r="J713" i="1"/>
  <c r="I716" i="1"/>
  <c r="J719" i="1"/>
  <c r="J722" i="1"/>
  <c r="J725" i="1"/>
  <c r="I728" i="1"/>
  <c r="J731" i="1"/>
  <c r="J734" i="1"/>
  <c r="J737" i="1"/>
  <c r="J743" i="1"/>
  <c r="I744" i="1"/>
  <c r="I746" i="1"/>
  <c r="J746" i="1"/>
  <c r="J749" i="1"/>
  <c r="I755" i="1"/>
  <c r="J755" i="1"/>
  <c r="I758" i="1"/>
  <c r="J758" i="1"/>
  <c r="J761" i="1"/>
  <c r="I767" i="1"/>
  <c r="J767" i="1"/>
  <c r="I770" i="1"/>
  <c r="J770" i="1"/>
  <c r="I771" i="1"/>
  <c r="J773" i="1"/>
  <c r="I776" i="1"/>
  <c r="J779" i="1"/>
  <c r="J782" i="1"/>
  <c r="J785" i="1"/>
  <c r="I788" i="1"/>
  <c r="J791" i="1"/>
  <c r="J794" i="1"/>
  <c r="J797" i="1"/>
  <c r="I800" i="1"/>
  <c r="J803" i="1"/>
  <c r="J806" i="1"/>
  <c r="J809" i="1"/>
  <c r="I812" i="1"/>
  <c r="J815" i="1"/>
  <c r="I816" i="1"/>
  <c r="J818" i="1"/>
  <c r="J821" i="1"/>
  <c r="I824" i="1"/>
  <c r="J827" i="1"/>
  <c r="J830" i="1"/>
  <c r="J833" i="1"/>
  <c r="I836" i="1"/>
  <c r="J839" i="1"/>
  <c r="J842" i="1"/>
  <c r="J845" i="1"/>
  <c r="I851" i="1"/>
  <c r="J851" i="1"/>
  <c r="J854" i="1"/>
  <c r="J857" i="1"/>
  <c r="I863" i="1"/>
  <c r="J863" i="1"/>
  <c r="J866" i="1"/>
  <c r="J869" i="1"/>
  <c r="I875" i="1"/>
  <c r="J875" i="1"/>
  <c r="J878" i="1"/>
  <c r="J881" i="1"/>
  <c r="I882" i="1"/>
  <c r="J887" i="1"/>
  <c r="J890" i="1"/>
  <c r="J893" i="1"/>
  <c r="I896" i="1"/>
  <c r="J899" i="1"/>
  <c r="J902" i="1"/>
  <c r="J905" i="1"/>
  <c r="J911" i="1"/>
  <c r="J914" i="1"/>
  <c r="J917" i="1"/>
  <c r="I923" i="1"/>
  <c r="J923" i="1"/>
  <c r="J926" i="1"/>
  <c r="J929" i="1"/>
  <c r="I935" i="1"/>
  <c r="J935" i="1"/>
  <c r="J938" i="1"/>
  <c r="J941" i="1"/>
  <c r="J944" i="1"/>
  <c r="J947" i="1"/>
  <c r="J950" i="1"/>
  <c r="J953" i="1"/>
  <c r="I956" i="1"/>
  <c r="J959" i="1"/>
  <c r="J962" i="1"/>
  <c r="J965" i="1"/>
  <c r="J971" i="1"/>
  <c r="I974" i="1"/>
  <c r="J974" i="1"/>
  <c r="J977" i="1"/>
  <c r="J983" i="1"/>
  <c r="J986" i="1"/>
  <c r="J989" i="1"/>
  <c r="I992" i="1"/>
  <c r="J995" i="1"/>
  <c r="J998" i="1"/>
  <c r="J1001" i="1"/>
  <c r="J1005" i="1"/>
  <c r="J1007" i="1"/>
  <c r="J1010" i="1"/>
  <c r="J1013" i="1"/>
  <c r="J1019" i="1"/>
  <c r="J1022" i="1"/>
  <c r="J1025" i="1"/>
  <c r="K26" i="1" l="1"/>
  <c r="L26" i="1" s="1"/>
  <c r="K27" i="1" s="1"/>
  <c r="L27" i="1" l="1"/>
  <c r="K28" i="1" s="1"/>
  <c r="L28" i="1" l="1"/>
  <c r="K29" i="1" s="1"/>
  <c r="L29" i="1" l="1"/>
  <c r="K30" i="1" s="1"/>
  <c r="L30" i="1" l="1"/>
  <c r="K31" i="1" s="1"/>
  <c r="L31" i="1" l="1"/>
  <c r="K32" i="1" s="1"/>
  <c r="L32" i="1" l="1"/>
  <c r="K33" i="1" s="1"/>
  <c r="L33" i="1" l="1"/>
  <c r="K34" i="1" s="1"/>
  <c r="L34" i="1" l="1"/>
  <c r="K35" i="1" s="1"/>
  <c r="L35" i="1" l="1"/>
  <c r="K36" i="1" s="1"/>
  <c r="L36" i="1" l="1"/>
  <c r="K37" i="1" s="1"/>
  <c r="L37" i="1" l="1"/>
  <c r="K38" i="1" s="1"/>
  <c r="L38" i="1" l="1"/>
  <c r="K39" i="1" s="1"/>
  <c r="L39" i="1" l="1"/>
  <c r="K40" i="1" s="1"/>
  <c r="L40" i="1" l="1"/>
  <c r="K41" i="1" s="1"/>
  <c r="L41" i="1" l="1"/>
  <c r="K42" i="1" s="1"/>
  <c r="L42" i="1" l="1"/>
  <c r="K43" i="1" s="1"/>
  <c r="L43" i="1" l="1"/>
  <c r="K44" i="1" s="1"/>
  <c r="L44" i="1" l="1"/>
  <c r="K45" i="1" s="1"/>
  <c r="L45" i="1" l="1"/>
  <c r="K46" i="1" s="1"/>
  <c r="L46" i="1" l="1"/>
  <c r="K47" i="1" s="1"/>
  <c r="L47" i="1" l="1"/>
  <c r="K48" i="1" s="1"/>
  <c r="L48" i="1" l="1"/>
  <c r="K49" i="1" s="1"/>
  <c r="L49" i="1" l="1"/>
  <c r="K50" i="1" s="1"/>
  <c r="L50" i="1" l="1"/>
  <c r="K51" i="1" s="1"/>
  <c r="L51" i="1" l="1"/>
  <c r="K52" i="1" s="1"/>
  <c r="L52" i="1" l="1"/>
  <c r="K53" i="1" s="1"/>
  <c r="L53" i="1" l="1"/>
  <c r="K54" i="1" s="1"/>
  <c r="L54" i="1" l="1"/>
  <c r="K55" i="1" s="1"/>
  <c r="L55" i="1" l="1"/>
  <c r="K56" i="1" s="1"/>
  <c r="L56" i="1" l="1"/>
  <c r="K57" i="1" s="1"/>
  <c r="L57" i="1" l="1"/>
  <c r="K58" i="1" s="1"/>
  <c r="L58" i="1" l="1"/>
  <c r="K59" i="1" s="1"/>
  <c r="L59" i="1" l="1"/>
  <c r="K60" i="1" s="1"/>
  <c r="L60" i="1" l="1"/>
  <c r="K61" i="1" s="1"/>
  <c r="L61" i="1" l="1"/>
  <c r="K62" i="1" s="1"/>
  <c r="L62" i="1" l="1"/>
  <c r="K63" i="1" s="1"/>
  <c r="L63" i="1" l="1"/>
  <c r="K64" i="1" s="1"/>
  <c r="L64" i="1" l="1"/>
  <c r="K65" i="1" s="1"/>
  <c r="L65" i="1" l="1"/>
  <c r="K66" i="1" s="1"/>
  <c r="L66" i="1" l="1"/>
  <c r="K67" i="1" s="1"/>
  <c r="L67" i="1" l="1"/>
  <c r="K68" i="1" s="1"/>
  <c r="L68" i="1" l="1"/>
  <c r="K69" i="1" s="1"/>
  <c r="L69" i="1" l="1"/>
  <c r="K70" i="1" s="1"/>
  <c r="L70" i="1" l="1"/>
  <c r="K71" i="1" s="1"/>
  <c r="L71" i="1" l="1"/>
  <c r="K72" i="1" s="1"/>
  <c r="L72" i="1" l="1"/>
  <c r="K73" i="1" s="1"/>
  <c r="L73" i="1" l="1"/>
  <c r="K74" i="1" s="1"/>
  <c r="L74" i="1" l="1"/>
  <c r="K75" i="1" s="1"/>
  <c r="L75" i="1" l="1"/>
  <c r="K76" i="1" s="1"/>
  <c r="L76" i="1" l="1"/>
  <c r="K77" i="1" s="1"/>
  <c r="L77" i="1" l="1"/>
  <c r="K78" i="1" s="1"/>
  <c r="L78" i="1" l="1"/>
  <c r="K79" i="1" s="1"/>
  <c r="L79" i="1" l="1"/>
  <c r="K80" i="1" s="1"/>
  <c r="L80" i="1" l="1"/>
  <c r="K81" i="1" s="1"/>
  <c r="L81" i="1" l="1"/>
  <c r="K82" i="1" s="1"/>
  <c r="L82" i="1" l="1"/>
  <c r="K83" i="1" s="1"/>
  <c r="L83" i="1" l="1"/>
  <c r="K84" i="1" s="1"/>
  <c r="L84" i="1" l="1"/>
  <c r="K85" i="1" s="1"/>
  <c r="L85" i="1" l="1"/>
  <c r="K86" i="1" s="1"/>
  <c r="L86" i="1" l="1"/>
  <c r="K87" i="1" s="1"/>
  <c r="L87" i="1" l="1"/>
  <c r="K88" i="1" s="1"/>
  <c r="L88" i="1" l="1"/>
  <c r="K89" i="1" s="1"/>
  <c r="L89" i="1" l="1"/>
  <c r="K90" i="1" s="1"/>
  <c r="L90" i="1" l="1"/>
  <c r="K91" i="1" s="1"/>
  <c r="L91" i="1" l="1"/>
  <c r="K92" i="1" s="1"/>
  <c r="L92" i="1" l="1"/>
  <c r="K93" i="1" s="1"/>
  <c r="L93" i="1" l="1"/>
  <c r="K94" i="1" s="1"/>
  <c r="L94" i="1" l="1"/>
  <c r="K95" i="1" s="1"/>
  <c r="L95" i="1" l="1"/>
  <c r="K96" i="1" s="1"/>
  <c r="L96" i="1" l="1"/>
  <c r="K97" i="1" s="1"/>
  <c r="L97" i="1" l="1"/>
  <c r="K98" i="1" s="1"/>
  <c r="L98" i="1" l="1"/>
  <c r="K99" i="1" s="1"/>
  <c r="L99" i="1" l="1"/>
  <c r="K100" i="1" s="1"/>
  <c r="L100" i="1" l="1"/>
  <c r="K101" i="1" s="1"/>
  <c r="L101" i="1" l="1"/>
  <c r="K102" i="1" s="1"/>
  <c r="L102" i="1" l="1"/>
  <c r="K103" i="1" s="1"/>
  <c r="L103" i="1" l="1"/>
  <c r="K104" i="1" s="1"/>
  <c r="L104" i="1" l="1"/>
  <c r="K105" i="1" s="1"/>
  <c r="L105" i="1" l="1"/>
  <c r="K106" i="1" s="1"/>
  <c r="L106" i="1" l="1"/>
  <c r="K107" i="1" s="1"/>
  <c r="L107" i="1" l="1"/>
  <c r="K108" i="1" s="1"/>
  <c r="L108" i="1" l="1"/>
  <c r="K109" i="1" s="1"/>
  <c r="L109" i="1" l="1"/>
  <c r="K110" i="1" s="1"/>
  <c r="L110" i="1" l="1"/>
  <c r="K111" i="1" s="1"/>
  <c r="L111" i="1" l="1"/>
  <c r="K112" i="1" s="1"/>
  <c r="L112" i="1" l="1"/>
  <c r="K113" i="1" s="1"/>
  <c r="L113" i="1" l="1"/>
  <c r="K114" i="1" s="1"/>
  <c r="L114" i="1" l="1"/>
  <c r="K115" i="1" s="1"/>
  <c r="L115" i="1" l="1"/>
  <c r="K116" i="1" s="1"/>
  <c r="L116" i="1" l="1"/>
  <c r="K117" i="1" s="1"/>
  <c r="L117" i="1" l="1"/>
  <c r="K118" i="1" s="1"/>
  <c r="L118" i="1" l="1"/>
  <c r="K119" i="1" s="1"/>
  <c r="L119" i="1" l="1"/>
  <c r="K120" i="1" s="1"/>
  <c r="L120" i="1" l="1"/>
  <c r="K121" i="1" s="1"/>
  <c r="L121" i="1" l="1"/>
  <c r="K122" i="1" s="1"/>
  <c r="L122" i="1" l="1"/>
  <c r="K123" i="1" s="1"/>
  <c r="L123" i="1" l="1"/>
  <c r="K124" i="1" s="1"/>
  <c r="L124" i="1" l="1"/>
  <c r="K125" i="1" s="1"/>
  <c r="L125" i="1" l="1"/>
  <c r="K126" i="1" s="1"/>
  <c r="L126" i="1" l="1"/>
  <c r="K127" i="1" s="1"/>
  <c r="L127" i="1" l="1"/>
  <c r="K128" i="1" s="1"/>
  <c r="L128" i="1" l="1"/>
  <c r="K129" i="1" s="1"/>
  <c r="L129" i="1" l="1"/>
  <c r="K130" i="1" s="1"/>
  <c r="L130" i="1" l="1"/>
  <c r="K131" i="1" s="1"/>
  <c r="L131" i="1" l="1"/>
  <c r="K132" i="1" s="1"/>
  <c r="L132" i="1" l="1"/>
  <c r="K133" i="1" s="1"/>
  <c r="L133" i="1" l="1"/>
  <c r="K134" i="1" s="1"/>
  <c r="L134" i="1" l="1"/>
  <c r="K135" i="1" s="1"/>
  <c r="L135" i="1" l="1"/>
  <c r="K136" i="1" s="1"/>
  <c r="L136" i="1" l="1"/>
  <c r="K137" i="1" s="1"/>
  <c r="L137" i="1" l="1"/>
  <c r="K138" i="1" s="1"/>
  <c r="L138" i="1" l="1"/>
  <c r="K139" i="1" s="1"/>
  <c r="L139" i="1" l="1"/>
  <c r="K140" i="1" s="1"/>
  <c r="L140" i="1" l="1"/>
  <c r="K141" i="1" s="1"/>
  <c r="L141" i="1" l="1"/>
  <c r="K142" i="1" s="1"/>
  <c r="L142" i="1" l="1"/>
  <c r="K143" i="1" s="1"/>
  <c r="L143" i="1" l="1"/>
  <c r="K144" i="1" s="1"/>
  <c r="L144" i="1" l="1"/>
  <c r="K145" i="1" s="1"/>
  <c r="L145" i="1" l="1"/>
  <c r="K146" i="1" s="1"/>
  <c r="L146" i="1" l="1"/>
  <c r="K147" i="1" s="1"/>
  <c r="L147" i="1" l="1"/>
  <c r="K148" i="1" s="1"/>
  <c r="L148" i="1" l="1"/>
  <c r="K149" i="1" s="1"/>
  <c r="L149" i="1" l="1"/>
  <c r="K150" i="1" s="1"/>
  <c r="L150" i="1" l="1"/>
  <c r="K151" i="1" s="1"/>
  <c r="L151" i="1" l="1"/>
  <c r="K152" i="1" s="1"/>
  <c r="L152" i="1" l="1"/>
  <c r="K153" i="1" s="1"/>
  <c r="L153" i="1" l="1"/>
  <c r="K154" i="1" s="1"/>
  <c r="L154" i="1" l="1"/>
  <c r="K155" i="1" s="1"/>
  <c r="L155" i="1" l="1"/>
  <c r="K156" i="1" s="1"/>
  <c r="L156" i="1" l="1"/>
  <c r="K157" i="1" s="1"/>
  <c r="L157" i="1" l="1"/>
  <c r="K158" i="1" s="1"/>
  <c r="L158" i="1" l="1"/>
  <c r="K159" i="1" s="1"/>
  <c r="L159" i="1" l="1"/>
  <c r="K160" i="1" s="1"/>
  <c r="L160" i="1" l="1"/>
  <c r="K161" i="1" s="1"/>
  <c r="L161" i="1" l="1"/>
  <c r="K162" i="1" s="1"/>
  <c r="L162" i="1" l="1"/>
  <c r="K163" i="1" s="1"/>
  <c r="L163" i="1" l="1"/>
  <c r="K164" i="1" s="1"/>
  <c r="L164" i="1" l="1"/>
  <c r="K165" i="1" s="1"/>
  <c r="L165" i="1" l="1"/>
  <c r="K166" i="1" s="1"/>
  <c r="L166" i="1" l="1"/>
  <c r="K167" i="1" s="1"/>
  <c r="L167" i="1" l="1"/>
  <c r="K168" i="1" s="1"/>
  <c r="L168" i="1" l="1"/>
  <c r="K169" i="1" s="1"/>
  <c r="L169" i="1" l="1"/>
  <c r="K170" i="1" s="1"/>
  <c r="L170" i="1" l="1"/>
  <c r="K171" i="1" s="1"/>
  <c r="L171" i="1" l="1"/>
  <c r="K172" i="1" s="1"/>
  <c r="L172" i="1" l="1"/>
  <c r="K173" i="1" s="1"/>
  <c r="L173" i="1" l="1"/>
  <c r="K174" i="1" s="1"/>
  <c r="L174" i="1" l="1"/>
  <c r="K175" i="1" s="1"/>
  <c r="L175" i="1" l="1"/>
  <c r="K176" i="1" s="1"/>
  <c r="L176" i="1" l="1"/>
  <c r="K177" i="1" s="1"/>
  <c r="L177" i="1" l="1"/>
  <c r="K178" i="1" s="1"/>
  <c r="L178" i="1" l="1"/>
  <c r="K179" i="1" s="1"/>
  <c r="L179" i="1" l="1"/>
  <c r="K180" i="1" s="1"/>
  <c r="L180" i="1" l="1"/>
  <c r="K181" i="1" s="1"/>
  <c r="L181" i="1" l="1"/>
  <c r="K182" i="1" s="1"/>
  <c r="L182" i="1" l="1"/>
  <c r="K183" i="1" s="1"/>
  <c r="L183" i="1" l="1"/>
  <c r="K184" i="1" s="1"/>
  <c r="L184" i="1" l="1"/>
  <c r="K185" i="1" s="1"/>
  <c r="L185" i="1" l="1"/>
  <c r="K186" i="1" s="1"/>
  <c r="L186" i="1" l="1"/>
  <c r="K187" i="1" s="1"/>
  <c r="L187" i="1" l="1"/>
  <c r="K188" i="1" s="1"/>
  <c r="L188" i="1" l="1"/>
  <c r="K189" i="1" s="1"/>
  <c r="L189" i="1" l="1"/>
  <c r="K190" i="1" s="1"/>
  <c r="L190" i="1" l="1"/>
  <c r="K191" i="1" s="1"/>
  <c r="L191" i="1" l="1"/>
  <c r="K192" i="1" s="1"/>
  <c r="L192" i="1" l="1"/>
  <c r="K193" i="1" s="1"/>
  <c r="L193" i="1" l="1"/>
  <c r="K194" i="1" s="1"/>
  <c r="L194" i="1" l="1"/>
  <c r="K195" i="1" s="1"/>
  <c r="L195" i="1" l="1"/>
  <c r="K196" i="1" s="1"/>
  <c r="L196" i="1" l="1"/>
  <c r="K197" i="1" s="1"/>
  <c r="L197" i="1" l="1"/>
  <c r="K198" i="1" s="1"/>
  <c r="L198" i="1" l="1"/>
  <c r="K199" i="1" s="1"/>
  <c r="L199" i="1" l="1"/>
  <c r="K200" i="1" s="1"/>
  <c r="L200" i="1" l="1"/>
  <c r="K201" i="1" s="1"/>
  <c r="L201" i="1" l="1"/>
  <c r="K202" i="1" s="1"/>
  <c r="L202" i="1" l="1"/>
  <c r="K203" i="1" s="1"/>
  <c r="L203" i="1" l="1"/>
  <c r="K204" i="1" s="1"/>
  <c r="L204" i="1" l="1"/>
  <c r="K205" i="1" s="1"/>
  <c r="L205" i="1" l="1"/>
  <c r="K206" i="1" s="1"/>
  <c r="L206" i="1" l="1"/>
  <c r="K207" i="1" s="1"/>
  <c r="L207" i="1" l="1"/>
  <c r="K208" i="1" s="1"/>
  <c r="L208" i="1" l="1"/>
  <c r="K209" i="1" s="1"/>
  <c r="L209" i="1" l="1"/>
  <c r="K210" i="1" s="1"/>
  <c r="L210" i="1" l="1"/>
  <c r="K211" i="1" s="1"/>
  <c r="L211" i="1" l="1"/>
  <c r="K212" i="1" s="1"/>
  <c r="L212" i="1" l="1"/>
  <c r="K213" i="1" s="1"/>
  <c r="L213" i="1" l="1"/>
  <c r="K214" i="1" s="1"/>
  <c r="L214" i="1" l="1"/>
  <c r="K215" i="1" s="1"/>
  <c r="L215" i="1" l="1"/>
  <c r="K216" i="1" s="1"/>
  <c r="L216" i="1" l="1"/>
  <c r="K217" i="1" s="1"/>
  <c r="L217" i="1" l="1"/>
  <c r="K218" i="1" s="1"/>
  <c r="L218" i="1" l="1"/>
  <c r="K219" i="1" s="1"/>
  <c r="L219" i="1" l="1"/>
  <c r="K220" i="1" s="1"/>
  <c r="L220" i="1" l="1"/>
  <c r="K221" i="1" s="1"/>
  <c r="L221" i="1" l="1"/>
  <c r="K222" i="1" s="1"/>
  <c r="L222" i="1" l="1"/>
  <c r="K223" i="1" s="1"/>
  <c r="L223" i="1" l="1"/>
  <c r="K224" i="1" s="1"/>
  <c r="L224" i="1" l="1"/>
  <c r="K225" i="1" s="1"/>
  <c r="L225" i="1" l="1"/>
  <c r="K226" i="1" s="1"/>
  <c r="L226" i="1" l="1"/>
  <c r="K227" i="1" s="1"/>
  <c r="L227" i="1" l="1"/>
  <c r="K228" i="1" s="1"/>
  <c r="L228" i="1" l="1"/>
  <c r="K229" i="1" s="1"/>
  <c r="L229" i="1" l="1"/>
  <c r="K230" i="1" s="1"/>
  <c r="L230" i="1" l="1"/>
  <c r="K231" i="1" s="1"/>
  <c r="L231" i="1" l="1"/>
  <c r="K232" i="1" s="1"/>
  <c r="L232" i="1" l="1"/>
  <c r="K233" i="1" s="1"/>
  <c r="L233" i="1" l="1"/>
  <c r="K234" i="1" s="1"/>
  <c r="L234" i="1" l="1"/>
  <c r="K235" i="1" s="1"/>
  <c r="L235" i="1" l="1"/>
  <c r="K236" i="1" s="1"/>
  <c r="L236" i="1" l="1"/>
  <c r="K237" i="1" s="1"/>
  <c r="L237" i="1" l="1"/>
  <c r="K238" i="1" s="1"/>
  <c r="L238" i="1" l="1"/>
  <c r="K239" i="1" s="1"/>
  <c r="L239" i="1" l="1"/>
  <c r="K240" i="1" s="1"/>
  <c r="L240" i="1" l="1"/>
  <c r="K241" i="1" s="1"/>
  <c r="L241" i="1" l="1"/>
  <c r="K242" i="1" s="1"/>
  <c r="L242" i="1" l="1"/>
  <c r="K243" i="1" s="1"/>
  <c r="L243" i="1" l="1"/>
  <c r="K244" i="1" s="1"/>
  <c r="L244" i="1" l="1"/>
  <c r="K245" i="1" s="1"/>
  <c r="L245" i="1" l="1"/>
  <c r="K246" i="1" s="1"/>
  <c r="L246" i="1" l="1"/>
  <c r="K247" i="1" s="1"/>
  <c r="L247" i="1" l="1"/>
  <c r="K248" i="1" s="1"/>
  <c r="L248" i="1" l="1"/>
  <c r="K249" i="1" s="1"/>
  <c r="L249" i="1" l="1"/>
  <c r="K250" i="1" s="1"/>
  <c r="L250" i="1" l="1"/>
  <c r="K251" i="1" s="1"/>
  <c r="L251" i="1" l="1"/>
  <c r="K252" i="1" s="1"/>
  <c r="L252" i="1" l="1"/>
  <c r="K253" i="1" s="1"/>
  <c r="L253" i="1" l="1"/>
  <c r="K254" i="1" s="1"/>
  <c r="L254" i="1" l="1"/>
  <c r="K255" i="1" s="1"/>
  <c r="L255" i="1" l="1"/>
  <c r="K256" i="1" s="1"/>
  <c r="L256" i="1" l="1"/>
  <c r="K257" i="1" s="1"/>
  <c r="L257" i="1" l="1"/>
  <c r="K258" i="1" s="1"/>
  <c r="L258" i="1" l="1"/>
  <c r="K259" i="1" s="1"/>
  <c r="L259" i="1" l="1"/>
  <c r="K260" i="1" s="1"/>
  <c r="L260" i="1" l="1"/>
  <c r="K261" i="1" s="1"/>
  <c r="L261" i="1" l="1"/>
  <c r="K262" i="1" s="1"/>
  <c r="L262" i="1" l="1"/>
  <c r="K263" i="1" s="1"/>
  <c r="L263" i="1" l="1"/>
  <c r="K264" i="1" s="1"/>
  <c r="L264" i="1" l="1"/>
  <c r="K265" i="1" s="1"/>
  <c r="L265" i="1" l="1"/>
  <c r="K266" i="1" s="1"/>
  <c r="L266" i="1" l="1"/>
  <c r="K267" i="1" s="1"/>
  <c r="L267" i="1" l="1"/>
  <c r="K268" i="1" s="1"/>
  <c r="L268" i="1" l="1"/>
  <c r="K269" i="1" s="1"/>
  <c r="L269" i="1" l="1"/>
  <c r="K270" i="1" s="1"/>
  <c r="L270" i="1" l="1"/>
  <c r="K271" i="1" s="1"/>
  <c r="L271" i="1" l="1"/>
  <c r="K272" i="1" s="1"/>
  <c r="L272" i="1" l="1"/>
  <c r="K273" i="1" s="1"/>
  <c r="L273" i="1" l="1"/>
  <c r="K274" i="1" s="1"/>
  <c r="L274" i="1" l="1"/>
  <c r="K275" i="1" s="1"/>
  <c r="L275" i="1" l="1"/>
  <c r="K276" i="1" s="1"/>
  <c r="L276" i="1" l="1"/>
  <c r="K277" i="1" s="1"/>
  <c r="L277" i="1" l="1"/>
  <c r="K278" i="1" s="1"/>
  <c r="L278" i="1" l="1"/>
  <c r="K279" i="1" s="1"/>
  <c r="L279" i="1" l="1"/>
  <c r="K280" i="1" s="1"/>
  <c r="L280" i="1" l="1"/>
  <c r="K281" i="1" s="1"/>
  <c r="L281" i="1" l="1"/>
  <c r="K282" i="1" s="1"/>
  <c r="L282" i="1" l="1"/>
  <c r="K283" i="1" s="1"/>
  <c r="L283" i="1" l="1"/>
  <c r="K284" i="1" s="1"/>
  <c r="L284" i="1" l="1"/>
  <c r="K285" i="1" s="1"/>
  <c r="L285" i="1" l="1"/>
  <c r="K286" i="1" s="1"/>
  <c r="L286" i="1" l="1"/>
  <c r="K287" i="1" s="1"/>
  <c r="L287" i="1" l="1"/>
  <c r="K288" i="1" s="1"/>
  <c r="L288" i="1" l="1"/>
  <c r="K289" i="1" s="1"/>
  <c r="L289" i="1" l="1"/>
  <c r="K290" i="1" s="1"/>
  <c r="L290" i="1" l="1"/>
  <c r="K291" i="1" s="1"/>
  <c r="L291" i="1" l="1"/>
  <c r="K292" i="1" s="1"/>
  <c r="L292" i="1" l="1"/>
  <c r="K293" i="1" s="1"/>
  <c r="L293" i="1" l="1"/>
  <c r="K294" i="1" s="1"/>
  <c r="L294" i="1" l="1"/>
  <c r="K295" i="1" s="1"/>
  <c r="L295" i="1" l="1"/>
  <c r="K296" i="1" s="1"/>
  <c r="L296" i="1" l="1"/>
  <c r="K297" i="1" s="1"/>
  <c r="L297" i="1" l="1"/>
  <c r="K298" i="1" s="1"/>
  <c r="L298" i="1" l="1"/>
  <c r="K299" i="1" s="1"/>
  <c r="L299" i="1" l="1"/>
  <c r="K300" i="1" s="1"/>
  <c r="L300" i="1" l="1"/>
  <c r="K301" i="1" s="1"/>
  <c r="L301" i="1" l="1"/>
  <c r="K302" i="1" s="1"/>
  <c r="L302" i="1" l="1"/>
  <c r="K303" i="1" s="1"/>
  <c r="L303" i="1" l="1"/>
  <c r="K304" i="1" s="1"/>
  <c r="L304" i="1" l="1"/>
  <c r="K305" i="1" s="1"/>
  <c r="L305" i="1" l="1"/>
  <c r="K306" i="1" s="1"/>
  <c r="L306" i="1" l="1"/>
  <c r="K307" i="1" s="1"/>
  <c r="L307" i="1" l="1"/>
  <c r="K308" i="1" s="1"/>
  <c r="L308" i="1" l="1"/>
  <c r="K309" i="1" s="1"/>
  <c r="L309" i="1" l="1"/>
  <c r="K310" i="1" s="1"/>
  <c r="L310" i="1" l="1"/>
  <c r="K311" i="1" s="1"/>
  <c r="L311" i="1" l="1"/>
  <c r="K312" i="1" s="1"/>
  <c r="L312" i="1" l="1"/>
  <c r="K313" i="1" s="1"/>
  <c r="L313" i="1" l="1"/>
  <c r="K314" i="1" s="1"/>
  <c r="L314" i="1" l="1"/>
  <c r="K315" i="1" s="1"/>
  <c r="L315" i="1" l="1"/>
  <c r="K316" i="1" s="1"/>
  <c r="L316" i="1" l="1"/>
  <c r="K317" i="1" s="1"/>
  <c r="L317" i="1" l="1"/>
  <c r="K318" i="1" s="1"/>
  <c r="L318" i="1" l="1"/>
  <c r="K319" i="1" s="1"/>
  <c r="L319" i="1" l="1"/>
  <c r="K320" i="1" s="1"/>
  <c r="L320" i="1" l="1"/>
  <c r="K321" i="1" s="1"/>
  <c r="L321" i="1" l="1"/>
  <c r="K322" i="1" s="1"/>
  <c r="L322" i="1" l="1"/>
  <c r="K323" i="1" s="1"/>
  <c r="L323" i="1" l="1"/>
  <c r="K324" i="1" s="1"/>
  <c r="L324" i="1" l="1"/>
  <c r="K325" i="1" s="1"/>
  <c r="L325" i="1" l="1"/>
  <c r="K326" i="1" s="1"/>
  <c r="L326" i="1" l="1"/>
  <c r="K327" i="1" s="1"/>
  <c r="L327" i="1" l="1"/>
  <c r="K328" i="1" s="1"/>
  <c r="L328" i="1" l="1"/>
  <c r="K329" i="1" s="1"/>
  <c r="L329" i="1" l="1"/>
  <c r="K330" i="1" s="1"/>
  <c r="L330" i="1" l="1"/>
  <c r="K331" i="1" s="1"/>
  <c r="L331" i="1" l="1"/>
  <c r="K332" i="1" s="1"/>
  <c r="L332" i="1" l="1"/>
  <c r="K333" i="1" s="1"/>
  <c r="L333" i="1" l="1"/>
  <c r="K334" i="1" s="1"/>
  <c r="L334" i="1" l="1"/>
  <c r="K335" i="1" s="1"/>
  <c r="L335" i="1" l="1"/>
  <c r="K336" i="1" s="1"/>
  <c r="L336" i="1" l="1"/>
  <c r="K337" i="1" s="1"/>
  <c r="L337" i="1" l="1"/>
  <c r="K338" i="1" s="1"/>
  <c r="L338" i="1" l="1"/>
  <c r="K339" i="1" s="1"/>
  <c r="L339" i="1" l="1"/>
  <c r="K340" i="1" s="1"/>
  <c r="L340" i="1" l="1"/>
  <c r="K341" i="1" s="1"/>
  <c r="L341" i="1" l="1"/>
  <c r="K342" i="1" s="1"/>
  <c r="L342" i="1" l="1"/>
  <c r="K343" i="1" s="1"/>
  <c r="L343" i="1" l="1"/>
  <c r="K344" i="1" s="1"/>
  <c r="L344" i="1" l="1"/>
  <c r="K345" i="1" s="1"/>
  <c r="L345" i="1" l="1"/>
  <c r="K346" i="1" s="1"/>
  <c r="L346" i="1" l="1"/>
  <c r="K347" i="1" s="1"/>
  <c r="L347" i="1" l="1"/>
  <c r="K348" i="1" s="1"/>
  <c r="L348" i="1" l="1"/>
  <c r="K349" i="1" s="1"/>
  <c r="L349" i="1" l="1"/>
  <c r="K350" i="1" s="1"/>
  <c r="L350" i="1" l="1"/>
  <c r="K351" i="1" s="1"/>
  <c r="L351" i="1" l="1"/>
  <c r="K352" i="1" s="1"/>
  <c r="L352" i="1" l="1"/>
  <c r="K353" i="1" s="1"/>
  <c r="L353" i="1" l="1"/>
  <c r="K354" i="1" s="1"/>
  <c r="L354" i="1" l="1"/>
  <c r="K355" i="1" s="1"/>
  <c r="L355" i="1" l="1"/>
  <c r="K356" i="1" s="1"/>
  <c r="L356" i="1" l="1"/>
  <c r="K357" i="1" s="1"/>
  <c r="L357" i="1" l="1"/>
  <c r="K358" i="1" s="1"/>
  <c r="L358" i="1" l="1"/>
  <c r="K359" i="1" s="1"/>
  <c r="L359" i="1" l="1"/>
  <c r="K360" i="1" s="1"/>
  <c r="L360" i="1" l="1"/>
  <c r="K361" i="1" s="1"/>
  <c r="L361" i="1" l="1"/>
  <c r="K362" i="1" s="1"/>
  <c r="L362" i="1" l="1"/>
  <c r="K363" i="1" s="1"/>
  <c r="L363" i="1" l="1"/>
  <c r="K364" i="1" s="1"/>
  <c r="L364" i="1" l="1"/>
  <c r="K365" i="1" s="1"/>
  <c r="L365" i="1" l="1"/>
  <c r="K366" i="1" s="1"/>
  <c r="L366" i="1" l="1"/>
  <c r="K367" i="1" s="1"/>
  <c r="L367" i="1" l="1"/>
  <c r="K368" i="1" s="1"/>
  <c r="L368" i="1" l="1"/>
  <c r="K369" i="1" s="1"/>
  <c r="L369" i="1" l="1"/>
  <c r="K370" i="1" s="1"/>
  <c r="L370" i="1" l="1"/>
  <c r="K371" i="1" s="1"/>
  <c r="L371" i="1" l="1"/>
  <c r="K372" i="1" s="1"/>
  <c r="L372" i="1" l="1"/>
  <c r="K373" i="1" s="1"/>
  <c r="L373" i="1" l="1"/>
  <c r="K374" i="1" s="1"/>
  <c r="L374" i="1" l="1"/>
  <c r="K375" i="1" s="1"/>
  <c r="L375" i="1" l="1"/>
  <c r="K376" i="1" s="1"/>
  <c r="L376" i="1" l="1"/>
  <c r="K377" i="1" s="1"/>
  <c r="L377" i="1" l="1"/>
  <c r="K378" i="1" s="1"/>
  <c r="L378" i="1" l="1"/>
  <c r="K379" i="1" s="1"/>
  <c r="L379" i="1" l="1"/>
  <c r="K380" i="1" s="1"/>
  <c r="L380" i="1" l="1"/>
  <c r="K381" i="1" s="1"/>
  <c r="L381" i="1" l="1"/>
  <c r="K382" i="1" s="1"/>
  <c r="L382" i="1" l="1"/>
  <c r="K383" i="1" s="1"/>
  <c r="L383" i="1" l="1"/>
  <c r="K384" i="1" s="1"/>
  <c r="L384" i="1" l="1"/>
  <c r="K385" i="1" s="1"/>
  <c r="L385" i="1" l="1"/>
  <c r="K386" i="1" s="1"/>
  <c r="L386" i="1" l="1"/>
  <c r="K387" i="1" s="1"/>
  <c r="L387" i="1" l="1"/>
  <c r="K388" i="1" s="1"/>
  <c r="L388" i="1" l="1"/>
  <c r="K389" i="1" s="1"/>
  <c r="L389" i="1" l="1"/>
  <c r="K390" i="1" s="1"/>
  <c r="L390" i="1" l="1"/>
  <c r="K391" i="1" s="1"/>
  <c r="L391" i="1" l="1"/>
  <c r="K392" i="1" s="1"/>
  <c r="L392" i="1" l="1"/>
  <c r="K393" i="1" s="1"/>
  <c r="L393" i="1" l="1"/>
  <c r="K394" i="1" s="1"/>
  <c r="L394" i="1" l="1"/>
  <c r="K395" i="1" s="1"/>
  <c r="L395" i="1" l="1"/>
  <c r="K396" i="1" s="1"/>
  <c r="L396" i="1" l="1"/>
  <c r="K397" i="1" s="1"/>
  <c r="L397" i="1" l="1"/>
  <c r="K398" i="1" s="1"/>
  <c r="L398" i="1" l="1"/>
  <c r="K399" i="1" s="1"/>
  <c r="L399" i="1" l="1"/>
  <c r="K400" i="1" s="1"/>
  <c r="L400" i="1" l="1"/>
  <c r="K401" i="1" s="1"/>
  <c r="L401" i="1" l="1"/>
  <c r="K402" i="1" s="1"/>
  <c r="L402" i="1" l="1"/>
  <c r="K403" i="1" s="1"/>
  <c r="L403" i="1" l="1"/>
  <c r="K404" i="1" s="1"/>
  <c r="L404" i="1" l="1"/>
  <c r="K405" i="1" s="1"/>
  <c r="L405" i="1" l="1"/>
  <c r="K406" i="1" s="1"/>
  <c r="L406" i="1" l="1"/>
  <c r="K407" i="1" s="1"/>
  <c r="L407" i="1" l="1"/>
  <c r="K408" i="1" s="1"/>
  <c r="L408" i="1" l="1"/>
  <c r="K409" i="1" s="1"/>
  <c r="L409" i="1" l="1"/>
  <c r="K410" i="1" s="1"/>
  <c r="L410" i="1" l="1"/>
  <c r="K411" i="1" s="1"/>
  <c r="L411" i="1" l="1"/>
  <c r="K412" i="1" s="1"/>
  <c r="L412" i="1" l="1"/>
  <c r="K413" i="1" s="1"/>
  <c r="L413" i="1" l="1"/>
  <c r="K414" i="1" s="1"/>
  <c r="L414" i="1" l="1"/>
  <c r="K415" i="1" s="1"/>
  <c r="L415" i="1" l="1"/>
  <c r="K416" i="1" s="1"/>
  <c r="L416" i="1" l="1"/>
  <c r="K417" i="1" s="1"/>
  <c r="L417" i="1" l="1"/>
  <c r="K418" i="1" s="1"/>
  <c r="L418" i="1" l="1"/>
  <c r="K419" i="1" s="1"/>
  <c r="L419" i="1" l="1"/>
  <c r="K420" i="1" s="1"/>
  <c r="L420" i="1" l="1"/>
  <c r="K421" i="1" s="1"/>
  <c r="L421" i="1" l="1"/>
  <c r="K422" i="1" s="1"/>
  <c r="L422" i="1" l="1"/>
  <c r="K423" i="1" s="1"/>
  <c r="L423" i="1" l="1"/>
  <c r="K424" i="1" s="1"/>
  <c r="L424" i="1" l="1"/>
  <c r="K425" i="1" s="1"/>
  <c r="L425" i="1" l="1"/>
  <c r="K426" i="1" s="1"/>
  <c r="L426" i="1" l="1"/>
  <c r="K427" i="1" s="1"/>
  <c r="L427" i="1" l="1"/>
  <c r="K428" i="1" s="1"/>
  <c r="L428" i="1" l="1"/>
  <c r="K429" i="1" s="1"/>
  <c r="L429" i="1" l="1"/>
  <c r="K430" i="1" s="1"/>
  <c r="L430" i="1" l="1"/>
  <c r="K431" i="1" s="1"/>
  <c r="L431" i="1" l="1"/>
  <c r="K432" i="1" s="1"/>
  <c r="L432" i="1" l="1"/>
  <c r="K433" i="1" s="1"/>
  <c r="L433" i="1" l="1"/>
  <c r="K434" i="1" s="1"/>
  <c r="L434" i="1" l="1"/>
  <c r="K435" i="1" s="1"/>
  <c r="L435" i="1" l="1"/>
  <c r="K436" i="1" s="1"/>
  <c r="L436" i="1" l="1"/>
  <c r="K437" i="1" s="1"/>
  <c r="L437" i="1" l="1"/>
  <c r="K438" i="1" s="1"/>
  <c r="L438" i="1" l="1"/>
  <c r="K439" i="1" s="1"/>
  <c r="L439" i="1" l="1"/>
  <c r="K440" i="1" s="1"/>
  <c r="L440" i="1" l="1"/>
  <c r="K441" i="1" s="1"/>
  <c r="L441" i="1" l="1"/>
  <c r="K442" i="1" s="1"/>
  <c r="L442" i="1" l="1"/>
  <c r="K443" i="1" s="1"/>
  <c r="L443" i="1" l="1"/>
  <c r="K444" i="1" s="1"/>
  <c r="L444" i="1" l="1"/>
  <c r="K445" i="1" s="1"/>
  <c r="L445" i="1" l="1"/>
  <c r="K446" i="1" s="1"/>
  <c r="L446" i="1" l="1"/>
  <c r="K447" i="1" s="1"/>
  <c r="L447" i="1" l="1"/>
  <c r="K448" i="1" s="1"/>
  <c r="L448" i="1" l="1"/>
  <c r="K449" i="1" s="1"/>
  <c r="L449" i="1" l="1"/>
  <c r="K450" i="1" s="1"/>
  <c r="L450" i="1" l="1"/>
  <c r="K451" i="1" s="1"/>
  <c r="L451" i="1" l="1"/>
  <c r="K452" i="1" s="1"/>
  <c r="L452" i="1" l="1"/>
  <c r="K453" i="1" s="1"/>
  <c r="L453" i="1" l="1"/>
  <c r="K454" i="1" s="1"/>
  <c r="L454" i="1" l="1"/>
  <c r="K455" i="1" s="1"/>
  <c r="L455" i="1" l="1"/>
  <c r="K456" i="1" s="1"/>
  <c r="L456" i="1" l="1"/>
  <c r="K457" i="1" s="1"/>
  <c r="L457" i="1" l="1"/>
  <c r="K458" i="1" s="1"/>
  <c r="L458" i="1" l="1"/>
  <c r="K459" i="1" s="1"/>
  <c r="L459" i="1" l="1"/>
  <c r="K460" i="1" s="1"/>
  <c r="L460" i="1" l="1"/>
  <c r="K461" i="1" s="1"/>
  <c r="L461" i="1" l="1"/>
  <c r="K462" i="1" s="1"/>
  <c r="L462" i="1" l="1"/>
  <c r="K463" i="1" s="1"/>
  <c r="L463" i="1" l="1"/>
  <c r="K464" i="1" s="1"/>
  <c r="L464" i="1" l="1"/>
  <c r="K465" i="1" s="1"/>
  <c r="L465" i="1" l="1"/>
  <c r="K466" i="1" s="1"/>
  <c r="L466" i="1" l="1"/>
  <c r="K467" i="1" s="1"/>
  <c r="L467" i="1" l="1"/>
  <c r="K468" i="1" s="1"/>
  <c r="L468" i="1" l="1"/>
  <c r="K469" i="1" s="1"/>
  <c r="L469" i="1" l="1"/>
  <c r="K470" i="1" s="1"/>
  <c r="L470" i="1" l="1"/>
  <c r="K471" i="1" s="1"/>
  <c r="L471" i="1" l="1"/>
  <c r="K472" i="1" s="1"/>
  <c r="L472" i="1" l="1"/>
  <c r="K473" i="1" s="1"/>
  <c r="L473" i="1" l="1"/>
  <c r="K474" i="1" s="1"/>
  <c r="L474" i="1" l="1"/>
  <c r="K475" i="1" s="1"/>
  <c r="L475" i="1" l="1"/>
  <c r="K476" i="1" s="1"/>
  <c r="L476" i="1" l="1"/>
  <c r="K477" i="1" s="1"/>
  <c r="L477" i="1" l="1"/>
  <c r="K478" i="1" s="1"/>
  <c r="L478" i="1" l="1"/>
  <c r="K479" i="1" s="1"/>
  <c r="L479" i="1" l="1"/>
  <c r="K480" i="1" s="1"/>
  <c r="L480" i="1" l="1"/>
  <c r="K481" i="1" s="1"/>
  <c r="L481" i="1" l="1"/>
  <c r="K482" i="1" s="1"/>
  <c r="L482" i="1" l="1"/>
  <c r="K483" i="1" s="1"/>
  <c r="L483" i="1" l="1"/>
  <c r="K484" i="1" s="1"/>
  <c r="L484" i="1" l="1"/>
  <c r="K485" i="1" s="1"/>
  <c r="L485" i="1" l="1"/>
  <c r="K486" i="1" s="1"/>
  <c r="L486" i="1" l="1"/>
  <c r="K487" i="1" s="1"/>
  <c r="L487" i="1" l="1"/>
  <c r="K488" i="1" s="1"/>
  <c r="L488" i="1" l="1"/>
  <c r="K489" i="1" s="1"/>
  <c r="L489" i="1" l="1"/>
  <c r="K490" i="1" s="1"/>
  <c r="L490" i="1" l="1"/>
  <c r="K491" i="1" s="1"/>
  <c r="L491" i="1" l="1"/>
  <c r="K492" i="1" s="1"/>
  <c r="L492" i="1" l="1"/>
  <c r="K493" i="1" s="1"/>
  <c r="L493" i="1" l="1"/>
  <c r="K494" i="1" s="1"/>
  <c r="L494" i="1" l="1"/>
  <c r="K495" i="1" s="1"/>
  <c r="L495" i="1" l="1"/>
  <c r="K496" i="1" s="1"/>
  <c r="L496" i="1" l="1"/>
  <c r="K497" i="1" s="1"/>
  <c r="L497" i="1" l="1"/>
  <c r="K498" i="1" s="1"/>
  <c r="L498" i="1" l="1"/>
  <c r="K499" i="1" s="1"/>
  <c r="L499" i="1" l="1"/>
  <c r="K500" i="1" s="1"/>
  <c r="L500" i="1" l="1"/>
  <c r="K501" i="1" s="1"/>
  <c r="L501" i="1" l="1"/>
  <c r="K502" i="1" s="1"/>
  <c r="L502" i="1" l="1"/>
  <c r="K503" i="1" s="1"/>
  <c r="L503" i="1" l="1"/>
  <c r="K504" i="1" s="1"/>
  <c r="L504" i="1" l="1"/>
  <c r="K505" i="1" s="1"/>
  <c r="L505" i="1" l="1"/>
  <c r="K506" i="1" s="1"/>
  <c r="L506" i="1" l="1"/>
  <c r="K507" i="1" s="1"/>
  <c r="L507" i="1" l="1"/>
  <c r="K508" i="1" s="1"/>
  <c r="L508" i="1" l="1"/>
  <c r="K509" i="1" s="1"/>
  <c r="L509" i="1" l="1"/>
  <c r="K510" i="1" s="1"/>
  <c r="L510" i="1" l="1"/>
  <c r="K511" i="1" s="1"/>
  <c r="L511" i="1" l="1"/>
  <c r="K512" i="1" s="1"/>
  <c r="L512" i="1" l="1"/>
  <c r="K513" i="1" s="1"/>
  <c r="L513" i="1" l="1"/>
  <c r="K514" i="1" s="1"/>
  <c r="L514" i="1" l="1"/>
  <c r="K515" i="1" s="1"/>
  <c r="L515" i="1" l="1"/>
  <c r="K516" i="1" s="1"/>
  <c r="L516" i="1" l="1"/>
  <c r="K517" i="1" s="1"/>
  <c r="L517" i="1" l="1"/>
  <c r="K518" i="1" s="1"/>
  <c r="L518" i="1" l="1"/>
  <c r="K519" i="1" s="1"/>
  <c r="L519" i="1" l="1"/>
  <c r="K520" i="1" s="1"/>
  <c r="L520" i="1" l="1"/>
  <c r="K521" i="1" s="1"/>
  <c r="L521" i="1" l="1"/>
  <c r="K522" i="1" s="1"/>
  <c r="L522" i="1" l="1"/>
  <c r="K523" i="1" s="1"/>
  <c r="L523" i="1" l="1"/>
  <c r="K524" i="1" s="1"/>
  <c r="L524" i="1" l="1"/>
  <c r="K525" i="1" s="1"/>
  <c r="L525" i="1" l="1"/>
  <c r="K526" i="1" s="1"/>
  <c r="L526" i="1" l="1"/>
  <c r="K527" i="1" s="1"/>
  <c r="L527" i="1" l="1"/>
  <c r="K528" i="1" s="1"/>
  <c r="L528" i="1" l="1"/>
  <c r="K529" i="1" s="1"/>
  <c r="L529" i="1" l="1"/>
  <c r="K530" i="1" s="1"/>
  <c r="L530" i="1" l="1"/>
  <c r="K531" i="1" s="1"/>
  <c r="L531" i="1" l="1"/>
  <c r="K532" i="1" s="1"/>
  <c r="L532" i="1" l="1"/>
  <c r="K533" i="1" s="1"/>
  <c r="L533" i="1" l="1"/>
  <c r="K534" i="1" s="1"/>
  <c r="L534" i="1" l="1"/>
  <c r="K535" i="1" s="1"/>
  <c r="L535" i="1" l="1"/>
  <c r="K536" i="1" s="1"/>
  <c r="L536" i="1" l="1"/>
  <c r="K537" i="1" s="1"/>
  <c r="L537" i="1" l="1"/>
  <c r="K538" i="1" s="1"/>
  <c r="L538" i="1" l="1"/>
  <c r="K539" i="1" s="1"/>
  <c r="L539" i="1" l="1"/>
  <c r="K540" i="1" s="1"/>
  <c r="L540" i="1" l="1"/>
  <c r="K541" i="1" s="1"/>
  <c r="L541" i="1" l="1"/>
  <c r="K542" i="1" s="1"/>
  <c r="L542" i="1" l="1"/>
  <c r="K543" i="1" s="1"/>
  <c r="L543" i="1" l="1"/>
  <c r="K544" i="1" s="1"/>
  <c r="L544" i="1" l="1"/>
  <c r="K545" i="1" s="1"/>
  <c r="L545" i="1" l="1"/>
  <c r="K546" i="1" s="1"/>
  <c r="L546" i="1" l="1"/>
  <c r="K547" i="1" s="1"/>
  <c r="L547" i="1" l="1"/>
  <c r="K548" i="1" s="1"/>
  <c r="L548" i="1" l="1"/>
  <c r="K549" i="1" s="1"/>
  <c r="L549" i="1" l="1"/>
  <c r="K550" i="1" s="1"/>
  <c r="L550" i="1" l="1"/>
  <c r="K551" i="1" s="1"/>
  <c r="L551" i="1" l="1"/>
  <c r="K552" i="1" s="1"/>
  <c r="L552" i="1" l="1"/>
  <c r="K553" i="1" s="1"/>
  <c r="L553" i="1" l="1"/>
  <c r="K554" i="1" s="1"/>
  <c r="L554" i="1" l="1"/>
  <c r="K555" i="1" s="1"/>
  <c r="L555" i="1" l="1"/>
  <c r="K556" i="1" s="1"/>
  <c r="L556" i="1" l="1"/>
  <c r="K557" i="1" s="1"/>
  <c r="L557" i="1" l="1"/>
  <c r="K558" i="1" s="1"/>
  <c r="L558" i="1" l="1"/>
  <c r="K559" i="1" s="1"/>
  <c r="L559" i="1" l="1"/>
  <c r="K560" i="1" s="1"/>
  <c r="L560" i="1" l="1"/>
  <c r="K561" i="1" s="1"/>
  <c r="L561" i="1" l="1"/>
  <c r="K562" i="1" s="1"/>
  <c r="L562" i="1" l="1"/>
  <c r="K563" i="1" s="1"/>
  <c r="L563" i="1" l="1"/>
  <c r="K564" i="1" s="1"/>
  <c r="L564" i="1" l="1"/>
  <c r="K565" i="1" s="1"/>
  <c r="L565" i="1" l="1"/>
  <c r="K566" i="1" s="1"/>
  <c r="L566" i="1" l="1"/>
  <c r="K567" i="1" s="1"/>
  <c r="L567" i="1" l="1"/>
  <c r="K568" i="1" s="1"/>
  <c r="L568" i="1" l="1"/>
  <c r="K569" i="1" s="1"/>
  <c r="L569" i="1" l="1"/>
  <c r="K570" i="1" s="1"/>
  <c r="L570" i="1" l="1"/>
  <c r="K571" i="1" s="1"/>
  <c r="L571" i="1" l="1"/>
  <c r="K572" i="1" s="1"/>
  <c r="L572" i="1" l="1"/>
  <c r="K573" i="1" s="1"/>
  <c r="L573" i="1" l="1"/>
  <c r="K574" i="1" s="1"/>
  <c r="L574" i="1" l="1"/>
  <c r="K575" i="1" s="1"/>
  <c r="L575" i="1" l="1"/>
  <c r="K576" i="1" s="1"/>
  <c r="L576" i="1" l="1"/>
  <c r="K577" i="1" s="1"/>
  <c r="L577" i="1" l="1"/>
  <c r="K578" i="1" s="1"/>
  <c r="L578" i="1" l="1"/>
  <c r="K579" i="1" s="1"/>
  <c r="L579" i="1" l="1"/>
  <c r="K580" i="1" s="1"/>
  <c r="L580" i="1" l="1"/>
  <c r="K581" i="1" s="1"/>
  <c r="L581" i="1" l="1"/>
  <c r="K582" i="1" s="1"/>
  <c r="L582" i="1" l="1"/>
  <c r="K583" i="1" s="1"/>
  <c r="L583" i="1" l="1"/>
  <c r="K584" i="1" s="1"/>
  <c r="L584" i="1" l="1"/>
  <c r="K585" i="1" s="1"/>
  <c r="L585" i="1" l="1"/>
  <c r="K586" i="1" s="1"/>
  <c r="L586" i="1" l="1"/>
  <c r="K587" i="1" s="1"/>
  <c r="L587" i="1" l="1"/>
  <c r="K588" i="1" s="1"/>
  <c r="L588" i="1" l="1"/>
  <c r="K589" i="1" s="1"/>
  <c r="L589" i="1" l="1"/>
  <c r="K590" i="1" s="1"/>
  <c r="L590" i="1" l="1"/>
  <c r="K591" i="1" s="1"/>
  <c r="L591" i="1" l="1"/>
  <c r="K592" i="1" s="1"/>
  <c r="L592" i="1" l="1"/>
  <c r="K593" i="1" s="1"/>
  <c r="L593" i="1" l="1"/>
  <c r="K594" i="1" s="1"/>
  <c r="L594" i="1" l="1"/>
  <c r="K595" i="1" s="1"/>
  <c r="L595" i="1" l="1"/>
  <c r="K596" i="1" s="1"/>
  <c r="L596" i="1" l="1"/>
  <c r="K597" i="1" s="1"/>
  <c r="L597" i="1" l="1"/>
  <c r="K598" i="1" s="1"/>
  <c r="L598" i="1" l="1"/>
  <c r="K599" i="1" s="1"/>
  <c r="L599" i="1" l="1"/>
  <c r="K600" i="1" s="1"/>
  <c r="L600" i="1" l="1"/>
  <c r="K601" i="1" s="1"/>
  <c r="L601" i="1" l="1"/>
  <c r="K602" i="1" s="1"/>
  <c r="L602" i="1" l="1"/>
  <c r="K603" i="1" s="1"/>
  <c r="L603" i="1" l="1"/>
  <c r="K604" i="1" s="1"/>
  <c r="L604" i="1" l="1"/>
  <c r="K605" i="1" s="1"/>
  <c r="L605" i="1" l="1"/>
  <c r="K606" i="1" s="1"/>
  <c r="L606" i="1" l="1"/>
  <c r="K607" i="1" s="1"/>
  <c r="L607" i="1" l="1"/>
  <c r="K608" i="1" s="1"/>
  <c r="L608" i="1" l="1"/>
  <c r="K609" i="1" s="1"/>
  <c r="L609" i="1" l="1"/>
  <c r="K610" i="1" s="1"/>
  <c r="L610" i="1" l="1"/>
  <c r="K611" i="1" s="1"/>
  <c r="L611" i="1" l="1"/>
  <c r="K612" i="1" s="1"/>
  <c r="L612" i="1" l="1"/>
  <c r="K613" i="1" s="1"/>
  <c r="L613" i="1" l="1"/>
  <c r="K614" i="1" s="1"/>
  <c r="L614" i="1" l="1"/>
  <c r="K615" i="1" s="1"/>
  <c r="L615" i="1" l="1"/>
  <c r="K616" i="1" s="1"/>
  <c r="L616" i="1" l="1"/>
  <c r="K617" i="1" s="1"/>
  <c r="L617" i="1" l="1"/>
  <c r="K618" i="1" s="1"/>
  <c r="L618" i="1" l="1"/>
  <c r="K619" i="1" s="1"/>
  <c r="L619" i="1" l="1"/>
  <c r="K620" i="1" s="1"/>
  <c r="L620" i="1" l="1"/>
  <c r="K621" i="1" s="1"/>
  <c r="L621" i="1" l="1"/>
  <c r="K622" i="1" s="1"/>
  <c r="L622" i="1" l="1"/>
  <c r="K623" i="1" s="1"/>
  <c r="L623" i="1" l="1"/>
  <c r="K624" i="1" s="1"/>
  <c r="L624" i="1" l="1"/>
  <c r="K625" i="1" s="1"/>
  <c r="L625" i="1" l="1"/>
  <c r="K626" i="1" s="1"/>
  <c r="L626" i="1" l="1"/>
  <c r="K627" i="1" s="1"/>
  <c r="L627" i="1" l="1"/>
  <c r="K628" i="1" s="1"/>
  <c r="L628" i="1" l="1"/>
  <c r="K629" i="1" s="1"/>
  <c r="L629" i="1" l="1"/>
  <c r="K630" i="1" s="1"/>
  <c r="L630" i="1" l="1"/>
  <c r="K631" i="1" s="1"/>
  <c r="L631" i="1" l="1"/>
  <c r="K632" i="1" s="1"/>
  <c r="L632" i="1" l="1"/>
  <c r="K633" i="1" s="1"/>
  <c r="L633" i="1" l="1"/>
  <c r="K634" i="1" s="1"/>
  <c r="L634" i="1" l="1"/>
  <c r="K635" i="1" s="1"/>
  <c r="L635" i="1" l="1"/>
  <c r="K636" i="1" s="1"/>
  <c r="L636" i="1" l="1"/>
  <c r="K637" i="1" s="1"/>
  <c r="L637" i="1" l="1"/>
  <c r="K638" i="1" s="1"/>
  <c r="L638" i="1" l="1"/>
  <c r="K639" i="1" s="1"/>
  <c r="L639" i="1" l="1"/>
  <c r="K640" i="1" s="1"/>
  <c r="L640" i="1" l="1"/>
  <c r="K641" i="1" s="1"/>
  <c r="L641" i="1" l="1"/>
  <c r="K642" i="1" s="1"/>
  <c r="L642" i="1" l="1"/>
  <c r="K643" i="1" s="1"/>
  <c r="L643" i="1" l="1"/>
  <c r="K644" i="1" s="1"/>
  <c r="L644" i="1" l="1"/>
  <c r="K645" i="1" s="1"/>
  <c r="L645" i="1" l="1"/>
  <c r="K646" i="1" s="1"/>
  <c r="L646" i="1" l="1"/>
  <c r="K647" i="1" s="1"/>
  <c r="L647" i="1" l="1"/>
  <c r="K648" i="1" s="1"/>
  <c r="L648" i="1" l="1"/>
  <c r="K649" i="1" s="1"/>
  <c r="L649" i="1" l="1"/>
  <c r="K650" i="1" s="1"/>
  <c r="L650" i="1" l="1"/>
  <c r="K651" i="1" s="1"/>
  <c r="L651" i="1" l="1"/>
  <c r="K652" i="1" s="1"/>
  <c r="L652" i="1" l="1"/>
  <c r="K653" i="1" s="1"/>
  <c r="L653" i="1" l="1"/>
  <c r="K654" i="1" s="1"/>
  <c r="L654" i="1" l="1"/>
  <c r="K655" i="1" s="1"/>
  <c r="L655" i="1" l="1"/>
  <c r="K656" i="1" s="1"/>
  <c r="L656" i="1" l="1"/>
  <c r="K657" i="1" s="1"/>
  <c r="L657" i="1" l="1"/>
  <c r="K658" i="1" s="1"/>
  <c r="L658" i="1" l="1"/>
  <c r="K659" i="1" s="1"/>
  <c r="L659" i="1" l="1"/>
  <c r="K660" i="1" s="1"/>
  <c r="L660" i="1" l="1"/>
  <c r="K661" i="1" s="1"/>
  <c r="L661" i="1" l="1"/>
  <c r="K662" i="1" s="1"/>
  <c r="L662" i="1" l="1"/>
  <c r="K663" i="1" s="1"/>
  <c r="L663" i="1" l="1"/>
  <c r="K664" i="1" s="1"/>
  <c r="L664" i="1" l="1"/>
  <c r="K665" i="1" s="1"/>
  <c r="L665" i="1" l="1"/>
  <c r="K666" i="1" s="1"/>
  <c r="L666" i="1" l="1"/>
  <c r="K667" i="1" s="1"/>
  <c r="L667" i="1" l="1"/>
  <c r="K668" i="1" s="1"/>
  <c r="L668" i="1" l="1"/>
  <c r="K669" i="1" s="1"/>
  <c r="L669" i="1" l="1"/>
  <c r="K670" i="1" s="1"/>
  <c r="L670" i="1" l="1"/>
  <c r="K671" i="1" s="1"/>
  <c r="L671" i="1" l="1"/>
  <c r="K672" i="1" s="1"/>
  <c r="L672" i="1" l="1"/>
  <c r="K673" i="1" s="1"/>
  <c r="L673" i="1" l="1"/>
  <c r="K674" i="1" s="1"/>
  <c r="L674" i="1" l="1"/>
  <c r="K675" i="1" s="1"/>
  <c r="L675" i="1" l="1"/>
  <c r="K676" i="1" s="1"/>
  <c r="L676" i="1" l="1"/>
  <c r="K677" i="1" s="1"/>
  <c r="L677" i="1" l="1"/>
  <c r="K678" i="1" s="1"/>
  <c r="L678" i="1" l="1"/>
  <c r="K679" i="1" s="1"/>
  <c r="L679" i="1" l="1"/>
  <c r="K680" i="1" s="1"/>
  <c r="L680" i="1" l="1"/>
  <c r="K681" i="1" s="1"/>
  <c r="L681" i="1" l="1"/>
  <c r="K682" i="1" s="1"/>
  <c r="L682" i="1" l="1"/>
  <c r="K683" i="1" s="1"/>
  <c r="L683" i="1" l="1"/>
  <c r="K684" i="1" s="1"/>
  <c r="L684" i="1" l="1"/>
  <c r="K685" i="1" s="1"/>
  <c r="L685" i="1" l="1"/>
  <c r="K686" i="1" s="1"/>
  <c r="L686" i="1" l="1"/>
  <c r="K687" i="1" s="1"/>
  <c r="L687" i="1" l="1"/>
  <c r="K688" i="1" s="1"/>
  <c r="L688" i="1" l="1"/>
  <c r="K689" i="1" s="1"/>
  <c r="L689" i="1" l="1"/>
  <c r="K690" i="1" s="1"/>
  <c r="L690" i="1" l="1"/>
  <c r="K691" i="1" s="1"/>
  <c r="L691" i="1" l="1"/>
  <c r="K692" i="1" s="1"/>
  <c r="L692" i="1" l="1"/>
  <c r="K693" i="1" s="1"/>
  <c r="L693" i="1" l="1"/>
  <c r="K694" i="1" s="1"/>
  <c r="L694" i="1" l="1"/>
  <c r="K695" i="1" s="1"/>
  <c r="L695" i="1" l="1"/>
  <c r="K696" i="1" s="1"/>
  <c r="L696" i="1" l="1"/>
  <c r="K697" i="1" s="1"/>
  <c r="L697" i="1" l="1"/>
  <c r="K698" i="1" s="1"/>
  <c r="L698" i="1" l="1"/>
  <c r="K699" i="1" s="1"/>
  <c r="L699" i="1" l="1"/>
  <c r="K700" i="1" s="1"/>
  <c r="L700" i="1" l="1"/>
  <c r="K701" i="1" s="1"/>
  <c r="L701" i="1" l="1"/>
  <c r="K702" i="1" s="1"/>
  <c r="L702" i="1" l="1"/>
  <c r="K703" i="1" s="1"/>
  <c r="L703" i="1" l="1"/>
  <c r="K704" i="1" s="1"/>
  <c r="L704" i="1" l="1"/>
  <c r="K705" i="1" s="1"/>
  <c r="L705" i="1" l="1"/>
  <c r="K706" i="1" s="1"/>
  <c r="L706" i="1" l="1"/>
  <c r="K707" i="1" s="1"/>
  <c r="L707" i="1" l="1"/>
  <c r="K708" i="1" s="1"/>
  <c r="L708" i="1" l="1"/>
  <c r="K709" i="1" s="1"/>
  <c r="L709" i="1" l="1"/>
  <c r="K710" i="1" s="1"/>
  <c r="L710" i="1" l="1"/>
  <c r="K711" i="1" s="1"/>
  <c r="L711" i="1" l="1"/>
  <c r="K712" i="1" s="1"/>
  <c r="L712" i="1" l="1"/>
  <c r="K713" i="1" s="1"/>
  <c r="L713" i="1" l="1"/>
  <c r="K714" i="1" s="1"/>
  <c r="L714" i="1" l="1"/>
  <c r="K715" i="1" s="1"/>
  <c r="L715" i="1" l="1"/>
  <c r="K716" i="1" s="1"/>
  <c r="L716" i="1" l="1"/>
  <c r="K717" i="1" s="1"/>
  <c r="L717" i="1" l="1"/>
  <c r="K718" i="1" s="1"/>
  <c r="L718" i="1" l="1"/>
  <c r="K719" i="1" s="1"/>
  <c r="L719" i="1" l="1"/>
  <c r="K720" i="1" s="1"/>
  <c r="L720" i="1" l="1"/>
  <c r="K721" i="1" s="1"/>
  <c r="L721" i="1" l="1"/>
  <c r="K722" i="1" s="1"/>
  <c r="L722" i="1" l="1"/>
  <c r="K723" i="1" s="1"/>
  <c r="L723" i="1" l="1"/>
  <c r="K724" i="1" s="1"/>
  <c r="L724" i="1" l="1"/>
  <c r="K725" i="1" s="1"/>
  <c r="L725" i="1" l="1"/>
  <c r="K726" i="1" s="1"/>
  <c r="L726" i="1" l="1"/>
  <c r="K727" i="1" s="1"/>
  <c r="L727" i="1" l="1"/>
  <c r="K728" i="1" s="1"/>
  <c r="L728" i="1" l="1"/>
  <c r="K729" i="1" s="1"/>
  <c r="L729" i="1" l="1"/>
  <c r="K730" i="1" s="1"/>
  <c r="L730" i="1" l="1"/>
  <c r="K731" i="1" s="1"/>
  <c r="L731" i="1" l="1"/>
  <c r="K732" i="1" s="1"/>
  <c r="L732" i="1" l="1"/>
  <c r="K733" i="1" s="1"/>
  <c r="L733" i="1" l="1"/>
  <c r="K734" i="1" s="1"/>
  <c r="L734" i="1" l="1"/>
  <c r="K735" i="1" s="1"/>
  <c r="L735" i="1" l="1"/>
  <c r="K736" i="1" s="1"/>
  <c r="L736" i="1" l="1"/>
  <c r="K737" i="1" s="1"/>
  <c r="L737" i="1" l="1"/>
  <c r="K738" i="1" s="1"/>
  <c r="L738" i="1" l="1"/>
  <c r="K739" i="1" s="1"/>
  <c r="L739" i="1" l="1"/>
  <c r="K740" i="1" s="1"/>
  <c r="L740" i="1" l="1"/>
  <c r="K741" i="1" s="1"/>
  <c r="L741" i="1" l="1"/>
  <c r="K742" i="1" s="1"/>
  <c r="L742" i="1" l="1"/>
  <c r="K743" i="1" s="1"/>
  <c r="L743" i="1" l="1"/>
  <c r="K744" i="1" s="1"/>
  <c r="L744" i="1" l="1"/>
  <c r="K745" i="1" s="1"/>
  <c r="L745" i="1" l="1"/>
  <c r="K746" i="1" s="1"/>
  <c r="L746" i="1" l="1"/>
  <c r="K747" i="1" s="1"/>
  <c r="L747" i="1" l="1"/>
  <c r="K748" i="1" s="1"/>
  <c r="L748" i="1" l="1"/>
  <c r="K749" i="1" s="1"/>
  <c r="L749" i="1" l="1"/>
  <c r="K750" i="1" s="1"/>
  <c r="L750" i="1" l="1"/>
  <c r="K751" i="1" s="1"/>
  <c r="L751" i="1" l="1"/>
  <c r="K752" i="1" s="1"/>
  <c r="L752" i="1" l="1"/>
  <c r="K753" i="1" s="1"/>
  <c r="L753" i="1" l="1"/>
  <c r="K754" i="1" s="1"/>
  <c r="L754" i="1" l="1"/>
  <c r="K755" i="1" s="1"/>
  <c r="L755" i="1" l="1"/>
  <c r="K756" i="1" s="1"/>
  <c r="L756" i="1" l="1"/>
  <c r="K757" i="1" s="1"/>
  <c r="L757" i="1" l="1"/>
  <c r="K758" i="1" s="1"/>
  <c r="L758" i="1" l="1"/>
  <c r="K759" i="1" s="1"/>
  <c r="L759" i="1" l="1"/>
  <c r="K760" i="1" s="1"/>
  <c r="L760" i="1" l="1"/>
  <c r="K761" i="1" s="1"/>
  <c r="L761" i="1" l="1"/>
  <c r="K762" i="1" s="1"/>
  <c r="L762" i="1" l="1"/>
  <c r="K763" i="1" s="1"/>
  <c r="L763" i="1" l="1"/>
  <c r="K764" i="1" s="1"/>
  <c r="L764" i="1" l="1"/>
  <c r="K765" i="1" s="1"/>
  <c r="L765" i="1" l="1"/>
  <c r="K766" i="1" s="1"/>
  <c r="L766" i="1" l="1"/>
  <c r="K767" i="1" s="1"/>
  <c r="L767" i="1" l="1"/>
  <c r="K768" i="1" s="1"/>
  <c r="L768" i="1" l="1"/>
  <c r="K769" i="1" s="1"/>
  <c r="L769" i="1" l="1"/>
  <c r="K770" i="1" s="1"/>
  <c r="L770" i="1" l="1"/>
  <c r="K771" i="1" s="1"/>
  <c r="L771" i="1" l="1"/>
  <c r="K772" i="1" s="1"/>
  <c r="L772" i="1" l="1"/>
  <c r="K773" i="1" s="1"/>
  <c r="L773" i="1" l="1"/>
  <c r="K774" i="1" s="1"/>
  <c r="L774" i="1" l="1"/>
  <c r="K775" i="1" s="1"/>
  <c r="L775" i="1" l="1"/>
  <c r="K776" i="1" s="1"/>
  <c r="L776" i="1" l="1"/>
  <c r="K777" i="1" s="1"/>
  <c r="L777" i="1" l="1"/>
  <c r="K778" i="1" s="1"/>
  <c r="L778" i="1" l="1"/>
  <c r="K779" i="1" s="1"/>
  <c r="L779" i="1" l="1"/>
  <c r="K780" i="1" s="1"/>
  <c r="L780" i="1" l="1"/>
  <c r="K781" i="1" s="1"/>
  <c r="L781" i="1" l="1"/>
  <c r="K782" i="1" s="1"/>
  <c r="L782" i="1" l="1"/>
  <c r="K783" i="1" s="1"/>
  <c r="L783" i="1" l="1"/>
  <c r="K784" i="1" s="1"/>
  <c r="L784" i="1" l="1"/>
  <c r="K785" i="1" s="1"/>
  <c r="L785" i="1" l="1"/>
  <c r="K786" i="1" s="1"/>
  <c r="L786" i="1" l="1"/>
  <c r="K787" i="1" s="1"/>
  <c r="L787" i="1" l="1"/>
  <c r="K788" i="1" s="1"/>
  <c r="L788" i="1" l="1"/>
  <c r="K789" i="1" s="1"/>
  <c r="L789" i="1" l="1"/>
  <c r="K790" i="1" s="1"/>
  <c r="L790" i="1" l="1"/>
  <c r="K791" i="1" s="1"/>
  <c r="L791" i="1" l="1"/>
  <c r="K792" i="1" s="1"/>
  <c r="L792" i="1" l="1"/>
  <c r="K793" i="1" s="1"/>
  <c r="L793" i="1" l="1"/>
  <c r="K794" i="1" s="1"/>
  <c r="L794" i="1" l="1"/>
  <c r="K795" i="1" s="1"/>
  <c r="L795" i="1" l="1"/>
  <c r="K796" i="1" s="1"/>
  <c r="L796" i="1" l="1"/>
  <c r="K797" i="1" s="1"/>
  <c r="L797" i="1" l="1"/>
  <c r="K798" i="1" s="1"/>
  <c r="L798" i="1" l="1"/>
  <c r="K799" i="1" s="1"/>
  <c r="L799" i="1" l="1"/>
  <c r="K800" i="1" s="1"/>
  <c r="L800" i="1" l="1"/>
  <c r="K801" i="1" s="1"/>
  <c r="L801" i="1" l="1"/>
  <c r="K802" i="1" s="1"/>
  <c r="L802" i="1" l="1"/>
  <c r="K803" i="1" s="1"/>
  <c r="L803" i="1" l="1"/>
  <c r="K804" i="1" s="1"/>
  <c r="L804" i="1" l="1"/>
  <c r="K805" i="1" s="1"/>
  <c r="L805" i="1" l="1"/>
  <c r="K806" i="1" s="1"/>
  <c r="L806" i="1" l="1"/>
  <c r="K807" i="1" s="1"/>
  <c r="L807" i="1" l="1"/>
  <c r="K808" i="1" s="1"/>
  <c r="L808" i="1" l="1"/>
  <c r="K809" i="1" s="1"/>
  <c r="L809" i="1" l="1"/>
  <c r="K810" i="1" s="1"/>
  <c r="L810" i="1" l="1"/>
  <c r="K811" i="1" s="1"/>
  <c r="L811" i="1" l="1"/>
  <c r="K812" i="1" s="1"/>
  <c r="L812" i="1" l="1"/>
  <c r="K813" i="1" s="1"/>
  <c r="L813" i="1" l="1"/>
  <c r="K814" i="1" s="1"/>
  <c r="L814" i="1" l="1"/>
  <c r="K815" i="1" s="1"/>
  <c r="L815" i="1" l="1"/>
  <c r="K816" i="1" s="1"/>
  <c r="L816" i="1" l="1"/>
  <c r="K817" i="1" s="1"/>
  <c r="L817" i="1" l="1"/>
  <c r="K818" i="1" s="1"/>
  <c r="L818" i="1" l="1"/>
  <c r="K819" i="1" s="1"/>
  <c r="L819" i="1" l="1"/>
  <c r="K820" i="1" s="1"/>
  <c r="L820" i="1" l="1"/>
  <c r="K821" i="1" s="1"/>
  <c r="L821" i="1" l="1"/>
  <c r="K822" i="1" s="1"/>
  <c r="L822" i="1" l="1"/>
  <c r="K823" i="1" s="1"/>
  <c r="L823" i="1" l="1"/>
  <c r="K824" i="1" s="1"/>
  <c r="L824" i="1" l="1"/>
  <c r="K825" i="1" s="1"/>
  <c r="L825" i="1" l="1"/>
  <c r="K826" i="1" s="1"/>
  <c r="L826" i="1" l="1"/>
  <c r="K827" i="1" s="1"/>
  <c r="L827" i="1" l="1"/>
  <c r="K828" i="1" s="1"/>
  <c r="L828" i="1" l="1"/>
  <c r="K829" i="1" s="1"/>
  <c r="L829" i="1" l="1"/>
  <c r="K830" i="1" s="1"/>
  <c r="L830" i="1" l="1"/>
  <c r="K831" i="1" s="1"/>
  <c r="L831" i="1" l="1"/>
  <c r="K832" i="1" s="1"/>
  <c r="L832" i="1" l="1"/>
  <c r="K833" i="1" s="1"/>
  <c r="L833" i="1" l="1"/>
  <c r="K834" i="1" s="1"/>
  <c r="L834" i="1" l="1"/>
  <c r="K835" i="1" s="1"/>
  <c r="L835" i="1" l="1"/>
  <c r="K836" i="1" s="1"/>
  <c r="L836" i="1" l="1"/>
  <c r="K837" i="1" s="1"/>
  <c r="L837" i="1" l="1"/>
  <c r="K838" i="1" s="1"/>
  <c r="L838" i="1" l="1"/>
  <c r="K839" i="1" s="1"/>
  <c r="L839" i="1" l="1"/>
  <c r="K840" i="1" s="1"/>
  <c r="L840" i="1" l="1"/>
  <c r="K841" i="1" s="1"/>
  <c r="L841" i="1" l="1"/>
  <c r="K842" i="1" s="1"/>
  <c r="L842" i="1" l="1"/>
  <c r="K843" i="1" s="1"/>
  <c r="L843" i="1" l="1"/>
  <c r="K844" i="1" s="1"/>
  <c r="L844" i="1" l="1"/>
  <c r="K845" i="1" s="1"/>
  <c r="L845" i="1" l="1"/>
  <c r="K846" i="1" s="1"/>
  <c r="L846" i="1" l="1"/>
  <c r="K847" i="1" s="1"/>
  <c r="L847" i="1" l="1"/>
  <c r="K848" i="1" s="1"/>
  <c r="L848" i="1" l="1"/>
  <c r="K849" i="1" s="1"/>
  <c r="L849" i="1" l="1"/>
  <c r="K850" i="1" s="1"/>
  <c r="L850" i="1" l="1"/>
  <c r="K851" i="1" s="1"/>
  <c r="L851" i="1" l="1"/>
  <c r="K852" i="1" s="1"/>
  <c r="L852" i="1" l="1"/>
  <c r="K853" i="1" s="1"/>
  <c r="L853" i="1" l="1"/>
  <c r="K854" i="1" s="1"/>
  <c r="L854" i="1" l="1"/>
  <c r="K855" i="1" s="1"/>
  <c r="L855" i="1" l="1"/>
  <c r="K856" i="1" s="1"/>
  <c r="L856" i="1" l="1"/>
  <c r="K857" i="1" s="1"/>
  <c r="L857" i="1" l="1"/>
  <c r="K858" i="1" s="1"/>
  <c r="L858" i="1" l="1"/>
  <c r="K859" i="1" s="1"/>
  <c r="L859" i="1" l="1"/>
  <c r="K860" i="1" s="1"/>
  <c r="L860" i="1" l="1"/>
  <c r="K861" i="1" s="1"/>
  <c r="L861" i="1" l="1"/>
  <c r="K862" i="1" s="1"/>
  <c r="L862" i="1" l="1"/>
  <c r="K863" i="1" s="1"/>
  <c r="L863" i="1" l="1"/>
  <c r="K864" i="1" s="1"/>
  <c r="L864" i="1" l="1"/>
  <c r="K865" i="1" s="1"/>
  <c r="L865" i="1" l="1"/>
  <c r="K866" i="1" s="1"/>
  <c r="L866" i="1" l="1"/>
  <c r="K867" i="1" s="1"/>
  <c r="L867" i="1" l="1"/>
  <c r="K868" i="1" s="1"/>
  <c r="L868" i="1" l="1"/>
  <c r="K869" i="1" s="1"/>
  <c r="L869" i="1" l="1"/>
  <c r="K870" i="1" s="1"/>
  <c r="L870" i="1" l="1"/>
  <c r="K871" i="1" s="1"/>
  <c r="L871" i="1" l="1"/>
  <c r="K872" i="1" s="1"/>
  <c r="L872" i="1" l="1"/>
  <c r="K873" i="1" s="1"/>
  <c r="L873" i="1" l="1"/>
  <c r="K874" i="1" s="1"/>
  <c r="L874" i="1" l="1"/>
  <c r="K875" i="1" s="1"/>
  <c r="L875" i="1" l="1"/>
  <c r="K876" i="1" s="1"/>
  <c r="L876" i="1" l="1"/>
  <c r="K877" i="1" s="1"/>
  <c r="L877" i="1" l="1"/>
  <c r="K878" i="1" s="1"/>
  <c r="L878" i="1" l="1"/>
  <c r="K879" i="1" s="1"/>
  <c r="L879" i="1" l="1"/>
  <c r="K880" i="1" s="1"/>
  <c r="L880" i="1" l="1"/>
  <c r="K881" i="1" s="1"/>
  <c r="L881" i="1" l="1"/>
  <c r="K882" i="1" s="1"/>
  <c r="L882" i="1" l="1"/>
  <c r="K883" i="1" s="1"/>
  <c r="L883" i="1" l="1"/>
  <c r="K884" i="1" s="1"/>
  <c r="L884" i="1" l="1"/>
  <c r="K885" i="1" s="1"/>
  <c r="L885" i="1" l="1"/>
  <c r="K886" i="1" s="1"/>
  <c r="L886" i="1" l="1"/>
  <c r="K887" i="1" s="1"/>
  <c r="L887" i="1" l="1"/>
  <c r="K888" i="1" s="1"/>
  <c r="L888" i="1" l="1"/>
  <c r="K889" i="1" s="1"/>
  <c r="L889" i="1" l="1"/>
  <c r="K890" i="1" s="1"/>
  <c r="L890" i="1" l="1"/>
  <c r="K891" i="1" s="1"/>
  <c r="L891" i="1" l="1"/>
  <c r="K892" i="1" s="1"/>
  <c r="L892" i="1" l="1"/>
  <c r="K893" i="1" s="1"/>
  <c r="L893" i="1" l="1"/>
  <c r="K894" i="1" s="1"/>
  <c r="L894" i="1" l="1"/>
  <c r="K895" i="1" s="1"/>
  <c r="L895" i="1" l="1"/>
  <c r="K896" i="1" s="1"/>
  <c r="L896" i="1" l="1"/>
  <c r="K897" i="1" s="1"/>
  <c r="L897" i="1" l="1"/>
  <c r="K898" i="1" s="1"/>
  <c r="L898" i="1" l="1"/>
  <c r="K899" i="1" s="1"/>
  <c r="L899" i="1" l="1"/>
  <c r="K900" i="1" s="1"/>
  <c r="L900" i="1" l="1"/>
  <c r="K901" i="1" s="1"/>
  <c r="L901" i="1" l="1"/>
  <c r="K902" i="1" s="1"/>
  <c r="L902" i="1" l="1"/>
  <c r="K903" i="1" s="1"/>
  <c r="L903" i="1" l="1"/>
  <c r="K904" i="1" s="1"/>
  <c r="L904" i="1" l="1"/>
  <c r="K905" i="1" s="1"/>
  <c r="L905" i="1" l="1"/>
  <c r="K906" i="1" s="1"/>
  <c r="L906" i="1" l="1"/>
  <c r="K907" i="1" s="1"/>
  <c r="L907" i="1" l="1"/>
  <c r="K908" i="1" s="1"/>
  <c r="L908" i="1" l="1"/>
  <c r="K909" i="1" s="1"/>
  <c r="L909" i="1" l="1"/>
  <c r="K910" i="1" s="1"/>
  <c r="L910" i="1" l="1"/>
  <c r="K911" i="1" s="1"/>
  <c r="L911" i="1" l="1"/>
  <c r="K912" i="1" s="1"/>
  <c r="L912" i="1" l="1"/>
  <c r="K913" i="1" s="1"/>
  <c r="L913" i="1" l="1"/>
  <c r="K914" i="1" s="1"/>
  <c r="L914" i="1" l="1"/>
  <c r="K915" i="1" s="1"/>
  <c r="L915" i="1" l="1"/>
  <c r="K916" i="1" s="1"/>
  <c r="L916" i="1" l="1"/>
  <c r="K917" i="1" s="1"/>
  <c r="L917" i="1" l="1"/>
  <c r="K918" i="1" s="1"/>
  <c r="L918" i="1" l="1"/>
  <c r="K919" i="1" s="1"/>
  <c r="L919" i="1" l="1"/>
  <c r="K920" i="1" s="1"/>
  <c r="L920" i="1" l="1"/>
  <c r="K921" i="1" s="1"/>
  <c r="L921" i="1" l="1"/>
  <c r="K922" i="1" s="1"/>
  <c r="L922" i="1" l="1"/>
  <c r="K923" i="1" s="1"/>
  <c r="L923" i="1" l="1"/>
  <c r="K924" i="1" s="1"/>
  <c r="L924" i="1" l="1"/>
  <c r="K925" i="1" s="1"/>
  <c r="L925" i="1" l="1"/>
  <c r="K926" i="1" s="1"/>
  <c r="L926" i="1" l="1"/>
  <c r="K927" i="1" s="1"/>
  <c r="L927" i="1" l="1"/>
  <c r="K928" i="1" s="1"/>
  <c r="L928" i="1" l="1"/>
  <c r="K929" i="1" s="1"/>
  <c r="L929" i="1" l="1"/>
  <c r="K930" i="1" s="1"/>
  <c r="L930" i="1" l="1"/>
  <c r="K931" i="1" s="1"/>
  <c r="L931" i="1" l="1"/>
  <c r="K932" i="1" s="1"/>
  <c r="L932" i="1" l="1"/>
  <c r="K933" i="1" s="1"/>
  <c r="L933" i="1" l="1"/>
  <c r="K934" i="1" s="1"/>
  <c r="L934" i="1" l="1"/>
  <c r="K935" i="1" s="1"/>
  <c r="L935" i="1" l="1"/>
  <c r="K936" i="1" s="1"/>
  <c r="L936" i="1" l="1"/>
  <c r="K937" i="1" s="1"/>
  <c r="L937" i="1" l="1"/>
  <c r="K938" i="1" s="1"/>
  <c r="L938" i="1" l="1"/>
  <c r="K939" i="1" s="1"/>
  <c r="L939" i="1" l="1"/>
  <c r="K940" i="1" s="1"/>
  <c r="L940" i="1" l="1"/>
  <c r="K941" i="1" s="1"/>
  <c r="L941" i="1" l="1"/>
  <c r="K942" i="1" s="1"/>
  <c r="L942" i="1" l="1"/>
  <c r="K943" i="1" s="1"/>
  <c r="L943" i="1" l="1"/>
  <c r="K944" i="1" s="1"/>
  <c r="L944" i="1" l="1"/>
  <c r="K945" i="1" s="1"/>
  <c r="L945" i="1" l="1"/>
  <c r="K946" i="1" s="1"/>
  <c r="L946" i="1" l="1"/>
  <c r="K947" i="1" s="1"/>
  <c r="L947" i="1" l="1"/>
  <c r="K948" i="1" s="1"/>
  <c r="L948" i="1" l="1"/>
  <c r="K949" i="1" s="1"/>
  <c r="L949" i="1" l="1"/>
  <c r="K950" i="1" s="1"/>
  <c r="L950" i="1" l="1"/>
  <c r="K951" i="1" s="1"/>
  <c r="L951" i="1" l="1"/>
  <c r="K952" i="1" s="1"/>
  <c r="L952" i="1" l="1"/>
  <c r="K953" i="1" s="1"/>
  <c r="L953" i="1" l="1"/>
  <c r="K954" i="1" s="1"/>
  <c r="L954" i="1" l="1"/>
  <c r="K955" i="1" s="1"/>
  <c r="L955" i="1" l="1"/>
  <c r="K956" i="1" s="1"/>
  <c r="L956" i="1" l="1"/>
  <c r="K957" i="1" s="1"/>
  <c r="L957" i="1" l="1"/>
  <c r="K958" i="1" s="1"/>
  <c r="L958" i="1" l="1"/>
  <c r="K959" i="1" s="1"/>
  <c r="L959" i="1" l="1"/>
  <c r="K960" i="1" s="1"/>
  <c r="L960" i="1" l="1"/>
  <c r="K961" i="1" s="1"/>
  <c r="L961" i="1" l="1"/>
  <c r="K962" i="1" s="1"/>
  <c r="L962" i="1" l="1"/>
  <c r="K963" i="1" s="1"/>
  <c r="L963" i="1" l="1"/>
  <c r="K964" i="1" s="1"/>
  <c r="L964" i="1" l="1"/>
  <c r="K965" i="1" s="1"/>
  <c r="L965" i="1" l="1"/>
  <c r="K966" i="1" s="1"/>
  <c r="L966" i="1" l="1"/>
  <c r="K967" i="1" s="1"/>
  <c r="L967" i="1" l="1"/>
  <c r="K968" i="1" s="1"/>
  <c r="L968" i="1" l="1"/>
  <c r="K969" i="1" s="1"/>
  <c r="L969" i="1" l="1"/>
  <c r="K970" i="1" s="1"/>
  <c r="L970" i="1" l="1"/>
  <c r="K971" i="1" s="1"/>
  <c r="L971" i="1" l="1"/>
  <c r="K972" i="1" s="1"/>
  <c r="L972" i="1" l="1"/>
  <c r="K973" i="1" s="1"/>
  <c r="L973" i="1" l="1"/>
  <c r="K974" i="1" s="1"/>
  <c r="L974" i="1" l="1"/>
  <c r="K975" i="1" s="1"/>
  <c r="L975" i="1" l="1"/>
  <c r="K976" i="1" s="1"/>
  <c r="L976" i="1" l="1"/>
  <c r="K977" i="1" s="1"/>
  <c r="L977" i="1" l="1"/>
  <c r="K978" i="1" s="1"/>
  <c r="L978" i="1" l="1"/>
  <c r="K979" i="1" s="1"/>
  <c r="L979" i="1" l="1"/>
  <c r="K980" i="1" s="1"/>
  <c r="L980" i="1" l="1"/>
  <c r="K981" i="1" s="1"/>
  <c r="L981" i="1" l="1"/>
  <c r="K982" i="1" s="1"/>
  <c r="L982" i="1" l="1"/>
  <c r="K983" i="1" s="1"/>
  <c r="L983" i="1" l="1"/>
  <c r="K984" i="1" s="1"/>
  <c r="L984" i="1" l="1"/>
  <c r="K985" i="1" s="1"/>
  <c r="L985" i="1" l="1"/>
  <c r="K986" i="1" s="1"/>
  <c r="L986" i="1" l="1"/>
  <c r="K987" i="1" s="1"/>
  <c r="L987" i="1" l="1"/>
  <c r="K988" i="1" s="1"/>
  <c r="L988" i="1" l="1"/>
  <c r="K989" i="1" s="1"/>
  <c r="L989" i="1" l="1"/>
  <c r="K990" i="1" s="1"/>
  <c r="L990" i="1" l="1"/>
  <c r="K991" i="1" s="1"/>
  <c r="L991" i="1" l="1"/>
  <c r="K992" i="1" s="1"/>
  <c r="L992" i="1" l="1"/>
  <c r="K993" i="1" s="1"/>
  <c r="L993" i="1" l="1"/>
  <c r="K994" i="1" s="1"/>
  <c r="L994" i="1" l="1"/>
  <c r="K995" i="1" s="1"/>
  <c r="L995" i="1" l="1"/>
  <c r="K996" i="1" s="1"/>
  <c r="L996" i="1" l="1"/>
  <c r="K997" i="1" s="1"/>
  <c r="L997" i="1" l="1"/>
  <c r="K998" i="1" s="1"/>
  <c r="L998" i="1" l="1"/>
  <c r="K999" i="1" s="1"/>
  <c r="L999" i="1" l="1"/>
  <c r="K1000" i="1" s="1"/>
  <c r="L1000" i="1" l="1"/>
  <c r="K1001" i="1" s="1"/>
  <c r="L1001" i="1" l="1"/>
  <c r="K1002" i="1" s="1"/>
  <c r="L1002" i="1" l="1"/>
  <c r="K1003" i="1" s="1"/>
  <c r="L1003" i="1" l="1"/>
  <c r="K1004" i="1" s="1"/>
  <c r="L1004" i="1" l="1"/>
  <c r="K1005" i="1" s="1"/>
  <c r="L1005" i="1" l="1"/>
  <c r="K1006" i="1" s="1"/>
  <c r="L1006" i="1" l="1"/>
  <c r="K1007" i="1" s="1"/>
  <c r="L1007" i="1" l="1"/>
  <c r="K1008" i="1" s="1"/>
  <c r="L1008" i="1" l="1"/>
  <c r="K1009" i="1" s="1"/>
  <c r="L1009" i="1" l="1"/>
  <c r="K1010" i="1" s="1"/>
  <c r="L1010" i="1" l="1"/>
  <c r="K1011" i="1" s="1"/>
  <c r="L1011" i="1" l="1"/>
  <c r="K1012" i="1" s="1"/>
  <c r="L1012" i="1" l="1"/>
  <c r="K1013" i="1" s="1"/>
  <c r="L1013" i="1" l="1"/>
  <c r="K1014" i="1" s="1"/>
  <c r="L1014" i="1" l="1"/>
  <c r="K1015" i="1" s="1"/>
  <c r="L1015" i="1" l="1"/>
  <c r="K1016" i="1" s="1"/>
  <c r="L1016" i="1" l="1"/>
  <c r="K1017" i="1" s="1"/>
  <c r="L1017" i="1" l="1"/>
  <c r="K1018" i="1" s="1"/>
  <c r="L1018" i="1" l="1"/>
  <c r="K1019" i="1" s="1"/>
  <c r="L1019" i="1" l="1"/>
  <c r="K1020" i="1" s="1"/>
  <c r="L1020" i="1" l="1"/>
  <c r="K1021" i="1" s="1"/>
  <c r="L1021" i="1" l="1"/>
  <c r="K1022" i="1" s="1"/>
  <c r="L1022" i="1" l="1"/>
  <c r="K1023" i="1" s="1"/>
  <c r="L1023" i="1" l="1"/>
  <c r="K1024" i="1" s="1"/>
  <c r="L1024" i="1" l="1"/>
  <c r="K1025" i="1" s="1"/>
  <c r="L102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Marcus Gwee Wen Hong</author>
  </authors>
  <commentList>
    <comment ref="G15" authorId="0" shapeId="0" xr:uid="{77208E41-3301-4B7C-8D58-8537B21204F4}">
      <text>
        <r>
          <rPr>
            <b/>
            <sz val="9"/>
            <color indexed="81"/>
            <rFont val="Tahoma"/>
            <family val="2"/>
          </rPr>
          <t>Marcus Gwee Wen Hong:</t>
        </r>
        <r>
          <rPr>
            <sz val="9"/>
            <color indexed="81"/>
            <rFont val="Tahoma"/>
            <family val="2"/>
          </rPr>
          <t xml:space="preserve">
Goalseek</t>
        </r>
      </text>
    </comment>
  </commentList>
</comments>
</file>

<file path=xl/sharedStrings.xml><?xml version="1.0" encoding="utf-8"?>
<sst xmlns="http://schemas.openxmlformats.org/spreadsheetml/2006/main" count="24" uniqueCount="24">
  <si>
    <t>0.01 Year Intervals</t>
  </si>
  <si>
    <t>Age</t>
  </si>
  <si>
    <t>AM92</t>
  </si>
  <si>
    <t>AF92</t>
  </si>
  <si>
    <t>Time t</t>
  </si>
  <si>
    <t>Male age (x+t)</t>
  </si>
  <si>
    <t>Female age (y+t)</t>
  </si>
  <si>
    <t>FemaleAgeStart</t>
  </si>
  <si>
    <t>MaleAgeStart</t>
  </si>
  <si>
    <t>mu(x)</t>
  </si>
  <si>
    <t>StepSize</t>
  </si>
  <si>
    <t>(d/dt)V(t)</t>
  </si>
  <si>
    <t>V(t)</t>
  </si>
  <si>
    <t>TerminalValue</t>
  </si>
  <si>
    <t>TerminalTime</t>
  </si>
  <si>
    <t>mu(x+t)</t>
  </si>
  <si>
    <t>mu(y+t)</t>
  </si>
  <si>
    <t>delta</t>
  </si>
  <si>
    <t>DeathPayment (b13)</t>
  </si>
  <si>
    <t>Results</t>
  </si>
  <si>
    <t>Data</t>
  </si>
  <si>
    <t>Parameters</t>
  </si>
  <si>
    <t>Calculations</t>
  </si>
  <si>
    <t>Thiele P = V(0)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</si>
</sst>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color theme="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0" fillId="0" borderId="3" xfId="0" applyBorder="1"/>
    <xf numFmtId="4" fontId="0" fillId="0" borderId="4" xfId="0" applyNumberFormat="1" applyBorder="1"/>
    <xf numFmtId="0" fontId="1" fillId="0" borderId="1" xfId="0" applyFont="1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5" fillId="0" borderId="6" xfId="0" applyFont="1" applyBorder="1"/>
    <xf numFmtId="0" fontId="5" fillId="0" borderId="0" xfId="0" applyFont="1"/>
    <xf numFmtId="0" fontId="3" fillId="0" borderId="6" xfId="0" applyFont="1" applyBorder="1"/>
    <xf numFmtId="0" fontId="3" fillId="0" borderId="0" xfId="0" applyFont="1"/>
    <xf numFmtId="0" fontId="3" fillId="0" borderId="7" xfId="0" applyFont="1" applyBorder="1"/>
    <xf numFmtId="0" fontId="4" fillId="0" borderId="0" xfId="0" applyFont="1"/>
    <xf numFmtId="0" fontId="4" fillId="0" borderId="7" xfId="0" applyFont="1" applyBorder="1"/>
    <xf numFmtId="0" fontId="3" fillId="0" borderId="3" xfId="0" applyFont="1" applyBorder="1"/>
    <xf numFmtId="0" fontId="4" fillId="0" borderId="8" xfId="0" applyFont="1" applyBorder="1"/>
    <xf numFmtId="0" fontId="4" fillId="0" borderId="4" xfId="0" applyFont="1" applyBorder="1"/>
    <xf numFmtId="10" fontId="2" fillId="0" borderId="7" xfId="0" applyNumberFormat="1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8" xfId="0" applyBorder="1"/>
    <xf numFmtId="0" fontId="0" fillId="0" borderId="4" xfId="0" applyBorder="1"/>
    <xf numFmtId="0" fontId="1" fillId="0" borderId="6" xfId="0" applyFont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6" fillId="3" borderId="6" xfId="0" applyFont="1" applyFill="1" applyBorder="1"/>
    <xf numFmtId="0" fontId="0" fillId="3" borderId="0" xfId="0" applyFill="1" applyBorder="1"/>
    <xf numFmtId="0" fontId="6" fillId="3" borderId="3" xfId="0" applyFont="1" applyFill="1" applyBorder="1"/>
    <xf numFmtId="0" fontId="0" fillId="3" borderId="8" xfId="0" applyFill="1" applyBorder="1"/>
    <xf numFmtId="4" fontId="0" fillId="4" borderId="0" xfId="0" applyNumberFormat="1" applyFill="1" applyBorder="1"/>
    <xf numFmtId="4" fontId="0" fillId="4" borderId="7" xfId="0" applyNumberFormat="1" applyFill="1" applyBorder="1"/>
    <xf numFmtId="4" fontId="0" fillId="4" borderId="8" xfId="0" applyNumberFormat="1" applyFill="1" applyBorder="1"/>
    <xf numFmtId="4" fontId="0" fillId="4" borderId="4" xfId="0" applyNumberFormat="1" applyFill="1" applyBorder="1"/>
    <xf numFmtId="4" fontId="0" fillId="5" borderId="7" xfId="0" applyNumberFormat="1" applyFill="1" applyBorder="1"/>
    <xf numFmtId="0" fontId="7" fillId="0" borderId="1" xfId="0" applyFont="1" applyBorder="1"/>
    <xf numFmtId="165" fontId="0" fillId="0" borderId="0" xfId="0" applyNumberFormat="1" applyBorder="1"/>
    <xf numFmtId="165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228601</xdr:colOff>
      <xdr:row>0</xdr:row>
      <xdr:rowOff>0</xdr:rowOff>
    </xdr:from>
    <xdr:to>
      <xdr:col>13</xdr:col>
      <xdr:colOff>554692</xdr:colOff>
      <xdr:row>18</xdr:row>
      <xdr:rowOff>30865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A0A96B-EAFF-4A36-989C-816A3ADB7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0983" y="0"/>
          <a:ext cx="4679576" cy="3482277"/>
        </a:xfrm>
        <a:prstGeom prst="rect">
          <a:avLst/>
        </a:prstGeom>
      </xdr:spPr>
    </xdr:pic>
    <xdr:clientData/>
  </xdr:twoCellAnchor>
  <xdr:twoCellAnchor editAs="oneCell">
    <xdr:from>
      <xdr:col>14</xdr:col>
      <xdr:colOff>314883</xdr:colOff>
      <xdr:row>0</xdr:row>
      <xdr:rowOff>134469</xdr:rowOff>
    </xdr:from>
    <xdr:to>
      <xdr:col>23</xdr:col>
      <xdr:colOff>475431</xdr:colOff>
      <xdr:row>17</xdr:row>
      <xdr:rowOff>123264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F8E952-C305-46CB-BA6E-EF5D340CC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27707" y="134469"/>
          <a:ext cx="8396869" cy="3249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632291</xdr:colOff>
      <xdr:row>11</xdr:row>
      <xdr:rowOff>86305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0AA21F-C0A6-4CC1-F956-CE3DFD783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6241676" cy="2058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1097-A8AE-4144-984A-E0E0D9E506E0}">
  <dimension ref="A12:L10329"/>
  <sheetViews>
    <sheetView tabSelected="1" topLeftCell="C1" zoomScale="85" zoomScaleNormal="85" workbookViewId="0">
      <selection activeCell="K26" sqref="K26"/>
    </sheetView>
  </sheetViews>
  <sheetFormatPr defaultRowHeight="14.25" x14ac:dyDescent="0.45"/>
  <cols>
    <col min="1" max="1" width="17.3984375" bestFit="1" customWidth="1"/>
    <col min="2" max="2" width="11.265625" bestFit="1" customWidth="1"/>
    <col min="3" max="3" width="19.86328125" bestFit="1" customWidth="1"/>
    <col min="4" max="4" width="6.1328125" bestFit="1" customWidth="1"/>
    <col min="5" max="5" width="6.59765625" bestFit="1" customWidth="1"/>
    <col min="6" max="6" width="17.06640625" customWidth="1"/>
    <col min="7" max="7" width="13.86328125" bestFit="1" customWidth="1"/>
    <col min="8" max="8" width="15.86328125" bestFit="1" customWidth="1"/>
    <col min="9" max="10" width="11.265625" bestFit="1" customWidth="1"/>
    <col min="11" max="11" width="9.9296875" customWidth="1"/>
    <col min="12" max="12" width="9.73046875" bestFit="1" customWidth="1"/>
    <col min="13" max="13" width="7.73046875" bestFit="1" customWidth="1"/>
    <col min="14" max="14" width="11.59765625" bestFit="1" customWidth="1"/>
    <col min="15" max="15" width="9.86328125" customWidth="1"/>
    <col min="16" max="16" width="9.59765625" bestFit="1" customWidth="1"/>
    <col min="17" max="17" width="19.59765625" bestFit="1" customWidth="1"/>
    <col min="18" max="18" width="7.86328125" bestFit="1" customWidth="1"/>
    <col min="19" max="19" width="14.73046875" customWidth="1"/>
    <col min="20" max="20" width="21.73046875" customWidth="1"/>
    <col min="21" max="21" width="12.3984375" bestFit="1" customWidth="1"/>
    <col min="22" max="22" width="18.59765625" customWidth="1"/>
  </cols>
  <sheetData>
    <row r="12" spans="1:7" ht="14.65" thickBot="1" x14ac:dyDescent="0.5"/>
    <row r="13" spans="1:7" x14ac:dyDescent="0.45">
      <c r="A13" s="4" t="s">
        <v>21</v>
      </c>
      <c r="B13" s="5"/>
      <c r="C13" s="5"/>
      <c r="D13" s="6"/>
      <c r="F13" s="4" t="s">
        <v>19</v>
      </c>
      <c r="G13" s="6"/>
    </row>
    <row r="14" spans="1:7" x14ac:dyDescent="0.45">
      <c r="A14" s="7"/>
      <c r="D14" s="8"/>
      <c r="F14" s="24"/>
      <c r="G14" s="8"/>
    </row>
    <row r="15" spans="1:7" x14ac:dyDescent="0.45">
      <c r="A15" s="7" t="s">
        <v>7</v>
      </c>
      <c r="B15" s="1">
        <v>50</v>
      </c>
      <c r="C15" t="s">
        <v>17</v>
      </c>
      <c r="D15" s="19">
        <f>LN(1+7.5%)</f>
        <v>7.2320661579626078E-2</v>
      </c>
      <c r="F15" s="7" t="s">
        <v>23</v>
      </c>
      <c r="G15" s="36">
        <v>977.84276673991008</v>
      </c>
    </row>
    <row r="16" spans="1:7" ht="14.65" thickBot="1" x14ac:dyDescent="0.5">
      <c r="A16" s="7" t="s">
        <v>8</v>
      </c>
      <c r="B16" s="1">
        <v>55</v>
      </c>
      <c r="C16" t="s">
        <v>18</v>
      </c>
      <c r="D16" s="20">
        <v>50000</v>
      </c>
      <c r="F16" s="2"/>
      <c r="G16" s="3"/>
    </row>
    <row r="17" spans="1:12" x14ac:dyDescent="0.45">
      <c r="A17" s="7" t="s">
        <v>10</v>
      </c>
      <c r="B17" s="1">
        <v>0.01</v>
      </c>
      <c r="D17" s="8"/>
    </row>
    <row r="18" spans="1:12" x14ac:dyDescent="0.45">
      <c r="A18" s="7" t="s">
        <v>13</v>
      </c>
      <c r="B18" s="1">
        <v>0</v>
      </c>
      <c r="D18" s="8"/>
    </row>
    <row r="19" spans="1:12" ht="14.65" thickBot="1" x14ac:dyDescent="0.5">
      <c r="A19" s="2" t="s">
        <v>14</v>
      </c>
      <c r="B19" s="21">
        <v>10</v>
      </c>
      <c r="C19" s="22"/>
      <c r="D19" s="23"/>
    </row>
    <row r="20" spans="1:12" x14ac:dyDescent="0.45">
      <c r="B20" s="1"/>
    </row>
    <row r="21" spans="1:12" ht="14.65" thickBot="1" x14ac:dyDescent="0.5"/>
    <row r="22" spans="1:12" x14ac:dyDescent="0.45">
      <c r="A22" s="4" t="s">
        <v>20</v>
      </c>
      <c r="B22" s="5"/>
      <c r="C22" s="6"/>
      <c r="F22" s="37" t="s">
        <v>22</v>
      </c>
      <c r="G22" s="5"/>
      <c r="H22" s="5"/>
      <c r="I22" s="5"/>
      <c r="J22" s="5"/>
      <c r="K22" s="5"/>
      <c r="L22" s="6"/>
    </row>
    <row r="23" spans="1:12" ht="14.65" thickBot="1" x14ac:dyDescent="0.5">
      <c r="A23" s="7"/>
      <c r="C23" s="8"/>
      <c r="F23" s="7"/>
      <c r="L23" s="8"/>
    </row>
    <row r="24" spans="1:12" ht="14.65" thickBot="1" x14ac:dyDescent="0.5">
      <c r="A24" s="7"/>
      <c r="C24" s="8"/>
      <c r="F24" s="25" t="s">
        <v>4</v>
      </c>
      <c r="G24" s="26" t="s">
        <v>5</v>
      </c>
      <c r="H24" s="26" t="s">
        <v>6</v>
      </c>
      <c r="I24" s="26" t="s">
        <v>15</v>
      </c>
      <c r="J24" s="26" t="s">
        <v>16</v>
      </c>
      <c r="K24" s="26" t="s">
        <v>12</v>
      </c>
      <c r="L24" s="27" t="s">
        <v>11</v>
      </c>
    </row>
    <row r="25" spans="1:12" x14ac:dyDescent="0.45">
      <c r="A25" s="7"/>
      <c r="C25" s="8"/>
      <c r="F25" s="28">
        <v>0</v>
      </c>
      <c r="G25" s="29">
        <f t="shared" ref="G25:G88" si="0">ROUND(MaleAgeStart+F25,2)</f>
        <v>55</v>
      </c>
      <c r="H25" s="29">
        <f t="shared" ref="H25:H88" si="1">ROUND(FemaleAgeStart+F25,2)</f>
        <v>50</v>
      </c>
      <c r="I25" s="38">
        <f t="shared" ref="I25:I88" si="2">VLOOKUP(G25,muValues,2,FALSE)</f>
        <v>4.2209999999999999E-3</v>
      </c>
      <c r="J25" s="38">
        <f t="shared" ref="J25:J88" si="3">VLOOKUP(H25,muValues,3,FALSE)</f>
        <v>1.7979999999999999E-3</v>
      </c>
      <c r="K25" s="32">
        <f>G15</f>
        <v>977.84276673991008</v>
      </c>
      <c r="L25" s="33">
        <f>K25*Delta+I25*K25-J25*(DeathPayment-K25)</f>
        <v>-13.29612857551021</v>
      </c>
    </row>
    <row r="26" spans="1:12" x14ac:dyDescent="0.45">
      <c r="A26" s="9" t="s">
        <v>9</v>
      </c>
      <c r="B26" s="10"/>
      <c r="C26" s="8"/>
      <c r="F26" s="28">
        <v>0.01</v>
      </c>
      <c r="G26" s="29">
        <f t="shared" si="0"/>
        <v>55.01</v>
      </c>
      <c r="H26" s="29">
        <f t="shared" si="1"/>
        <v>50.01</v>
      </c>
      <c r="I26" s="38">
        <f t="shared" si="2"/>
        <v>4.2262599999999999E-3</v>
      </c>
      <c r="J26" s="38">
        <f t="shared" si="3"/>
        <v>1.7998199999999999E-3</v>
      </c>
      <c r="K26" s="32">
        <f>K25+StepSize*L25</f>
        <v>977.709805454155</v>
      </c>
      <c r="L26" s="33">
        <f>K26*Delta+I26*K26-J26*(DeathPayment-K26)</f>
        <v>-13.390622532216824</v>
      </c>
    </row>
    <row r="27" spans="1:12" x14ac:dyDescent="0.45">
      <c r="A27" s="9" t="s">
        <v>0</v>
      </c>
      <c r="B27" s="10"/>
      <c r="C27" s="8"/>
      <c r="F27" s="28">
        <v>0.02</v>
      </c>
      <c r="G27" s="29">
        <f t="shared" si="0"/>
        <v>55.02</v>
      </c>
      <c r="H27" s="29">
        <f t="shared" si="1"/>
        <v>50.02</v>
      </c>
      <c r="I27" s="38">
        <f t="shared" si="2"/>
        <v>4.2315199999999999E-3</v>
      </c>
      <c r="J27" s="38">
        <f t="shared" si="3"/>
        <v>1.80164E-3</v>
      </c>
      <c r="K27" s="32">
        <f>K26+StepSize*L26</f>
        <v>977.57589922883278</v>
      </c>
      <c r="L27" s="33">
        <f>K27*Delta+I27*K27-J27*(DeathPayment-K27)</f>
        <v>-13.485192411281503</v>
      </c>
    </row>
    <row r="28" spans="1:12" x14ac:dyDescent="0.45">
      <c r="A28" s="11" t="s">
        <v>1</v>
      </c>
      <c r="B28" s="12" t="s">
        <v>2</v>
      </c>
      <c r="C28" s="13" t="s">
        <v>3</v>
      </c>
      <c r="F28" s="28">
        <v>0.03</v>
      </c>
      <c r="G28" s="29">
        <f t="shared" si="0"/>
        <v>55.03</v>
      </c>
      <c r="H28" s="29">
        <f t="shared" si="1"/>
        <v>50.03</v>
      </c>
      <c r="I28" s="38">
        <f t="shared" si="2"/>
        <v>4.2367799999999999E-3</v>
      </c>
      <c r="J28" s="38">
        <f t="shared" si="3"/>
        <v>1.80346E-3</v>
      </c>
      <c r="K28" s="32">
        <f>K27+StepSize*L27</f>
        <v>977.44104730471997</v>
      </c>
      <c r="L28" s="33">
        <f>K28*Delta+I28*K28-J28*(DeathPayment-K28)</f>
        <v>-13.579838292268221</v>
      </c>
    </row>
    <row r="29" spans="1:12" x14ac:dyDescent="0.45">
      <c r="A29" s="11">
        <v>17</v>
      </c>
      <c r="B29" s="14">
        <v>6.0300000000000002E-4</v>
      </c>
      <c r="C29" s="15">
        <v>1.6899999999999999E-4</v>
      </c>
      <c r="F29" s="28">
        <v>0.04</v>
      </c>
      <c r="G29" s="29">
        <f t="shared" si="0"/>
        <v>55.04</v>
      </c>
      <c r="H29" s="29">
        <f t="shared" si="1"/>
        <v>50.04</v>
      </c>
      <c r="I29" s="38">
        <f t="shared" si="2"/>
        <v>4.2420399999999999E-3</v>
      </c>
      <c r="J29" s="38">
        <f t="shared" si="3"/>
        <v>1.80528E-3</v>
      </c>
      <c r="K29" s="32">
        <f>K28+StepSize*L28</f>
        <v>977.30524892179733</v>
      </c>
      <c r="L29" s="33">
        <f>K29*Delta+I29*K29-J29*(DeathPayment-K29)</f>
        <v>-13.674560254824726</v>
      </c>
    </row>
    <row r="30" spans="1:12" x14ac:dyDescent="0.45">
      <c r="A30" s="11">
        <v>17.010000000000002</v>
      </c>
      <c r="B30" s="14">
        <v>6.0294000000000005E-4</v>
      </c>
      <c r="C30" s="15">
        <v>1.6906000000000001E-4</v>
      </c>
      <c r="F30" s="28">
        <v>0.05</v>
      </c>
      <c r="G30" s="29">
        <f t="shared" si="0"/>
        <v>55.05</v>
      </c>
      <c r="H30" s="29">
        <f t="shared" si="1"/>
        <v>50.05</v>
      </c>
      <c r="I30" s="38">
        <f t="shared" si="2"/>
        <v>4.2472999999999999E-3</v>
      </c>
      <c r="J30" s="38">
        <f t="shared" si="3"/>
        <v>1.8071000000000001E-3</v>
      </c>
      <c r="K30" s="32">
        <f>K29+StepSize*L29</f>
        <v>977.16850331924911</v>
      </c>
      <c r="L30" s="33">
        <f>K30*Delta+I30*K30-J30*(DeathPayment-K30)</f>
        <v>-13.76935837868281</v>
      </c>
    </row>
    <row r="31" spans="1:12" x14ac:dyDescent="0.45">
      <c r="A31" s="11">
        <v>17.02</v>
      </c>
      <c r="B31" s="14">
        <v>6.0287999999999997E-4</v>
      </c>
      <c r="C31" s="15">
        <v>1.6912000000000001E-4</v>
      </c>
      <c r="F31" s="28">
        <v>0.06</v>
      </c>
      <c r="G31" s="29">
        <f t="shared" si="0"/>
        <v>55.06</v>
      </c>
      <c r="H31" s="29">
        <f t="shared" si="1"/>
        <v>50.06</v>
      </c>
      <c r="I31" s="38">
        <f t="shared" si="2"/>
        <v>4.2525599999999998E-3</v>
      </c>
      <c r="J31" s="38">
        <f t="shared" si="3"/>
        <v>1.8089200000000001E-3</v>
      </c>
      <c r="K31" s="32">
        <f>K30+StepSize*L30</f>
        <v>977.0308097354623</v>
      </c>
      <c r="L31" s="33">
        <f>K31*Delta+I31*K31-J31*(DeathPayment-K31)</f>
        <v>-13.864232743658292</v>
      </c>
    </row>
    <row r="32" spans="1:12" x14ac:dyDescent="0.45">
      <c r="A32" s="11">
        <v>17.03</v>
      </c>
      <c r="B32" s="14">
        <v>6.0282000000000001E-4</v>
      </c>
      <c r="C32" s="15">
        <v>1.6918E-4</v>
      </c>
      <c r="F32" s="28">
        <v>7.0000000000000007E-2</v>
      </c>
      <c r="G32" s="29">
        <f t="shared" si="0"/>
        <v>55.07</v>
      </c>
      <c r="H32" s="29">
        <f t="shared" si="1"/>
        <v>50.07</v>
      </c>
      <c r="I32" s="38">
        <f t="shared" si="2"/>
        <v>4.2578199999999998E-3</v>
      </c>
      <c r="J32" s="38">
        <f t="shared" si="3"/>
        <v>1.8107399999999999E-3</v>
      </c>
      <c r="K32" s="32">
        <f>K31+StepSize*L31</f>
        <v>976.89216740802567</v>
      </c>
      <c r="L32" s="33">
        <f>K32*Delta+I32*K32-J32*(DeathPayment-K32)</f>
        <v>-13.959183429651091</v>
      </c>
    </row>
    <row r="33" spans="1:12" x14ac:dyDescent="0.45">
      <c r="A33" s="11">
        <v>17.04</v>
      </c>
      <c r="B33" s="14">
        <v>6.0276000000000004E-4</v>
      </c>
      <c r="C33" s="15">
        <v>1.6924E-4</v>
      </c>
      <c r="F33" s="28">
        <v>0.08</v>
      </c>
      <c r="G33" s="29">
        <f t="shared" si="0"/>
        <v>55.08</v>
      </c>
      <c r="H33" s="29">
        <f t="shared" si="1"/>
        <v>50.08</v>
      </c>
      <c r="I33" s="38">
        <f t="shared" si="2"/>
        <v>4.2630799999999998E-3</v>
      </c>
      <c r="J33" s="38">
        <f t="shared" si="3"/>
        <v>1.81256E-3</v>
      </c>
      <c r="K33" s="32">
        <f>K32+StepSize*L32</f>
        <v>976.75257557372913</v>
      </c>
      <c r="L33" s="33">
        <f>K33*Delta+I33*K33-J33*(DeathPayment-K33)</f>
        <v>-14.054210516645412</v>
      </c>
    </row>
    <row r="34" spans="1:12" x14ac:dyDescent="0.45">
      <c r="A34" s="11">
        <v>17.05</v>
      </c>
      <c r="B34" s="14">
        <v>6.0269999999999996E-4</v>
      </c>
      <c r="C34" s="15">
        <v>1.693E-4</v>
      </c>
      <c r="F34" s="28">
        <v>0.09</v>
      </c>
      <c r="G34" s="29">
        <f t="shared" si="0"/>
        <v>55.09</v>
      </c>
      <c r="H34" s="29">
        <f t="shared" si="1"/>
        <v>50.09</v>
      </c>
      <c r="I34" s="38">
        <f t="shared" si="2"/>
        <v>4.2683399999999998E-3</v>
      </c>
      <c r="J34" s="38">
        <f t="shared" si="3"/>
        <v>1.81438E-3</v>
      </c>
      <c r="K34" s="32">
        <f>K33+StepSize*L33</f>
        <v>976.61203346856269</v>
      </c>
      <c r="L34" s="33">
        <f>K34*Delta+I34*K34-J34*(DeathPayment-K34)</f>
        <v>-14.149314084709729</v>
      </c>
    </row>
    <row r="35" spans="1:12" x14ac:dyDescent="0.45">
      <c r="A35" s="11">
        <v>17.059999999999999</v>
      </c>
      <c r="B35" s="14">
        <v>6.0263999999999999E-4</v>
      </c>
      <c r="C35" s="15">
        <v>1.6935999999999999E-4</v>
      </c>
      <c r="F35" s="28">
        <v>0.1</v>
      </c>
      <c r="G35" s="29">
        <f t="shared" si="0"/>
        <v>55.1</v>
      </c>
      <c r="H35" s="29">
        <f t="shared" si="1"/>
        <v>50.1</v>
      </c>
      <c r="I35" s="38">
        <f t="shared" si="2"/>
        <v>4.2735999999999998E-3</v>
      </c>
      <c r="J35" s="38">
        <f t="shared" si="3"/>
        <v>1.8162E-3</v>
      </c>
      <c r="K35" s="32">
        <f>K34+StepSize*L34</f>
        <v>976.47054032771564</v>
      </c>
      <c r="L35" s="33">
        <f>K35*Delta+I35*K35-J35*(DeathPayment-K35)</f>
        <v>-14.24449421399693</v>
      </c>
    </row>
    <row r="36" spans="1:12" x14ac:dyDescent="0.45">
      <c r="A36" s="11">
        <v>17.07</v>
      </c>
      <c r="B36" s="14">
        <v>6.0258000000000002E-4</v>
      </c>
      <c r="C36" s="15">
        <v>1.6941999999999999E-4</v>
      </c>
      <c r="F36" s="28">
        <v>0.11</v>
      </c>
      <c r="G36" s="29">
        <f t="shared" si="0"/>
        <v>55.11</v>
      </c>
      <c r="H36" s="29">
        <f t="shared" si="1"/>
        <v>50.11</v>
      </c>
      <c r="I36" s="38">
        <f t="shared" si="2"/>
        <v>4.2788599999999998E-3</v>
      </c>
      <c r="J36" s="38">
        <f t="shared" si="3"/>
        <v>1.8180200000000001E-3</v>
      </c>
      <c r="K36" s="32">
        <f>K35+StepSize*L35</f>
        <v>976.32809538557569</v>
      </c>
      <c r="L36" s="33">
        <f>K36*Delta+I36*K36-J36*(DeathPayment-K36)</f>
        <v>-14.33975098474447</v>
      </c>
    </row>
    <row r="37" spans="1:12" x14ac:dyDescent="0.45">
      <c r="A37" s="11">
        <v>17.079999999999998</v>
      </c>
      <c r="B37" s="14">
        <v>6.0252000000000005E-4</v>
      </c>
      <c r="C37" s="15">
        <v>1.6948000000000001E-4</v>
      </c>
      <c r="F37" s="28">
        <v>0.12</v>
      </c>
      <c r="G37" s="29">
        <f t="shared" si="0"/>
        <v>55.12</v>
      </c>
      <c r="H37" s="29">
        <f t="shared" si="1"/>
        <v>50.12</v>
      </c>
      <c r="I37" s="38">
        <f t="shared" si="2"/>
        <v>4.2841199999999998E-3</v>
      </c>
      <c r="J37" s="38">
        <f t="shared" si="3"/>
        <v>1.8198400000000001E-3</v>
      </c>
      <c r="K37" s="32">
        <f>K36+StepSize*L36</f>
        <v>976.18469787572826</v>
      </c>
      <c r="L37" s="33">
        <f>K37*Delta+I37*K37-J37*(DeathPayment-K37)</f>
        <v>-14.435084477274401</v>
      </c>
    </row>
    <row r="38" spans="1:12" x14ac:dyDescent="0.45">
      <c r="A38" s="11">
        <v>17.09</v>
      </c>
      <c r="B38" s="14">
        <v>6.0245999999999997E-4</v>
      </c>
      <c r="C38" s="15">
        <v>1.6954000000000001E-4</v>
      </c>
      <c r="F38" s="28">
        <v>0.13</v>
      </c>
      <c r="G38" s="29">
        <f t="shared" si="0"/>
        <v>55.13</v>
      </c>
      <c r="H38" s="29">
        <f t="shared" si="1"/>
        <v>50.13</v>
      </c>
      <c r="I38" s="38">
        <f t="shared" si="2"/>
        <v>4.2893799999999998E-3</v>
      </c>
      <c r="J38" s="38">
        <f t="shared" si="3"/>
        <v>1.8216599999999999E-3</v>
      </c>
      <c r="K38" s="32">
        <f>K37+StepSize*L37</f>
        <v>976.04034703095556</v>
      </c>
      <c r="L38" s="33">
        <f>K38*Delta+I38*K38-J38*(DeathPayment-K38)</f>
        <v>-14.530494771993418</v>
      </c>
    </row>
    <row r="39" spans="1:12" x14ac:dyDescent="0.45">
      <c r="A39" s="11">
        <v>17.100000000000001</v>
      </c>
      <c r="B39" s="14">
        <v>6.0240000000000001E-4</v>
      </c>
      <c r="C39" s="15">
        <v>1.696E-4</v>
      </c>
      <c r="F39" s="28">
        <v>0.14000000000000001</v>
      </c>
      <c r="G39" s="29">
        <f t="shared" si="0"/>
        <v>55.14</v>
      </c>
      <c r="H39" s="29">
        <f t="shared" si="1"/>
        <v>50.14</v>
      </c>
      <c r="I39" s="38">
        <f t="shared" si="2"/>
        <v>4.2946399999999997E-3</v>
      </c>
      <c r="J39" s="38">
        <f t="shared" si="3"/>
        <v>1.8234799999999999E-3</v>
      </c>
      <c r="K39" s="32">
        <f>K38+StepSize*L38</f>
        <v>975.89504208323558</v>
      </c>
      <c r="L39" s="33">
        <f>K39*Delta+I39*K39-J39*(DeathPayment-K39)</f>
        <v>-14.625981949393093</v>
      </c>
    </row>
    <row r="40" spans="1:12" x14ac:dyDescent="0.45">
      <c r="A40" s="11">
        <v>17.11</v>
      </c>
      <c r="B40" s="14">
        <v>6.0234000000000004E-4</v>
      </c>
      <c r="C40" s="15">
        <v>1.6966E-4</v>
      </c>
      <c r="F40" s="28">
        <v>0.15</v>
      </c>
      <c r="G40" s="29">
        <f t="shared" si="0"/>
        <v>55.15</v>
      </c>
      <c r="H40" s="29">
        <f t="shared" si="1"/>
        <v>50.15</v>
      </c>
      <c r="I40" s="38">
        <f t="shared" si="2"/>
        <v>4.2998999999999997E-3</v>
      </c>
      <c r="J40" s="38">
        <f t="shared" si="3"/>
        <v>1.8253E-3</v>
      </c>
      <c r="K40" s="32">
        <f>K39+StepSize*L39</f>
        <v>975.74878226374165</v>
      </c>
      <c r="L40" s="33">
        <f>K40*Delta+I40*K40-J40*(DeathPayment-K40)</f>
        <v>-14.721546090049813</v>
      </c>
    </row>
    <row r="41" spans="1:12" x14ac:dyDescent="0.45">
      <c r="A41" s="11">
        <v>17.12</v>
      </c>
      <c r="B41" s="14">
        <v>6.0227999999999996E-4</v>
      </c>
      <c r="C41" s="15">
        <v>1.6971999999999999E-4</v>
      </c>
      <c r="F41" s="28">
        <v>0.16</v>
      </c>
      <c r="G41" s="29">
        <f t="shared" si="0"/>
        <v>55.16</v>
      </c>
      <c r="H41" s="29">
        <f t="shared" si="1"/>
        <v>50.16</v>
      </c>
      <c r="I41" s="38">
        <f t="shared" si="2"/>
        <v>4.3051599999999997E-3</v>
      </c>
      <c r="J41" s="38">
        <f t="shared" si="3"/>
        <v>1.82712E-3</v>
      </c>
      <c r="K41" s="32">
        <f>K40+StepSize*L40</f>
        <v>975.60156680284115</v>
      </c>
      <c r="L41" s="33">
        <f>K41*Delta+I41*K41-J41*(DeathPayment-K41)</f>
        <v>-14.817187274625027</v>
      </c>
    </row>
    <row r="42" spans="1:12" x14ac:dyDescent="0.45">
      <c r="A42" s="11">
        <v>17.13</v>
      </c>
      <c r="B42" s="14">
        <v>6.0221999999999999E-4</v>
      </c>
      <c r="C42" s="15">
        <v>1.6977999999999999E-4</v>
      </c>
      <c r="F42" s="28">
        <v>0.17</v>
      </c>
      <c r="G42" s="29">
        <f t="shared" si="0"/>
        <v>55.17</v>
      </c>
      <c r="H42" s="29">
        <f t="shared" si="1"/>
        <v>50.17</v>
      </c>
      <c r="I42" s="38">
        <f t="shared" si="2"/>
        <v>4.3104199999999997E-3</v>
      </c>
      <c r="J42" s="38">
        <f t="shared" si="3"/>
        <v>1.82894E-3</v>
      </c>
      <c r="K42" s="32">
        <f>K41+StepSize*L41</f>
        <v>975.45339493009487</v>
      </c>
      <c r="L42" s="33">
        <f>K42*Delta+I42*K42-J42*(DeathPayment-K42)</f>
        <v>-14.912905583865239</v>
      </c>
    </row>
    <row r="43" spans="1:12" x14ac:dyDescent="0.45">
      <c r="A43" s="11">
        <v>17.14</v>
      </c>
      <c r="B43" s="14">
        <v>6.0216000000000002E-4</v>
      </c>
      <c r="C43" s="15">
        <v>1.6983999999999999E-4</v>
      </c>
      <c r="F43" s="28">
        <v>0.18</v>
      </c>
      <c r="G43" s="29">
        <f t="shared" si="0"/>
        <v>55.18</v>
      </c>
      <c r="H43" s="29">
        <f t="shared" si="1"/>
        <v>50.18</v>
      </c>
      <c r="I43" s="38">
        <f t="shared" si="2"/>
        <v>4.3156799999999997E-3</v>
      </c>
      <c r="J43" s="38">
        <f t="shared" si="3"/>
        <v>1.8307600000000001E-3</v>
      </c>
      <c r="K43" s="32">
        <f>K42+StepSize*L42</f>
        <v>975.3042658742562</v>
      </c>
      <c r="L43" s="33">
        <f>K43*Delta+I43*K43-J43*(DeathPayment-K43)</f>
        <v>-15.008701098602103</v>
      </c>
    </row>
    <row r="44" spans="1:12" x14ac:dyDescent="0.45">
      <c r="A44" s="11">
        <v>17.149999999999999</v>
      </c>
      <c r="B44" s="14">
        <v>6.0210000000000005E-4</v>
      </c>
      <c r="C44" s="15">
        <v>1.6990000000000001E-4</v>
      </c>
      <c r="F44" s="28">
        <v>0.19</v>
      </c>
      <c r="G44" s="29">
        <f t="shared" si="0"/>
        <v>55.19</v>
      </c>
      <c r="H44" s="29">
        <f t="shared" si="1"/>
        <v>50.19</v>
      </c>
      <c r="I44" s="38">
        <f t="shared" si="2"/>
        <v>4.3209399999999997E-3</v>
      </c>
      <c r="J44" s="38">
        <f t="shared" si="3"/>
        <v>1.8325800000000001E-3</v>
      </c>
      <c r="K44" s="32">
        <f>K43+StepSize*L43</f>
        <v>975.1541788632702</v>
      </c>
      <c r="L44" s="33">
        <f>K44*Delta+I44*K44-J44*(DeathPayment-K44)</f>
        <v>-15.10457389975258</v>
      </c>
    </row>
    <row r="45" spans="1:12" x14ac:dyDescent="0.45">
      <c r="A45" s="11">
        <v>17.16</v>
      </c>
      <c r="B45" s="14">
        <v>6.0203999999999998E-4</v>
      </c>
      <c r="C45" s="15">
        <v>1.6996000000000001E-4</v>
      </c>
      <c r="F45" s="28">
        <v>0.2</v>
      </c>
      <c r="G45" s="29">
        <f t="shared" si="0"/>
        <v>55.2</v>
      </c>
      <c r="H45" s="29">
        <f t="shared" si="1"/>
        <v>50.2</v>
      </c>
      <c r="I45" s="38">
        <f t="shared" si="2"/>
        <v>4.3261999999999997E-3</v>
      </c>
      <c r="J45" s="38">
        <f t="shared" si="3"/>
        <v>1.8343999999999999E-3</v>
      </c>
      <c r="K45" s="32">
        <f>K44+StepSize*L44</f>
        <v>975.00313312427272</v>
      </c>
      <c r="L45" s="33">
        <f>K45*Delta+I45*K45-J45*(DeathPayment-K45)</f>
        <v>-15.20052406831897</v>
      </c>
    </row>
    <row r="46" spans="1:12" x14ac:dyDescent="0.45">
      <c r="A46" s="11">
        <v>17.170000000000002</v>
      </c>
      <c r="B46" s="14">
        <v>6.0198000000000001E-4</v>
      </c>
      <c r="C46" s="15">
        <v>1.7002E-4</v>
      </c>
      <c r="F46" s="28">
        <v>0.21</v>
      </c>
      <c r="G46" s="29">
        <f t="shared" si="0"/>
        <v>55.21</v>
      </c>
      <c r="H46" s="29">
        <f t="shared" si="1"/>
        <v>50.21</v>
      </c>
      <c r="I46" s="38">
        <f t="shared" si="2"/>
        <v>4.3314599999999997E-3</v>
      </c>
      <c r="J46" s="38">
        <f t="shared" si="3"/>
        <v>1.83622E-3</v>
      </c>
      <c r="K46" s="32">
        <f>K45+StepSize*L45</f>
        <v>974.85112788358958</v>
      </c>
      <c r="L46" s="33">
        <f>K46*Delta+I46*K46-J46*(DeathPayment-K46)</f>
        <v>-15.296551685389076</v>
      </c>
    </row>
    <row r="47" spans="1:12" x14ac:dyDescent="0.45">
      <c r="A47" s="11">
        <v>17.18</v>
      </c>
      <c r="B47" s="14">
        <v>6.0192000000000004E-4</v>
      </c>
      <c r="C47" s="15">
        <v>1.7008E-4</v>
      </c>
      <c r="F47" s="28">
        <v>0.22</v>
      </c>
      <c r="G47" s="29">
        <f t="shared" si="0"/>
        <v>55.22</v>
      </c>
      <c r="H47" s="29">
        <f t="shared" si="1"/>
        <v>50.22</v>
      </c>
      <c r="I47" s="38">
        <f t="shared" si="2"/>
        <v>4.3367199999999996E-3</v>
      </c>
      <c r="J47" s="38">
        <f t="shared" si="3"/>
        <v>1.83804E-3</v>
      </c>
      <c r="K47" s="32">
        <f>K46+StepSize*L46</f>
        <v>974.69816236673569</v>
      </c>
      <c r="L47" s="33">
        <f>K47*Delta+I47*K47-J47*(DeathPayment-K47)</f>
        <v>-15.39265683213624</v>
      </c>
    </row>
    <row r="48" spans="1:12" x14ac:dyDescent="0.45">
      <c r="A48" s="11">
        <v>17.190000000000001</v>
      </c>
      <c r="B48" s="14">
        <v>6.0185999999999996E-4</v>
      </c>
      <c r="C48" s="15">
        <v>1.7013999999999999E-4</v>
      </c>
      <c r="F48" s="28">
        <v>0.23</v>
      </c>
      <c r="G48" s="29">
        <f t="shared" si="0"/>
        <v>55.23</v>
      </c>
      <c r="H48" s="29">
        <f t="shared" si="1"/>
        <v>50.23</v>
      </c>
      <c r="I48" s="38">
        <f t="shared" si="2"/>
        <v>4.3419799999999996E-3</v>
      </c>
      <c r="J48" s="38">
        <f t="shared" si="3"/>
        <v>1.83986E-3</v>
      </c>
      <c r="K48" s="32">
        <f>K47+StepSize*L47</f>
        <v>974.54423579841432</v>
      </c>
      <c r="L48" s="33">
        <f>K48*Delta+I48*K48-J48*(DeathPayment-K48)</f>
        <v>-15.488839589819491</v>
      </c>
    </row>
    <row r="49" spans="1:12" x14ac:dyDescent="0.45">
      <c r="A49" s="11">
        <v>17.2</v>
      </c>
      <c r="B49" s="14">
        <v>6.0179999999999999E-4</v>
      </c>
      <c r="C49" s="15">
        <v>1.7019999999999999E-4</v>
      </c>
      <c r="F49" s="28">
        <v>0.24</v>
      </c>
      <c r="G49" s="29">
        <f t="shared" si="0"/>
        <v>55.24</v>
      </c>
      <c r="H49" s="29">
        <f t="shared" si="1"/>
        <v>50.24</v>
      </c>
      <c r="I49" s="38">
        <f t="shared" si="2"/>
        <v>4.3472399999999996E-3</v>
      </c>
      <c r="J49" s="38">
        <f t="shared" si="3"/>
        <v>1.8416800000000001E-3</v>
      </c>
      <c r="K49" s="32">
        <f>K48+StepSize*L48</f>
        <v>974.38934740251614</v>
      </c>
      <c r="L49" s="33">
        <f>K49*Delta+I49*K49-J49*(DeathPayment-K49)</f>
        <v>-15.585100039783555</v>
      </c>
    </row>
    <row r="50" spans="1:12" x14ac:dyDescent="0.45">
      <c r="A50" s="11">
        <v>17.21</v>
      </c>
      <c r="B50" s="14">
        <v>6.0174000000000002E-4</v>
      </c>
      <c r="C50" s="15">
        <v>1.7026000000000001E-4</v>
      </c>
      <c r="F50" s="28">
        <v>0.25</v>
      </c>
      <c r="G50" s="29">
        <f t="shared" si="0"/>
        <v>55.25</v>
      </c>
      <c r="H50" s="29">
        <f t="shared" si="1"/>
        <v>50.25</v>
      </c>
      <c r="I50" s="38">
        <f t="shared" si="2"/>
        <v>4.3524999999999996E-3</v>
      </c>
      <c r="J50" s="38">
        <f t="shared" si="3"/>
        <v>1.8435000000000001E-3</v>
      </c>
      <c r="K50" s="32">
        <f>K49+StepSize*L49</f>
        <v>974.23349640211825</v>
      </c>
      <c r="L50" s="33">
        <f>K50*Delta+I50*K50-J50*(DeathPayment-K50)</f>
        <v>-15.681438263459029</v>
      </c>
    </row>
    <row r="51" spans="1:12" x14ac:dyDescent="0.45">
      <c r="A51" s="11">
        <v>17.22</v>
      </c>
      <c r="B51" s="14">
        <v>6.0168000000000005E-4</v>
      </c>
      <c r="C51" s="15">
        <v>1.7032000000000001E-4</v>
      </c>
      <c r="F51" s="28">
        <v>0.26</v>
      </c>
      <c r="G51" s="29">
        <f t="shared" si="0"/>
        <v>55.26</v>
      </c>
      <c r="H51" s="29">
        <f t="shared" si="1"/>
        <v>50.26</v>
      </c>
      <c r="I51" s="38">
        <f t="shared" si="2"/>
        <v>4.3577599999999996E-3</v>
      </c>
      <c r="J51" s="38">
        <f t="shared" si="3"/>
        <v>1.8453199999999999E-3</v>
      </c>
      <c r="K51" s="32">
        <f>K50+StepSize*L50</f>
        <v>974.07668201948366</v>
      </c>
      <c r="L51" s="33">
        <f>K51*Delta+I51*K51-J51*(DeathPayment-K51)</f>
        <v>-15.77785434236246</v>
      </c>
    </row>
    <row r="52" spans="1:12" x14ac:dyDescent="0.45">
      <c r="A52" s="11">
        <v>17.23</v>
      </c>
      <c r="B52" s="14">
        <v>6.0161999999999998E-4</v>
      </c>
      <c r="C52" s="15">
        <v>1.7038000000000001E-4</v>
      </c>
      <c r="F52" s="28">
        <v>0.27</v>
      </c>
      <c r="G52" s="29">
        <f t="shared" si="0"/>
        <v>55.27</v>
      </c>
      <c r="H52" s="29">
        <f t="shared" si="1"/>
        <v>50.27</v>
      </c>
      <c r="I52" s="38">
        <f t="shared" si="2"/>
        <v>4.3630199999999996E-3</v>
      </c>
      <c r="J52" s="38">
        <f t="shared" si="3"/>
        <v>1.8471399999999999E-3</v>
      </c>
      <c r="K52" s="32">
        <f>K51+StepSize*L51</f>
        <v>973.91890347606</v>
      </c>
      <c r="L52" s="33">
        <f>K52*Delta+I52*K52-J52*(DeathPayment-K52)</f>
        <v>-15.874348358096455</v>
      </c>
    </row>
    <row r="53" spans="1:12" x14ac:dyDescent="0.45">
      <c r="A53" s="11">
        <v>17.239999999999998</v>
      </c>
      <c r="B53" s="14">
        <v>6.0156000000000001E-4</v>
      </c>
      <c r="C53" s="15">
        <v>1.7044E-4</v>
      </c>
      <c r="F53" s="28">
        <v>0.28000000000000003</v>
      </c>
      <c r="G53" s="29">
        <f t="shared" si="0"/>
        <v>55.28</v>
      </c>
      <c r="H53" s="29">
        <f t="shared" si="1"/>
        <v>50.28</v>
      </c>
      <c r="I53" s="38">
        <f t="shared" si="2"/>
        <v>4.3682800000000004E-3</v>
      </c>
      <c r="J53" s="38">
        <f t="shared" si="3"/>
        <v>1.84896E-3</v>
      </c>
      <c r="K53" s="32">
        <f>K52+StepSize*L52</f>
        <v>973.76015999247898</v>
      </c>
      <c r="L53" s="33">
        <f>K53*Delta+I53*K53-J53*(DeathPayment-K53)</f>
        <v>-15.97092039234974</v>
      </c>
    </row>
    <row r="54" spans="1:12" x14ac:dyDescent="0.45">
      <c r="A54" s="11">
        <v>17.25</v>
      </c>
      <c r="B54" s="14">
        <v>6.0150000000000004E-4</v>
      </c>
      <c r="C54" s="15">
        <v>1.705E-4</v>
      </c>
      <c r="F54" s="28">
        <v>0.28999999999999998</v>
      </c>
      <c r="G54" s="29">
        <f t="shared" si="0"/>
        <v>55.29</v>
      </c>
      <c r="H54" s="29">
        <f t="shared" si="1"/>
        <v>50.29</v>
      </c>
      <c r="I54" s="38">
        <f t="shared" si="2"/>
        <v>4.3735400000000004E-3</v>
      </c>
      <c r="J54" s="38">
        <f t="shared" si="3"/>
        <v>1.85078E-3</v>
      </c>
      <c r="K54" s="32">
        <f>K53+StepSize*L53</f>
        <v>973.60045078855546</v>
      </c>
      <c r="L54" s="33">
        <f>K54*Delta+I54*K54-J54*(DeathPayment-K54)</f>
        <v>-16.067570526897285</v>
      </c>
    </row>
    <row r="55" spans="1:12" x14ac:dyDescent="0.45">
      <c r="A55" s="11">
        <v>17.260000000000002</v>
      </c>
      <c r="B55" s="14">
        <v>6.0143999999999996E-4</v>
      </c>
      <c r="C55" s="15">
        <v>1.7055999999999999E-4</v>
      </c>
      <c r="F55" s="28">
        <v>0.3</v>
      </c>
      <c r="G55" s="29">
        <f t="shared" si="0"/>
        <v>55.3</v>
      </c>
      <c r="H55" s="29">
        <f t="shared" si="1"/>
        <v>50.3</v>
      </c>
      <c r="I55" s="38">
        <f t="shared" si="2"/>
        <v>4.3788000000000004E-3</v>
      </c>
      <c r="J55" s="38">
        <f t="shared" si="3"/>
        <v>1.8526E-3</v>
      </c>
      <c r="K55" s="32">
        <f>K54+StepSize*L54</f>
        <v>973.43977508328646</v>
      </c>
      <c r="L55" s="33">
        <f>K55*Delta+I55*K55-J55*(DeathPayment-K55)</f>
        <v>-16.164298843600335</v>
      </c>
    </row>
    <row r="56" spans="1:12" x14ac:dyDescent="0.45">
      <c r="A56" s="11">
        <v>17.27</v>
      </c>
      <c r="B56" s="14">
        <v>6.0137999999999999E-4</v>
      </c>
      <c r="C56" s="15">
        <v>1.7061999999999999E-4</v>
      </c>
      <c r="F56" s="28">
        <v>0.31</v>
      </c>
      <c r="G56" s="29">
        <f t="shared" si="0"/>
        <v>55.31</v>
      </c>
      <c r="H56" s="29">
        <f t="shared" si="1"/>
        <v>50.31</v>
      </c>
      <c r="I56" s="38">
        <f t="shared" si="2"/>
        <v>4.3840600000000004E-3</v>
      </c>
      <c r="J56" s="38">
        <f t="shared" si="3"/>
        <v>1.8544200000000001E-3</v>
      </c>
      <c r="K56" s="32">
        <f>K55+StepSize*L55</f>
        <v>973.27813209485043</v>
      </c>
      <c r="L56" s="33">
        <f>K56*Delta+I56*K56-J56*(DeathPayment-K56)</f>
        <v>-16.261105424406637</v>
      </c>
    </row>
    <row r="57" spans="1:12" x14ac:dyDescent="0.45">
      <c r="A57" s="11">
        <v>17.28</v>
      </c>
      <c r="B57" s="14">
        <v>6.0132000000000002E-4</v>
      </c>
      <c r="C57" s="15">
        <v>1.7068000000000001E-4</v>
      </c>
      <c r="F57" s="28">
        <v>0.32</v>
      </c>
      <c r="G57" s="29">
        <f t="shared" si="0"/>
        <v>55.32</v>
      </c>
      <c r="H57" s="29">
        <f t="shared" si="1"/>
        <v>50.32</v>
      </c>
      <c r="I57" s="38">
        <f t="shared" si="2"/>
        <v>4.3893200000000004E-3</v>
      </c>
      <c r="J57" s="38">
        <f t="shared" si="3"/>
        <v>1.8562400000000001E-3</v>
      </c>
      <c r="K57" s="32">
        <f>K56+StepSize*L56</f>
        <v>973.11552104060638</v>
      </c>
      <c r="L57" s="33">
        <f>K57*Delta+I57*K57-J57*(DeathPayment-K57)</f>
        <v>-16.357990351350438</v>
      </c>
    </row>
    <row r="58" spans="1:12" x14ac:dyDescent="0.45">
      <c r="A58" s="11">
        <v>17.29</v>
      </c>
      <c r="B58" s="14">
        <v>6.0126000000000005E-4</v>
      </c>
      <c r="C58" s="15">
        <v>1.7074000000000001E-4</v>
      </c>
      <c r="F58" s="28">
        <v>0.33</v>
      </c>
      <c r="G58" s="29">
        <f t="shared" si="0"/>
        <v>55.33</v>
      </c>
      <c r="H58" s="29">
        <f t="shared" si="1"/>
        <v>50.33</v>
      </c>
      <c r="I58" s="38">
        <f t="shared" si="2"/>
        <v>4.3945800000000004E-3</v>
      </c>
      <c r="J58" s="38">
        <f t="shared" si="3"/>
        <v>1.8580599999999999E-3</v>
      </c>
      <c r="K58" s="32">
        <f>K57+StepSize*L57</f>
        <v>972.95194113709283</v>
      </c>
      <c r="L58" s="33">
        <f>K58*Delta+I58*K58-J58*(DeathPayment-K58)</f>
        <v>-16.454953706552601</v>
      </c>
    </row>
    <row r="59" spans="1:12" x14ac:dyDescent="0.45">
      <c r="A59" s="11">
        <v>17.3</v>
      </c>
      <c r="B59" s="14">
        <v>6.0119999999999998E-4</v>
      </c>
      <c r="C59" s="15">
        <v>1.708E-4</v>
      </c>
      <c r="F59" s="28">
        <v>0.34</v>
      </c>
      <c r="G59" s="29">
        <f t="shared" si="0"/>
        <v>55.34</v>
      </c>
      <c r="H59" s="29">
        <f t="shared" si="1"/>
        <v>50.34</v>
      </c>
      <c r="I59" s="38">
        <f t="shared" si="2"/>
        <v>4.3998400000000003E-3</v>
      </c>
      <c r="J59" s="38">
        <f t="shared" si="3"/>
        <v>1.85988E-3</v>
      </c>
      <c r="K59" s="32">
        <f>K58+StepSize*L58</f>
        <v>972.78739160002726</v>
      </c>
      <c r="L59" s="33">
        <f>K59*Delta+I59*K59-J59*(DeathPayment-K59)</f>
        <v>-16.551995572220733</v>
      </c>
    </row>
    <row r="60" spans="1:12" x14ac:dyDescent="0.45">
      <c r="A60" s="11">
        <v>17.309999999999999</v>
      </c>
      <c r="B60" s="14">
        <v>6.0114000000000001E-4</v>
      </c>
      <c r="C60" s="15">
        <v>1.7086E-4</v>
      </c>
      <c r="F60" s="28">
        <v>0.35</v>
      </c>
      <c r="G60" s="29">
        <f t="shared" si="0"/>
        <v>55.35</v>
      </c>
      <c r="H60" s="29">
        <f t="shared" si="1"/>
        <v>50.35</v>
      </c>
      <c r="I60" s="38">
        <f t="shared" si="2"/>
        <v>4.4051000000000003E-3</v>
      </c>
      <c r="J60" s="38">
        <f t="shared" si="3"/>
        <v>1.8617E-3</v>
      </c>
      <c r="K60" s="32">
        <f>K59+StepSize*L59</f>
        <v>972.62187164430509</v>
      </c>
      <c r="L60" s="33">
        <f>K60*Delta+I60*K60-J60*(DeathPayment-K60)</f>
        <v>-16.649116030649182</v>
      </c>
    </row>
    <row r="61" spans="1:12" x14ac:dyDescent="0.45">
      <c r="A61" s="11">
        <v>17.32</v>
      </c>
      <c r="B61" s="14">
        <v>6.0108000000000004E-4</v>
      </c>
      <c r="C61" s="15">
        <v>1.7092E-4</v>
      </c>
      <c r="F61" s="28">
        <v>0.36</v>
      </c>
      <c r="G61" s="29">
        <f t="shared" si="0"/>
        <v>55.36</v>
      </c>
      <c r="H61" s="29">
        <f t="shared" si="1"/>
        <v>50.36</v>
      </c>
      <c r="I61" s="38">
        <f t="shared" si="2"/>
        <v>4.4103600000000003E-3</v>
      </c>
      <c r="J61" s="38">
        <f t="shared" si="3"/>
        <v>1.86352E-3</v>
      </c>
      <c r="K61" s="32">
        <f>K60+StepSize*L60</f>
        <v>972.45538048399862</v>
      </c>
      <c r="L61" s="33">
        <f>K61*Delta+I61*K61-J61*(DeathPayment-K61)</f>
        <v>-16.746315164219268</v>
      </c>
    </row>
    <row r="62" spans="1:12" x14ac:dyDescent="0.45">
      <c r="A62" s="11">
        <v>17.329999999999998</v>
      </c>
      <c r="B62" s="14">
        <v>6.0101999999999996E-4</v>
      </c>
      <c r="C62" s="15">
        <v>1.7097999999999999E-4</v>
      </c>
      <c r="F62" s="28">
        <v>0.37</v>
      </c>
      <c r="G62" s="29">
        <f t="shared" si="0"/>
        <v>55.37</v>
      </c>
      <c r="H62" s="29">
        <f t="shared" si="1"/>
        <v>50.37</v>
      </c>
      <c r="I62" s="38">
        <f t="shared" si="2"/>
        <v>4.4156200000000003E-3</v>
      </c>
      <c r="J62" s="38">
        <f t="shared" si="3"/>
        <v>1.8653400000000001E-3</v>
      </c>
      <c r="K62" s="32">
        <f>K61+StepSize*L61</f>
        <v>972.28791733235641</v>
      </c>
      <c r="L62" s="33">
        <f>K62*Delta+I62*K62-J62*(DeathPayment-K62)</f>
        <v>-16.843593055399353</v>
      </c>
    </row>
    <row r="63" spans="1:12" x14ac:dyDescent="0.45">
      <c r="A63" s="11">
        <v>17.34</v>
      </c>
      <c r="B63" s="14">
        <v>6.0095999999999999E-4</v>
      </c>
      <c r="C63" s="15">
        <v>1.7103999999999999E-4</v>
      </c>
      <c r="F63" s="28">
        <v>0.38</v>
      </c>
      <c r="G63" s="29">
        <f t="shared" si="0"/>
        <v>55.38</v>
      </c>
      <c r="H63" s="29">
        <f t="shared" si="1"/>
        <v>50.38</v>
      </c>
      <c r="I63" s="38">
        <f t="shared" si="2"/>
        <v>4.4208800000000003E-3</v>
      </c>
      <c r="J63" s="38">
        <f t="shared" si="3"/>
        <v>1.8671600000000001E-3</v>
      </c>
      <c r="K63" s="32">
        <f>K62+StepSize*L62</f>
        <v>972.11948140180243</v>
      </c>
      <c r="L63" s="33">
        <f>K63*Delta+I63*K63-J63*(DeathPayment-K63)</f>
        <v>-16.940949786744852</v>
      </c>
    </row>
    <row r="64" spans="1:12" x14ac:dyDescent="0.45">
      <c r="A64" s="11">
        <v>17.350000000000001</v>
      </c>
      <c r="B64" s="14">
        <v>6.0090000000000002E-4</v>
      </c>
      <c r="C64" s="15">
        <v>1.7110000000000001E-4</v>
      </c>
      <c r="F64" s="28">
        <v>0.39</v>
      </c>
      <c r="G64" s="29">
        <f t="shared" si="0"/>
        <v>55.39</v>
      </c>
      <c r="H64" s="29">
        <f t="shared" si="1"/>
        <v>50.39</v>
      </c>
      <c r="I64" s="38">
        <f t="shared" si="2"/>
        <v>4.4261400000000003E-3</v>
      </c>
      <c r="J64" s="38">
        <f t="shared" si="3"/>
        <v>1.8689799999999999E-3</v>
      </c>
      <c r="K64" s="32">
        <f>K63+StepSize*L63</f>
        <v>971.95007190393494</v>
      </c>
      <c r="L64" s="33">
        <f>K64*Delta+I64*K64-J64*(DeathPayment-K64)</f>
        <v>-17.038385440898395</v>
      </c>
    </row>
    <row r="65" spans="1:12" x14ac:dyDescent="0.45">
      <c r="A65" s="11">
        <v>17.36</v>
      </c>
      <c r="B65" s="14">
        <v>6.0083999999999995E-4</v>
      </c>
      <c r="C65" s="15">
        <v>1.7116000000000001E-4</v>
      </c>
      <c r="F65" s="28">
        <v>0.4</v>
      </c>
      <c r="G65" s="29">
        <f t="shared" si="0"/>
        <v>55.4</v>
      </c>
      <c r="H65" s="29">
        <f t="shared" si="1"/>
        <v>50.4</v>
      </c>
      <c r="I65" s="38">
        <f t="shared" si="2"/>
        <v>4.4314000000000003E-3</v>
      </c>
      <c r="J65" s="38">
        <f t="shared" si="3"/>
        <v>1.8707999999999999E-3</v>
      </c>
      <c r="K65" s="32">
        <f>K64+StepSize*L64</f>
        <v>971.77968804952593</v>
      </c>
      <c r="L65" s="33">
        <f>K65*Delta+I65*K65-J65*(DeathPayment-K65)</f>
        <v>-17.135900100589907</v>
      </c>
    </row>
    <row r="66" spans="1:12" x14ac:dyDescent="0.45">
      <c r="A66" s="11">
        <v>17.37</v>
      </c>
      <c r="B66" s="14">
        <v>6.0077999999999998E-4</v>
      </c>
      <c r="C66" s="15">
        <v>1.7122E-4</v>
      </c>
      <c r="F66" s="28">
        <v>0.41</v>
      </c>
      <c r="G66" s="29">
        <f t="shared" si="0"/>
        <v>55.41</v>
      </c>
      <c r="H66" s="29">
        <f t="shared" si="1"/>
        <v>50.41</v>
      </c>
      <c r="I66" s="38">
        <f t="shared" si="2"/>
        <v>4.4366600000000003E-3</v>
      </c>
      <c r="J66" s="38">
        <f t="shared" si="3"/>
        <v>1.87262E-3</v>
      </c>
      <c r="K66" s="32">
        <f>K65+StepSize*L65</f>
        <v>971.60832904851998</v>
      </c>
      <c r="L66" s="33">
        <f>K66*Delta+I66*K66-J66*(DeathPayment-K66)</f>
        <v>-17.233493848636769</v>
      </c>
    </row>
    <row r="67" spans="1:12" x14ac:dyDescent="0.45">
      <c r="A67" s="11">
        <v>17.38</v>
      </c>
      <c r="B67" s="14">
        <v>6.0072000000000001E-4</v>
      </c>
      <c r="C67" s="15">
        <v>1.7128E-4</v>
      </c>
      <c r="F67" s="28">
        <v>0.42</v>
      </c>
      <c r="G67" s="29">
        <f t="shared" si="0"/>
        <v>55.42</v>
      </c>
      <c r="H67" s="29">
        <f t="shared" si="1"/>
        <v>50.42</v>
      </c>
      <c r="I67" s="38">
        <f t="shared" si="2"/>
        <v>4.4419200000000002E-3</v>
      </c>
      <c r="J67" s="38">
        <f t="shared" si="3"/>
        <v>1.87444E-3</v>
      </c>
      <c r="K67" s="32">
        <f>K66+StepSize*L66</f>
        <v>971.43599411003356</v>
      </c>
      <c r="L67" s="33">
        <f>K67*Delta+I67*K67-J67*(DeathPayment-K67)</f>
        <v>-17.331166767943785</v>
      </c>
    </row>
    <row r="68" spans="1:12" x14ac:dyDescent="0.45">
      <c r="A68" s="11">
        <v>17.39</v>
      </c>
      <c r="B68" s="14">
        <v>6.0066000000000004E-4</v>
      </c>
      <c r="C68" s="15">
        <v>1.7134E-4</v>
      </c>
      <c r="F68" s="28">
        <v>0.43</v>
      </c>
      <c r="G68" s="29">
        <f t="shared" si="0"/>
        <v>55.43</v>
      </c>
      <c r="H68" s="29">
        <f t="shared" si="1"/>
        <v>50.43</v>
      </c>
      <c r="I68" s="38">
        <f t="shared" si="2"/>
        <v>4.4471800000000002E-3</v>
      </c>
      <c r="J68" s="38">
        <f t="shared" si="3"/>
        <v>1.87626E-3</v>
      </c>
      <c r="K68" s="32">
        <f>K67+StepSize*L67</f>
        <v>971.26268244235416</v>
      </c>
      <c r="L68" s="33">
        <f>K68*Delta+I68*K68-J68*(DeathPayment-K68)</f>
        <v>-17.428918941503383</v>
      </c>
    </row>
    <row r="69" spans="1:12" x14ac:dyDescent="0.45">
      <c r="A69" s="11">
        <v>17.399999999999999</v>
      </c>
      <c r="B69" s="14">
        <v>6.0059999999999996E-4</v>
      </c>
      <c r="C69" s="15">
        <v>1.7139999999999999E-4</v>
      </c>
      <c r="F69" s="28">
        <v>0.44</v>
      </c>
      <c r="G69" s="29">
        <f t="shared" si="0"/>
        <v>55.44</v>
      </c>
      <c r="H69" s="29">
        <f t="shared" si="1"/>
        <v>50.44</v>
      </c>
      <c r="I69" s="38">
        <f t="shared" si="2"/>
        <v>4.4524400000000002E-3</v>
      </c>
      <c r="J69" s="38">
        <f t="shared" si="3"/>
        <v>1.8780800000000001E-3</v>
      </c>
      <c r="K69" s="32">
        <f>K68+StepSize*L68</f>
        <v>971.08839325293911</v>
      </c>
      <c r="L69" s="33">
        <f>K69*Delta+I69*K69-J69*(DeathPayment-K69)</f>
        <v>-17.526750452395746</v>
      </c>
    </row>
    <row r="70" spans="1:12" x14ac:dyDescent="0.45">
      <c r="A70" s="11">
        <v>17.41</v>
      </c>
      <c r="B70" s="14">
        <v>6.0053999999999999E-4</v>
      </c>
      <c r="C70" s="15">
        <v>1.7145999999999999E-4</v>
      </c>
      <c r="F70" s="28">
        <v>0.45</v>
      </c>
      <c r="G70" s="29">
        <f t="shared" si="0"/>
        <v>55.45</v>
      </c>
      <c r="H70" s="29">
        <f t="shared" si="1"/>
        <v>50.45</v>
      </c>
      <c r="I70" s="38">
        <f t="shared" si="2"/>
        <v>4.4577000000000002E-3</v>
      </c>
      <c r="J70" s="38">
        <f t="shared" si="3"/>
        <v>1.8799000000000001E-3</v>
      </c>
      <c r="K70" s="32">
        <f>K69+StepSize*L69</f>
        <v>970.91312574841515</v>
      </c>
      <c r="L70" s="33">
        <f>K70*Delta+I70*K70-J70*(DeathPayment-K70)</f>
        <v>-17.624661383788762</v>
      </c>
    </row>
    <row r="71" spans="1:12" x14ac:dyDescent="0.45">
      <c r="A71" s="11">
        <v>17.420000000000002</v>
      </c>
      <c r="B71" s="14">
        <v>6.0048000000000002E-4</v>
      </c>
      <c r="C71" s="15">
        <v>1.7152000000000001E-4</v>
      </c>
      <c r="F71" s="28">
        <v>0.46</v>
      </c>
      <c r="G71" s="29">
        <f t="shared" si="0"/>
        <v>55.46</v>
      </c>
      <c r="H71" s="29">
        <f t="shared" si="1"/>
        <v>50.46</v>
      </c>
      <c r="I71" s="38">
        <f t="shared" si="2"/>
        <v>4.4629600000000002E-3</v>
      </c>
      <c r="J71" s="38">
        <f t="shared" si="3"/>
        <v>1.8817199999999999E-3</v>
      </c>
      <c r="K71" s="32">
        <f>K70+StepSize*L70</f>
        <v>970.73687913457729</v>
      </c>
      <c r="L71" s="33">
        <f>K71*Delta+I71*K71-J71*(DeathPayment-K71)</f>
        <v>-17.722651818938274</v>
      </c>
    </row>
    <row r="72" spans="1:12" x14ac:dyDescent="0.45">
      <c r="A72" s="11">
        <v>17.43</v>
      </c>
      <c r="B72" s="14">
        <v>6.0041999999999995E-4</v>
      </c>
      <c r="C72" s="15">
        <v>1.7158000000000001E-4</v>
      </c>
      <c r="F72" s="28">
        <v>0.47</v>
      </c>
      <c r="G72" s="29">
        <f t="shared" si="0"/>
        <v>55.47</v>
      </c>
      <c r="H72" s="29">
        <f t="shared" si="1"/>
        <v>50.47</v>
      </c>
      <c r="I72" s="38">
        <f t="shared" si="2"/>
        <v>4.4682200000000002E-3</v>
      </c>
      <c r="J72" s="38">
        <f t="shared" si="3"/>
        <v>1.88354E-3</v>
      </c>
      <c r="K72" s="32">
        <f>K71+StepSize*L71</f>
        <v>970.55965261638789</v>
      </c>
      <c r="L72" s="33">
        <f>K72*Delta+I72*K72-J72*(DeathPayment-K72)</f>
        <v>-17.820721841188089</v>
      </c>
    </row>
    <row r="73" spans="1:12" x14ac:dyDescent="0.45">
      <c r="A73" s="11">
        <v>17.440000000000001</v>
      </c>
      <c r="B73" s="14">
        <v>6.0035999999999998E-4</v>
      </c>
      <c r="C73" s="15">
        <v>1.7164E-4</v>
      </c>
      <c r="F73" s="28">
        <v>0.48</v>
      </c>
      <c r="G73" s="29">
        <f t="shared" si="0"/>
        <v>55.48</v>
      </c>
      <c r="H73" s="29">
        <f t="shared" si="1"/>
        <v>50.48</v>
      </c>
      <c r="I73" s="38">
        <f t="shared" si="2"/>
        <v>4.4734800000000002E-3</v>
      </c>
      <c r="J73" s="38">
        <f t="shared" si="3"/>
        <v>1.88536E-3</v>
      </c>
      <c r="K73" s="32">
        <f>K72+StepSize*L72</f>
        <v>970.38144539797599</v>
      </c>
      <c r="L73" s="33">
        <f>K73*Delta+I73*K73-J73*(DeathPayment-K73)</f>
        <v>-17.918871533970105</v>
      </c>
    </row>
    <row r="74" spans="1:12" x14ac:dyDescent="0.45">
      <c r="A74" s="11">
        <v>17.45</v>
      </c>
      <c r="B74" s="14">
        <v>6.0030000000000001E-4</v>
      </c>
      <c r="C74" s="15">
        <v>1.717E-4</v>
      </c>
      <c r="F74" s="28">
        <v>0.49</v>
      </c>
      <c r="G74" s="29">
        <f t="shared" si="0"/>
        <v>55.49</v>
      </c>
      <c r="H74" s="29">
        <f t="shared" si="1"/>
        <v>50.49</v>
      </c>
      <c r="I74" s="38">
        <f t="shared" si="2"/>
        <v>4.4787400000000002E-3</v>
      </c>
      <c r="J74" s="38">
        <f t="shared" si="3"/>
        <v>1.88718E-3</v>
      </c>
      <c r="K74" s="32">
        <f>K73+StepSize*L73</f>
        <v>970.20225668263629</v>
      </c>
      <c r="L74" s="33">
        <f>K74*Delta+I74*K74-J74*(DeathPayment-K74)</f>
        <v>-18.017100980804415</v>
      </c>
    </row>
    <row r="75" spans="1:12" x14ac:dyDescent="0.45">
      <c r="A75" s="11">
        <v>17.46</v>
      </c>
      <c r="B75" s="14">
        <v>6.0024000000000004E-4</v>
      </c>
      <c r="C75" s="15">
        <v>1.7176E-4</v>
      </c>
      <c r="F75" s="28">
        <v>0.5</v>
      </c>
      <c r="G75" s="29">
        <f t="shared" si="0"/>
        <v>55.5</v>
      </c>
      <c r="H75" s="29">
        <f t="shared" si="1"/>
        <v>50.5</v>
      </c>
      <c r="I75" s="38">
        <f t="shared" si="2"/>
        <v>4.4840000000000001E-3</v>
      </c>
      <c r="J75" s="38">
        <f t="shared" si="3"/>
        <v>1.8890000000000001E-3</v>
      </c>
      <c r="K75" s="32">
        <f>K74+StepSize*L74</f>
        <v>970.02208567282821</v>
      </c>
      <c r="L75" s="33">
        <f>K75*Delta+I75*K75-J75*(DeathPayment-K75)</f>
        <v>-18.115410265299403</v>
      </c>
    </row>
    <row r="76" spans="1:12" x14ac:dyDescent="0.45">
      <c r="A76" s="11">
        <v>17.47</v>
      </c>
      <c r="B76" s="14">
        <v>6.0017999999999996E-4</v>
      </c>
      <c r="C76" s="15">
        <v>1.7181999999999999E-4</v>
      </c>
      <c r="F76" s="28">
        <v>0.51</v>
      </c>
      <c r="G76" s="29">
        <f t="shared" si="0"/>
        <v>55.51</v>
      </c>
      <c r="H76" s="29">
        <f t="shared" si="1"/>
        <v>50.51</v>
      </c>
      <c r="I76" s="38">
        <f t="shared" si="2"/>
        <v>4.4892600000000001E-3</v>
      </c>
      <c r="J76" s="38">
        <f t="shared" si="3"/>
        <v>1.8908200000000001E-3</v>
      </c>
      <c r="K76" s="32">
        <f>K75+StepSize*L75</f>
        <v>969.84093157017526</v>
      </c>
      <c r="L76" s="33">
        <f>K76*Delta+I76*K76-J76*(DeathPayment-K76)</f>
        <v>-18.213799471151816</v>
      </c>
    </row>
    <row r="77" spans="1:12" x14ac:dyDescent="0.45">
      <c r="A77" s="11">
        <v>17.48</v>
      </c>
      <c r="B77" s="14">
        <v>6.0011999999999999E-4</v>
      </c>
      <c r="C77" s="15">
        <v>1.7187999999999999E-4</v>
      </c>
      <c r="F77" s="28">
        <v>0.52</v>
      </c>
      <c r="G77" s="29">
        <f t="shared" si="0"/>
        <v>55.52</v>
      </c>
      <c r="H77" s="29">
        <f t="shared" si="1"/>
        <v>50.52</v>
      </c>
      <c r="I77" s="38">
        <f t="shared" si="2"/>
        <v>4.4945200000000001E-3</v>
      </c>
      <c r="J77" s="38">
        <f t="shared" si="3"/>
        <v>1.8926399999999999E-3</v>
      </c>
      <c r="K77" s="32">
        <f>K76+StepSize*L76</f>
        <v>969.65879357546373</v>
      </c>
      <c r="L77" s="33">
        <f>K77*Delta+I77*K77-J77*(DeathPayment-K77)</f>
        <v>-18.312268682146922</v>
      </c>
    </row>
    <row r="78" spans="1:12" x14ac:dyDescent="0.45">
      <c r="A78" s="11">
        <v>17.489999999999998</v>
      </c>
      <c r="B78" s="14">
        <v>6.0006000000000002E-4</v>
      </c>
      <c r="C78" s="15">
        <v>1.7194000000000001E-4</v>
      </c>
      <c r="F78" s="28">
        <v>0.53</v>
      </c>
      <c r="G78" s="29">
        <f t="shared" si="0"/>
        <v>55.53</v>
      </c>
      <c r="H78" s="29">
        <f t="shared" si="1"/>
        <v>50.53</v>
      </c>
      <c r="I78" s="38">
        <f t="shared" si="2"/>
        <v>4.4997800000000001E-3</v>
      </c>
      <c r="J78" s="38">
        <f t="shared" si="3"/>
        <v>1.8944599999999999E-3</v>
      </c>
      <c r="K78" s="32">
        <f>K77+StepSize*L77</f>
        <v>969.4756708886423</v>
      </c>
      <c r="L78" s="33">
        <f>K78*Delta+I78*K78-J78*(DeathPayment-K78)</f>
        <v>-18.410817982158562</v>
      </c>
    </row>
    <row r="79" spans="1:12" x14ac:dyDescent="0.45">
      <c r="A79" s="11">
        <v>17.5</v>
      </c>
      <c r="B79" s="14">
        <v>5.9999999999999995E-4</v>
      </c>
      <c r="C79" s="15">
        <v>1.7200000000000001E-4</v>
      </c>
      <c r="F79" s="28">
        <v>0.54</v>
      </c>
      <c r="G79" s="29">
        <f t="shared" si="0"/>
        <v>55.54</v>
      </c>
      <c r="H79" s="29">
        <f t="shared" si="1"/>
        <v>50.54</v>
      </c>
      <c r="I79" s="38">
        <f t="shared" si="2"/>
        <v>4.5050400000000001E-3</v>
      </c>
      <c r="J79" s="38">
        <f t="shared" si="3"/>
        <v>1.89628E-3</v>
      </c>
      <c r="K79" s="32">
        <f>K78+StepSize*L78</f>
        <v>969.29156270882072</v>
      </c>
      <c r="L79" s="33">
        <f>K79*Delta+I79*K79-J79*(DeathPayment-K79)</f>
        <v>-18.509447455149228</v>
      </c>
    </row>
    <row r="80" spans="1:12" x14ac:dyDescent="0.45">
      <c r="A80" s="11">
        <v>17.510000000000002</v>
      </c>
      <c r="B80" s="14">
        <v>5.9993999999999998E-4</v>
      </c>
      <c r="C80" s="15">
        <v>1.7206E-4</v>
      </c>
      <c r="F80" s="28">
        <v>0.55000000000000004</v>
      </c>
      <c r="G80" s="29">
        <f t="shared" si="0"/>
        <v>55.55</v>
      </c>
      <c r="H80" s="29">
        <f t="shared" si="1"/>
        <v>50.55</v>
      </c>
      <c r="I80" s="38">
        <f t="shared" si="2"/>
        <v>4.5103000000000001E-3</v>
      </c>
      <c r="J80" s="38">
        <f t="shared" si="3"/>
        <v>1.8981E-3</v>
      </c>
      <c r="K80" s="32">
        <f>K79+StepSize*L79</f>
        <v>969.10646823426919</v>
      </c>
      <c r="L80" s="33">
        <f>K80*Delta+I80*K80-J80*(DeathPayment-K80)</f>
        <v>-18.608157185170271</v>
      </c>
    </row>
    <row r="81" spans="1:12" x14ac:dyDescent="0.45">
      <c r="A81" s="11">
        <v>17.52</v>
      </c>
      <c r="B81" s="14">
        <v>5.9988000000000001E-4</v>
      </c>
      <c r="C81" s="15">
        <v>1.7212E-4</v>
      </c>
      <c r="F81" s="28">
        <v>0.56000000000000005</v>
      </c>
      <c r="G81" s="29">
        <f t="shared" si="0"/>
        <v>55.56</v>
      </c>
      <c r="H81" s="29">
        <f t="shared" si="1"/>
        <v>50.56</v>
      </c>
      <c r="I81" s="38">
        <f t="shared" si="2"/>
        <v>4.5155600000000001E-3</v>
      </c>
      <c r="J81" s="38">
        <f t="shared" si="3"/>
        <v>1.89992E-3</v>
      </c>
      <c r="K81" s="32">
        <f>K80+StepSize*L80</f>
        <v>968.92038666241751</v>
      </c>
      <c r="L81" s="33">
        <f>K81*Delta+I81*K81-J81*(DeathPayment-K81)</f>
        <v>-18.706947256361843</v>
      </c>
    </row>
    <row r="82" spans="1:12" x14ac:dyDescent="0.45">
      <c r="A82" s="11">
        <v>17.53</v>
      </c>
      <c r="B82" s="14">
        <v>5.9982000000000004E-4</v>
      </c>
      <c r="C82" s="15">
        <v>1.7217999999999999E-4</v>
      </c>
      <c r="F82" s="28">
        <v>0.56999999999999995</v>
      </c>
      <c r="G82" s="29">
        <f t="shared" si="0"/>
        <v>55.57</v>
      </c>
      <c r="H82" s="29">
        <f t="shared" si="1"/>
        <v>50.57</v>
      </c>
      <c r="I82" s="38">
        <f t="shared" si="2"/>
        <v>4.52082E-3</v>
      </c>
      <c r="J82" s="38">
        <f t="shared" si="3"/>
        <v>1.9017400000000001E-3</v>
      </c>
      <c r="K82" s="32">
        <f>K81+StepSize*L81</f>
        <v>968.73331718985389</v>
      </c>
      <c r="L82" s="33">
        <f>K82*Delta+I82*K82-J82*(DeathPayment-K82)</f>
        <v>-18.805817752953132</v>
      </c>
    </row>
    <row r="83" spans="1:12" x14ac:dyDescent="0.45">
      <c r="A83" s="11">
        <v>17.54</v>
      </c>
      <c r="B83" s="14">
        <v>5.9975999999999996E-4</v>
      </c>
      <c r="C83" s="15">
        <v>1.7223999999999999E-4</v>
      </c>
      <c r="F83" s="28">
        <v>0.57999999999999996</v>
      </c>
      <c r="G83" s="29">
        <f t="shared" si="0"/>
        <v>55.58</v>
      </c>
      <c r="H83" s="29">
        <f t="shared" si="1"/>
        <v>50.58</v>
      </c>
      <c r="I83" s="38">
        <f t="shared" si="2"/>
        <v>4.52608E-3</v>
      </c>
      <c r="J83" s="38">
        <f t="shared" si="3"/>
        <v>1.9035600000000001E-3</v>
      </c>
      <c r="K83" s="32">
        <f>K82+StepSize*L82</f>
        <v>968.54525901232432</v>
      </c>
      <c r="L83" s="33">
        <f>K83*Delta+I83*K83-J83*(DeathPayment-K83)</f>
        <v>-18.90476875926241</v>
      </c>
    </row>
    <row r="84" spans="1:12" x14ac:dyDescent="0.45">
      <c r="A84" s="11">
        <v>17.55</v>
      </c>
      <c r="B84" s="14">
        <v>5.9969999999999999E-4</v>
      </c>
      <c r="C84" s="15">
        <v>1.7229999999999999E-4</v>
      </c>
      <c r="F84" s="28">
        <v>0.59</v>
      </c>
      <c r="G84" s="29">
        <f t="shared" si="0"/>
        <v>55.59</v>
      </c>
      <c r="H84" s="29">
        <f t="shared" si="1"/>
        <v>50.59</v>
      </c>
      <c r="I84" s="38">
        <f t="shared" si="2"/>
        <v>4.53134E-3</v>
      </c>
      <c r="J84" s="38">
        <f t="shared" si="3"/>
        <v>1.9053799999999999E-3</v>
      </c>
      <c r="K84" s="32">
        <f>K83+StepSize*L83</f>
        <v>968.3562113247317</v>
      </c>
      <c r="L84" s="33">
        <f>K84*Delta+I84*K84-J84*(DeathPayment-K84)</f>
        <v>-19.003800359697081</v>
      </c>
    </row>
    <row r="85" spans="1:12" x14ac:dyDescent="0.45">
      <c r="A85" s="11">
        <v>17.559999999999999</v>
      </c>
      <c r="B85" s="14">
        <v>5.9964000000000003E-4</v>
      </c>
      <c r="C85" s="15">
        <v>1.7236000000000001E-4</v>
      </c>
      <c r="F85" s="28">
        <v>0.6</v>
      </c>
      <c r="G85" s="29">
        <f t="shared" si="0"/>
        <v>55.6</v>
      </c>
      <c r="H85" s="29">
        <f t="shared" si="1"/>
        <v>50.6</v>
      </c>
      <c r="I85" s="38">
        <f t="shared" si="2"/>
        <v>4.5366E-3</v>
      </c>
      <c r="J85" s="38">
        <f t="shared" si="3"/>
        <v>1.9072E-3</v>
      </c>
      <c r="K85" s="32">
        <f>K84+StepSize*L84</f>
        <v>968.16617332113469</v>
      </c>
      <c r="L85" s="33">
        <f>K85*Delta+I85*K85-J85*(DeathPayment-K85)</f>
        <v>-19.102912638753892</v>
      </c>
    </row>
    <row r="86" spans="1:12" x14ac:dyDescent="0.45">
      <c r="A86" s="11">
        <v>17.57</v>
      </c>
      <c r="B86" s="14">
        <v>5.9957999999999995E-4</v>
      </c>
      <c r="C86" s="15">
        <v>1.7242000000000001E-4</v>
      </c>
      <c r="F86" s="28">
        <v>0.61</v>
      </c>
      <c r="G86" s="29">
        <f t="shared" si="0"/>
        <v>55.61</v>
      </c>
      <c r="H86" s="29">
        <f t="shared" si="1"/>
        <v>50.61</v>
      </c>
      <c r="I86" s="38">
        <f t="shared" si="2"/>
        <v>4.54186E-3</v>
      </c>
      <c r="J86" s="38">
        <f t="shared" si="3"/>
        <v>1.90902E-3</v>
      </c>
      <c r="K86" s="32">
        <f>K85+StepSize*L85</f>
        <v>967.97514419474714</v>
      </c>
      <c r="L86" s="33">
        <f>K86*Delta+I86*K86-J86*(DeathPayment-K86)</f>
        <v>-19.202105681018935</v>
      </c>
    </row>
    <row r="87" spans="1:12" x14ac:dyDescent="0.45">
      <c r="A87" s="11">
        <v>17.579999999999998</v>
      </c>
      <c r="B87" s="14">
        <v>5.9951999999999998E-4</v>
      </c>
      <c r="C87" s="15">
        <v>1.7248E-4</v>
      </c>
      <c r="F87" s="28">
        <v>0.62</v>
      </c>
      <c r="G87" s="29">
        <f t="shared" si="0"/>
        <v>55.62</v>
      </c>
      <c r="H87" s="29">
        <f t="shared" si="1"/>
        <v>50.62</v>
      </c>
      <c r="I87" s="38">
        <f t="shared" si="2"/>
        <v>4.54712E-3</v>
      </c>
      <c r="J87" s="38">
        <f t="shared" si="3"/>
        <v>1.91084E-3</v>
      </c>
      <c r="K87" s="32">
        <f>K86+StepSize*L86</f>
        <v>967.78312313793697</v>
      </c>
      <c r="L87" s="33">
        <f>K87*Delta+I87*K87-J87*(DeathPayment-K87)</f>
        <v>-19.3013795711678</v>
      </c>
    </row>
    <row r="88" spans="1:12" x14ac:dyDescent="0.45">
      <c r="A88" s="11">
        <v>17.59</v>
      </c>
      <c r="B88" s="14">
        <v>5.9946000000000001E-4</v>
      </c>
      <c r="C88" s="15">
        <v>1.7254E-4</v>
      </c>
      <c r="F88" s="28">
        <v>0.63</v>
      </c>
      <c r="G88" s="29">
        <f t="shared" si="0"/>
        <v>55.63</v>
      </c>
      <c r="H88" s="29">
        <f t="shared" si="1"/>
        <v>50.63</v>
      </c>
      <c r="I88" s="38">
        <f t="shared" si="2"/>
        <v>4.55238E-3</v>
      </c>
      <c r="J88" s="38">
        <f t="shared" si="3"/>
        <v>1.9126600000000001E-3</v>
      </c>
      <c r="K88" s="32">
        <f>K87+StepSize*L87</f>
        <v>967.59010934222533</v>
      </c>
      <c r="L88" s="33">
        <f>K88*Delta+I88*K88-J88*(DeathPayment-K88)</f>
        <v>-19.400734393965649</v>
      </c>
    </row>
    <row r="89" spans="1:12" x14ac:dyDescent="0.45">
      <c r="A89" s="11">
        <v>17.600000000000001</v>
      </c>
      <c r="B89" s="14">
        <v>5.9940000000000004E-4</v>
      </c>
      <c r="C89" s="15">
        <v>1.7259999999999999E-4</v>
      </c>
      <c r="F89" s="28">
        <v>0.64</v>
      </c>
      <c r="G89" s="29">
        <f t="shared" ref="G89:G152" si="4">ROUND(MaleAgeStart+F89,2)</f>
        <v>55.64</v>
      </c>
      <c r="H89" s="29">
        <f t="shared" ref="H89:H152" si="5">ROUND(FemaleAgeStart+F89,2)</f>
        <v>50.64</v>
      </c>
      <c r="I89" s="38">
        <f t="shared" ref="I89:I152" si="6">VLOOKUP(G89,muValues,2,FALSE)</f>
        <v>4.55764E-3</v>
      </c>
      <c r="J89" s="38">
        <f t="shared" ref="J89:J152" si="7">VLOOKUP(H89,muValues,3,FALSE)</f>
        <v>1.9144800000000001E-3</v>
      </c>
      <c r="K89" s="32">
        <f>K88+StepSize*L88</f>
        <v>967.39610199828564</v>
      </c>
      <c r="L89" s="33">
        <f>K89*Delta+I89*K89-J89*(DeathPayment-K89)</f>
        <v>-19.500170234267401</v>
      </c>
    </row>
    <row r="90" spans="1:12" x14ac:dyDescent="0.45">
      <c r="A90" s="11">
        <v>17.61</v>
      </c>
      <c r="B90" s="14">
        <v>5.9933999999999996E-4</v>
      </c>
      <c r="C90" s="15">
        <v>1.7265999999999999E-4</v>
      </c>
      <c r="F90" s="28">
        <v>0.65</v>
      </c>
      <c r="G90" s="29">
        <f t="shared" si="4"/>
        <v>55.65</v>
      </c>
      <c r="H90" s="29">
        <f t="shared" si="5"/>
        <v>50.65</v>
      </c>
      <c r="I90" s="38">
        <f t="shared" si="6"/>
        <v>4.5628999999999999E-3</v>
      </c>
      <c r="J90" s="38">
        <f t="shared" si="7"/>
        <v>1.9162999999999999E-3</v>
      </c>
      <c r="K90" s="32">
        <f>K89+StepSize*L89</f>
        <v>967.20110029594298</v>
      </c>
      <c r="L90" s="33">
        <f>K90*Delta+I90*K90-J90*(DeathPayment-K90)</f>
        <v>-19.599687177017657</v>
      </c>
    </row>
    <row r="91" spans="1:12" x14ac:dyDescent="0.45">
      <c r="A91" s="11">
        <v>17.62</v>
      </c>
      <c r="B91" s="14">
        <v>5.9927999999999999E-4</v>
      </c>
      <c r="C91" s="15">
        <v>1.7272000000000001E-4</v>
      </c>
      <c r="F91" s="28">
        <v>0.66</v>
      </c>
      <c r="G91" s="29">
        <f t="shared" si="4"/>
        <v>55.66</v>
      </c>
      <c r="H91" s="29">
        <f t="shared" si="5"/>
        <v>50.66</v>
      </c>
      <c r="I91" s="38">
        <f t="shared" si="6"/>
        <v>4.5681599999999999E-3</v>
      </c>
      <c r="J91" s="38">
        <f t="shared" si="7"/>
        <v>1.9181199999999999E-3</v>
      </c>
      <c r="K91" s="32">
        <f>K90+StepSize*L90</f>
        <v>967.00510342417283</v>
      </c>
      <c r="L91" s="33">
        <f>K91*Delta+I91*K91-J91*(DeathPayment-K91)</f>
        <v>-19.699285307250932</v>
      </c>
    </row>
    <row r="92" spans="1:12" x14ac:dyDescent="0.45">
      <c r="A92" s="11">
        <v>17.63</v>
      </c>
      <c r="B92" s="14">
        <v>5.9922000000000003E-4</v>
      </c>
      <c r="C92" s="15">
        <v>1.7278000000000001E-4</v>
      </c>
      <c r="F92" s="28">
        <v>0.67</v>
      </c>
      <c r="G92" s="29">
        <f t="shared" si="4"/>
        <v>55.67</v>
      </c>
      <c r="H92" s="29">
        <f t="shared" si="5"/>
        <v>50.67</v>
      </c>
      <c r="I92" s="38">
        <f t="shared" si="6"/>
        <v>4.5734199999999999E-3</v>
      </c>
      <c r="J92" s="38">
        <f t="shared" si="7"/>
        <v>1.91994E-3</v>
      </c>
      <c r="K92" s="32">
        <f>K91+StepSize*L91</f>
        <v>966.80811057110031</v>
      </c>
      <c r="L92" s="33">
        <f>K92*Delta+I92*K92-J92*(DeathPayment-K92)</f>
        <v>-19.798964710091767</v>
      </c>
    </row>
    <row r="93" spans="1:12" x14ac:dyDescent="0.45">
      <c r="A93" s="11">
        <v>17.64</v>
      </c>
      <c r="B93" s="14">
        <v>5.9915999999999995E-4</v>
      </c>
      <c r="C93" s="15">
        <v>1.7284000000000001E-4</v>
      </c>
      <c r="F93" s="28">
        <v>0.68</v>
      </c>
      <c r="G93" s="29">
        <f t="shared" si="4"/>
        <v>55.68</v>
      </c>
      <c r="H93" s="29">
        <f t="shared" si="5"/>
        <v>50.68</v>
      </c>
      <c r="I93" s="38">
        <f t="shared" si="6"/>
        <v>4.5786799999999999E-3</v>
      </c>
      <c r="J93" s="38">
        <f t="shared" si="7"/>
        <v>1.92176E-3</v>
      </c>
      <c r="K93" s="32">
        <f>K92+StepSize*L92</f>
        <v>966.61012092399938</v>
      </c>
      <c r="L93" s="33">
        <f>K93*Delta+I93*K93-J93*(DeathPayment-K93)</f>
        <v>-19.898725470754798</v>
      </c>
    </row>
    <row r="94" spans="1:12" x14ac:dyDescent="0.45">
      <c r="A94" s="11">
        <v>17.649999999999999</v>
      </c>
      <c r="B94" s="14">
        <v>5.9909999999999998E-4</v>
      </c>
      <c r="C94" s="15">
        <v>1.729E-4</v>
      </c>
      <c r="F94" s="28">
        <v>0.69</v>
      </c>
      <c r="G94" s="29">
        <f t="shared" si="4"/>
        <v>55.69</v>
      </c>
      <c r="H94" s="29">
        <f t="shared" si="5"/>
        <v>50.69</v>
      </c>
      <c r="I94" s="38">
        <f t="shared" si="6"/>
        <v>4.5839399999999999E-3</v>
      </c>
      <c r="J94" s="38">
        <f t="shared" si="7"/>
        <v>1.92358E-3</v>
      </c>
      <c r="K94" s="32">
        <f>K93+StepSize*L93</f>
        <v>966.41113366929187</v>
      </c>
      <c r="L94" s="33">
        <f>K94*Delta+I94*K94-J94*(DeathPayment-K94)</f>
        <v>-19.998567674544759</v>
      </c>
    </row>
    <row r="95" spans="1:12" x14ac:dyDescent="0.45">
      <c r="A95" s="11">
        <v>17.66</v>
      </c>
      <c r="B95" s="14">
        <v>5.9904000000000001E-4</v>
      </c>
      <c r="C95" s="15">
        <v>1.7296E-4</v>
      </c>
      <c r="F95" s="28">
        <v>0.7</v>
      </c>
      <c r="G95" s="29">
        <f t="shared" si="4"/>
        <v>55.7</v>
      </c>
      <c r="H95" s="29">
        <f t="shared" si="5"/>
        <v>50.7</v>
      </c>
      <c r="I95" s="38">
        <f t="shared" si="6"/>
        <v>4.5891999999999999E-3</v>
      </c>
      <c r="J95" s="38">
        <f t="shared" si="7"/>
        <v>1.9254000000000001E-3</v>
      </c>
      <c r="K95" s="32">
        <f>K94+StepSize*L94</f>
        <v>966.21114799254644</v>
      </c>
      <c r="L95" s="33">
        <f>K95*Delta+I95*K95-J95*(DeathPayment-K95)</f>
        <v>-20.098491406856809</v>
      </c>
    </row>
    <row r="96" spans="1:12" x14ac:dyDescent="0.45">
      <c r="A96" s="11">
        <v>17.670000000000002</v>
      </c>
      <c r="B96" s="14">
        <v>5.9898000000000004E-4</v>
      </c>
      <c r="C96" s="15">
        <v>1.7301999999999999E-4</v>
      </c>
      <c r="F96" s="28">
        <v>0.71</v>
      </c>
      <c r="G96" s="29">
        <f t="shared" si="4"/>
        <v>55.71</v>
      </c>
      <c r="H96" s="29">
        <f t="shared" si="5"/>
        <v>50.71</v>
      </c>
      <c r="I96" s="38">
        <f t="shared" si="6"/>
        <v>4.5944599999999999E-3</v>
      </c>
      <c r="J96" s="38">
        <f t="shared" si="7"/>
        <v>1.9272200000000001E-3</v>
      </c>
      <c r="K96" s="32">
        <f>K95+StepSize*L95</f>
        <v>966.01016307847783</v>
      </c>
      <c r="L96" s="33">
        <f>K96*Delta+I96*K96-J96*(DeathPayment-K96)</f>
        <v>-20.198496753176357</v>
      </c>
    </row>
    <row r="97" spans="1:12" x14ac:dyDescent="0.45">
      <c r="A97" s="11">
        <v>17.68</v>
      </c>
      <c r="B97" s="14">
        <v>5.9891999999999996E-4</v>
      </c>
      <c r="C97" s="15">
        <v>1.7307999999999999E-4</v>
      </c>
      <c r="F97" s="28">
        <v>0.72</v>
      </c>
      <c r="G97" s="29">
        <f t="shared" si="4"/>
        <v>55.72</v>
      </c>
      <c r="H97" s="29">
        <f t="shared" si="5"/>
        <v>50.72</v>
      </c>
      <c r="I97" s="38">
        <f t="shared" si="6"/>
        <v>4.5997199999999999E-3</v>
      </c>
      <c r="J97" s="38">
        <f t="shared" si="7"/>
        <v>1.9290399999999999E-3</v>
      </c>
      <c r="K97" s="32">
        <f>K96+StepSize*L96</f>
        <v>965.80817811094607</v>
      </c>
      <c r="L97" s="33">
        <f>K97*Delta+I97*K97-J97*(DeathPayment-K97)</f>
        <v>-20.298583799079424</v>
      </c>
    </row>
    <row r="98" spans="1:12" x14ac:dyDescent="0.45">
      <c r="A98" s="11">
        <v>17.690000000000001</v>
      </c>
      <c r="B98" s="14">
        <v>5.9886E-4</v>
      </c>
      <c r="C98" s="15">
        <v>1.7314000000000001E-4</v>
      </c>
      <c r="F98" s="28">
        <v>0.73</v>
      </c>
      <c r="G98" s="29">
        <f t="shared" si="4"/>
        <v>55.73</v>
      </c>
      <c r="H98" s="29">
        <f t="shared" si="5"/>
        <v>50.73</v>
      </c>
      <c r="I98" s="38">
        <f t="shared" si="6"/>
        <v>4.6049799999999998E-3</v>
      </c>
      <c r="J98" s="38">
        <f t="shared" si="7"/>
        <v>1.93086E-3</v>
      </c>
      <c r="K98" s="32">
        <f>K97+StepSize*L97</f>
        <v>965.60519227295526</v>
      </c>
      <c r="L98" s="33">
        <f>K98*Delta+I98*K98-J98*(DeathPayment-K98)</f>
        <v>-20.398752630232565</v>
      </c>
    </row>
    <row r="99" spans="1:12" x14ac:dyDescent="0.45">
      <c r="A99" s="11">
        <v>17.7</v>
      </c>
      <c r="B99" s="14">
        <v>5.9880000000000003E-4</v>
      </c>
      <c r="C99" s="15">
        <v>1.7320000000000001E-4</v>
      </c>
      <c r="F99" s="28">
        <v>0.74</v>
      </c>
      <c r="G99" s="29">
        <f t="shared" si="4"/>
        <v>55.74</v>
      </c>
      <c r="H99" s="29">
        <f t="shared" si="5"/>
        <v>50.74</v>
      </c>
      <c r="I99" s="38">
        <f t="shared" si="6"/>
        <v>4.6102399999999998E-3</v>
      </c>
      <c r="J99" s="38">
        <f t="shared" si="7"/>
        <v>1.93268E-3</v>
      </c>
      <c r="K99" s="32">
        <f>K98+StepSize*L98</f>
        <v>965.40120474665298</v>
      </c>
      <c r="L99" s="33">
        <f>K99*Delta+I99*K99-J99*(DeathPayment-K99)</f>
        <v>-20.499003332393045</v>
      </c>
    </row>
    <row r="100" spans="1:12" x14ac:dyDescent="0.45">
      <c r="A100" s="11">
        <v>17.71</v>
      </c>
      <c r="B100" s="14">
        <v>5.9873999999999995E-4</v>
      </c>
      <c r="C100" s="15">
        <v>1.7326E-4</v>
      </c>
      <c r="F100" s="28">
        <v>0.75</v>
      </c>
      <c r="G100" s="29">
        <f t="shared" si="4"/>
        <v>55.75</v>
      </c>
      <c r="H100" s="29">
        <f t="shared" si="5"/>
        <v>50.75</v>
      </c>
      <c r="I100" s="38">
        <f t="shared" si="6"/>
        <v>4.6154999999999998E-3</v>
      </c>
      <c r="J100" s="38">
        <f t="shared" si="7"/>
        <v>1.9345E-3</v>
      </c>
      <c r="K100" s="32">
        <f>K99+StepSize*L99</f>
        <v>965.19621471332903</v>
      </c>
      <c r="L100" s="33">
        <f>K100*Delta+I100*K100-J100*(DeathPayment-K100)</f>
        <v>-20.599335991408907</v>
      </c>
    </row>
    <row r="101" spans="1:12" x14ac:dyDescent="0.45">
      <c r="A101" s="11">
        <v>17.72</v>
      </c>
      <c r="B101" s="14">
        <v>5.9867999999999998E-4</v>
      </c>
      <c r="C101" s="15">
        <v>1.7332E-4</v>
      </c>
      <c r="F101" s="28">
        <v>0.76</v>
      </c>
      <c r="G101" s="29">
        <f t="shared" si="4"/>
        <v>55.76</v>
      </c>
      <c r="H101" s="29">
        <f t="shared" si="5"/>
        <v>50.76</v>
      </c>
      <c r="I101" s="38">
        <f t="shared" si="6"/>
        <v>4.6207599999999998E-3</v>
      </c>
      <c r="J101" s="38">
        <f t="shared" si="7"/>
        <v>1.9363200000000001E-3</v>
      </c>
      <c r="K101" s="32">
        <f>K100+StepSize*L100</f>
        <v>964.99022135341488</v>
      </c>
      <c r="L101" s="33">
        <f>K101*Delta+I101*K101-J101*(DeathPayment-K101)</f>
        <v>-20.699750693219173</v>
      </c>
    </row>
    <row r="102" spans="1:12" x14ac:dyDescent="0.45">
      <c r="A102" s="11">
        <v>17.73</v>
      </c>
      <c r="B102" s="14">
        <v>5.9862000000000001E-4</v>
      </c>
      <c r="C102" s="15">
        <v>1.7338E-4</v>
      </c>
      <c r="F102" s="28">
        <v>0.77</v>
      </c>
      <c r="G102" s="29">
        <f t="shared" si="4"/>
        <v>55.77</v>
      </c>
      <c r="H102" s="29">
        <f t="shared" si="5"/>
        <v>50.77</v>
      </c>
      <c r="I102" s="38">
        <f t="shared" si="6"/>
        <v>4.6260199999999998E-3</v>
      </c>
      <c r="J102" s="38">
        <f t="shared" si="7"/>
        <v>1.9381400000000001E-3</v>
      </c>
      <c r="K102" s="32">
        <f>K101+StepSize*L101</f>
        <v>964.78322384648266</v>
      </c>
      <c r="L102" s="33">
        <f>K102*Delta+I102*K102-J102*(DeathPayment-K102)</f>
        <v>-20.800247523853784</v>
      </c>
    </row>
    <row r="103" spans="1:12" x14ac:dyDescent="0.45">
      <c r="A103" s="11">
        <v>17.739999999999998</v>
      </c>
      <c r="B103" s="14">
        <v>5.9856000000000004E-4</v>
      </c>
      <c r="C103" s="15">
        <v>1.7343999999999999E-4</v>
      </c>
      <c r="F103" s="28">
        <v>0.78</v>
      </c>
      <c r="G103" s="29">
        <f t="shared" si="4"/>
        <v>55.78</v>
      </c>
      <c r="H103" s="29">
        <f t="shared" si="5"/>
        <v>50.78</v>
      </c>
      <c r="I103" s="38">
        <f t="shared" si="6"/>
        <v>4.6312799999999998E-3</v>
      </c>
      <c r="J103" s="38">
        <f t="shared" si="7"/>
        <v>1.9399599999999999E-3</v>
      </c>
      <c r="K103" s="32">
        <f>K102+StepSize*L102</f>
        <v>964.57522137124408</v>
      </c>
      <c r="L103" s="33">
        <f>K103*Delta+I103*K103-J103*(DeathPayment-K103)</f>
        <v>-20.900826569433761</v>
      </c>
    </row>
    <row r="104" spans="1:12" x14ac:dyDescent="0.45">
      <c r="A104" s="11">
        <v>17.75</v>
      </c>
      <c r="B104" s="14">
        <v>5.9849999999999997E-4</v>
      </c>
      <c r="C104" s="15">
        <v>1.7349999999999999E-4</v>
      </c>
      <c r="F104" s="28">
        <v>0.79</v>
      </c>
      <c r="G104" s="29">
        <f t="shared" si="4"/>
        <v>55.79</v>
      </c>
      <c r="H104" s="29">
        <f t="shared" si="5"/>
        <v>50.79</v>
      </c>
      <c r="I104" s="38">
        <f t="shared" si="6"/>
        <v>4.6365399999999998E-3</v>
      </c>
      <c r="J104" s="38">
        <f t="shared" si="7"/>
        <v>1.9417799999999999E-3</v>
      </c>
      <c r="K104" s="32">
        <f>K103+StepSize*L103</f>
        <v>964.36621310554972</v>
      </c>
      <c r="L104" s="33">
        <f>K104*Delta+I104*K104-J104*(DeathPayment-K104)</f>
        <v>-21.00148791617147</v>
      </c>
    </row>
    <row r="105" spans="1:12" x14ac:dyDescent="0.45">
      <c r="A105" s="11">
        <v>17.760000000000002</v>
      </c>
      <c r="B105" s="14">
        <v>5.9844E-4</v>
      </c>
      <c r="C105" s="15">
        <v>1.7356000000000001E-4</v>
      </c>
      <c r="F105" s="28">
        <v>0.8</v>
      </c>
      <c r="G105" s="29">
        <f t="shared" si="4"/>
        <v>55.8</v>
      </c>
      <c r="H105" s="29">
        <f t="shared" si="5"/>
        <v>50.8</v>
      </c>
      <c r="I105" s="38">
        <f t="shared" si="6"/>
        <v>4.6417999999999997E-3</v>
      </c>
      <c r="J105" s="38">
        <f t="shared" si="7"/>
        <v>1.9436E-3</v>
      </c>
      <c r="K105" s="32">
        <f>K104+StepSize*L104</f>
        <v>964.15619822638803</v>
      </c>
      <c r="L105" s="33">
        <f>K105*Delta+I105*K105-J105*(DeathPayment-K105)</f>
        <v>-21.102231650370456</v>
      </c>
    </row>
    <row r="106" spans="1:12" x14ac:dyDescent="0.45">
      <c r="A106" s="11">
        <v>17.77</v>
      </c>
      <c r="B106" s="14">
        <v>5.9838000000000003E-4</v>
      </c>
      <c r="C106" s="15">
        <v>1.7362000000000001E-4</v>
      </c>
      <c r="F106" s="28">
        <v>0.81</v>
      </c>
      <c r="G106" s="29">
        <f t="shared" si="4"/>
        <v>55.81</v>
      </c>
      <c r="H106" s="29">
        <f t="shared" si="5"/>
        <v>50.81</v>
      </c>
      <c r="I106" s="38">
        <f t="shared" si="6"/>
        <v>4.6470599999999997E-3</v>
      </c>
      <c r="J106" s="38">
        <f t="shared" si="7"/>
        <v>1.94542E-3</v>
      </c>
      <c r="K106" s="32">
        <f>K105+StepSize*L105</f>
        <v>963.94517590988437</v>
      </c>
      <c r="L106" s="33">
        <f>K106*Delta+I106*K106-J106*(DeathPayment-K106)</f>
        <v>-21.203057858425737</v>
      </c>
    </row>
    <row r="107" spans="1:12" x14ac:dyDescent="0.45">
      <c r="A107" s="11">
        <v>17.78</v>
      </c>
      <c r="B107" s="14">
        <v>5.9831999999999995E-4</v>
      </c>
      <c r="C107" s="15">
        <v>1.7368E-4</v>
      </c>
      <c r="F107" s="28">
        <v>0.82</v>
      </c>
      <c r="G107" s="29">
        <f t="shared" si="4"/>
        <v>55.82</v>
      </c>
      <c r="H107" s="29">
        <f t="shared" si="5"/>
        <v>50.82</v>
      </c>
      <c r="I107" s="38">
        <f t="shared" si="6"/>
        <v>4.6523199999999997E-3</v>
      </c>
      <c r="J107" s="38">
        <f t="shared" si="7"/>
        <v>1.94724E-3</v>
      </c>
      <c r="K107" s="32">
        <f>K106+StepSize*L106</f>
        <v>963.73314533130008</v>
      </c>
      <c r="L107" s="33">
        <f>K107*Delta+I107*K107-J107*(DeathPayment-K107)</f>
        <v>-21.303966626823808</v>
      </c>
    </row>
    <row r="108" spans="1:12" x14ac:dyDescent="0.45">
      <c r="A108" s="11">
        <v>17.79</v>
      </c>
      <c r="B108" s="14">
        <v>5.9825999999999998E-4</v>
      </c>
      <c r="C108" s="15">
        <v>1.7374E-4</v>
      </c>
      <c r="F108" s="28">
        <v>0.83</v>
      </c>
      <c r="G108" s="29">
        <f t="shared" si="4"/>
        <v>55.83</v>
      </c>
      <c r="H108" s="29">
        <f t="shared" si="5"/>
        <v>50.83</v>
      </c>
      <c r="I108" s="38">
        <f t="shared" si="6"/>
        <v>4.6575799999999997E-3</v>
      </c>
      <c r="J108" s="38">
        <f t="shared" si="7"/>
        <v>1.9490600000000001E-3</v>
      </c>
      <c r="K108" s="32">
        <f>K107+StepSize*L107</f>
        <v>963.52010566503179</v>
      </c>
      <c r="L108" s="33">
        <f>K108*Delta+I108*K108-J108*(DeathPayment-K108)</f>
        <v>-21.404958042142852</v>
      </c>
    </row>
    <row r="109" spans="1:12" x14ac:dyDescent="0.45">
      <c r="A109" s="11">
        <v>17.8</v>
      </c>
      <c r="B109" s="14">
        <v>5.9820000000000001E-4</v>
      </c>
      <c r="C109" s="15">
        <v>1.738E-4</v>
      </c>
      <c r="F109" s="28">
        <v>0.84</v>
      </c>
      <c r="G109" s="29">
        <f t="shared" si="4"/>
        <v>55.84</v>
      </c>
      <c r="H109" s="29">
        <f t="shared" si="5"/>
        <v>50.84</v>
      </c>
      <c r="I109" s="38">
        <f t="shared" si="6"/>
        <v>4.6628399999999997E-3</v>
      </c>
      <c r="J109" s="38">
        <f t="shared" si="7"/>
        <v>1.9508800000000001E-3</v>
      </c>
      <c r="K109" s="32">
        <f>K108+StepSize*L108</f>
        <v>963.30605608461042</v>
      </c>
      <c r="L109" s="33">
        <f>K109*Delta+I109*K109-J109*(DeathPayment-K109)</f>
        <v>-21.506032191052682</v>
      </c>
    </row>
    <row r="110" spans="1:12" x14ac:dyDescent="0.45">
      <c r="A110" s="11">
        <v>17.809999999999999</v>
      </c>
      <c r="B110" s="14">
        <v>5.9814000000000004E-4</v>
      </c>
      <c r="C110" s="15">
        <v>1.7385999999999999E-4</v>
      </c>
      <c r="F110" s="28">
        <v>0.85</v>
      </c>
      <c r="G110" s="29">
        <f t="shared" si="4"/>
        <v>55.85</v>
      </c>
      <c r="H110" s="29">
        <f t="shared" si="5"/>
        <v>50.85</v>
      </c>
      <c r="I110" s="38">
        <f t="shared" si="6"/>
        <v>4.6680999999999997E-3</v>
      </c>
      <c r="J110" s="38">
        <f t="shared" si="7"/>
        <v>1.9526999999999999E-3</v>
      </c>
      <c r="K110" s="32">
        <f>K109+StepSize*L109</f>
        <v>963.09099576269989</v>
      </c>
      <c r="L110" s="33">
        <f>K110*Delta+I110*K110-J110*(DeathPayment-K110)</f>
        <v>-21.607189160315002</v>
      </c>
    </row>
    <row r="111" spans="1:12" x14ac:dyDescent="0.45">
      <c r="A111" s="11">
        <v>17.82</v>
      </c>
      <c r="B111" s="14">
        <v>5.9807999999999997E-4</v>
      </c>
      <c r="C111" s="15">
        <v>1.7391999999999999E-4</v>
      </c>
      <c r="F111" s="28">
        <v>0.86</v>
      </c>
      <c r="G111" s="29">
        <f t="shared" si="4"/>
        <v>55.86</v>
      </c>
      <c r="H111" s="29">
        <f t="shared" si="5"/>
        <v>50.86</v>
      </c>
      <c r="I111" s="38">
        <f t="shared" si="6"/>
        <v>4.6733599999999997E-3</v>
      </c>
      <c r="J111" s="38">
        <f t="shared" si="7"/>
        <v>1.95452E-3</v>
      </c>
      <c r="K111" s="32">
        <f>K110+StepSize*L110</f>
        <v>962.87492387109671</v>
      </c>
      <c r="L111" s="33">
        <f>K111*Delta+I111*K111-J111*(DeathPayment-K111)</f>
        <v>-21.708429036783429</v>
      </c>
    </row>
    <row r="112" spans="1:12" x14ac:dyDescent="0.45">
      <c r="A112" s="11">
        <v>17.829999999999998</v>
      </c>
      <c r="B112" s="14">
        <v>5.9802E-4</v>
      </c>
      <c r="C112" s="15">
        <v>1.7398000000000001E-4</v>
      </c>
      <c r="F112" s="28">
        <v>0.87</v>
      </c>
      <c r="G112" s="29">
        <f t="shared" si="4"/>
        <v>55.87</v>
      </c>
      <c r="H112" s="29">
        <f t="shared" si="5"/>
        <v>50.87</v>
      </c>
      <c r="I112" s="38">
        <f t="shared" si="6"/>
        <v>4.6786199999999997E-3</v>
      </c>
      <c r="J112" s="38">
        <f t="shared" si="7"/>
        <v>1.95634E-3</v>
      </c>
      <c r="K112" s="32">
        <f>K111+StepSize*L111</f>
        <v>962.65783958072893</v>
      </c>
      <c r="L112" s="33">
        <f>K112*Delta+I112*K112-J112*(DeathPayment-K112)</f>
        <v>-21.80975190740358</v>
      </c>
    </row>
    <row r="113" spans="1:12" x14ac:dyDescent="0.45">
      <c r="A113" s="11">
        <v>17.84</v>
      </c>
      <c r="B113" s="14">
        <v>5.9796000000000003E-4</v>
      </c>
      <c r="C113" s="15">
        <v>1.7404000000000001E-4</v>
      </c>
      <c r="F113" s="28">
        <v>0.88</v>
      </c>
      <c r="G113" s="29">
        <f t="shared" si="4"/>
        <v>55.88</v>
      </c>
      <c r="H113" s="29">
        <f t="shared" si="5"/>
        <v>50.88</v>
      </c>
      <c r="I113" s="38">
        <f t="shared" si="6"/>
        <v>4.6838799999999996E-3</v>
      </c>
      <c r="J113" s="38">
        <f t="shared" si="7"/>
        <v>1.95816E-3</v>
      </c>
      <c r="K113" s="32">
        <f>K112+StepSize*L112</f>
        <v>962.4397420616549</v>
      </c>
      <c r="L113" s="33">
        <f>K113*Delta+I113*K113-J113*(DeathPayment-K113)</f>
        <v>-21.911157859213247</v>
      </c>
    </row>
    <row r="114" spans="1:12" x14ac:dyDescent="0.45">
      <c r="A114" s="11">
        <v>17.850000000000001</v>
      </c>
      <c r="B114" s="14">
        <v>5.9789999999999995E-4</v>
      </c>
      <c r="C114" s="15">
        <v>1.741E-4</v>
      </c>
      <c r="F114" s="28">
        <v>0.89</v>
      </c>
      <c r="G114" s="29">
        <f t="shared" si="4"/>
        <v>55.89</v>
      </c>
      <c r="H114" s="29">
        <f t="shared" si="5"/>
        <v>50.89</v>
      </c>
      <c r="I114" s="38">
        <f t="shared" si="6"/>
        <v>4.6891399999999996E-3</v>
      </c>
      <c r="J114" s="38">
        <f t="shared" si="7"/>
        <v>1.9599800000000001E-3</v>
      </c>
      <c r="K114" s="32">
        <f>K113+StepSize*L113</f>
        <v>962.22063048306279</v>
      </c>
      <c r="L114" s="33">
        <f>K114*Delta+I114*K114-J114*(DeathPayment-K114)</f>
        <v>-22.012646979342435</v>
      </c>
    </row>
    <row r="115" spans="1:12" x14ac:dyDescent="0.45">
      <c r="A115" s="11">
        <v>17.86</v>
      </c>
      <c r="B115" s="14">
        <v>5.9783999999999998E-4</v>
      </c>
      <c r="C115" s="15">
        <v>1.7416E-4</v>
      </c>
      <c r="F115" s="28">
        <v>0.9</v>
      </c>
      <c r="G115" s="29">
        <f t="shared" si="4"/>
        <v>55.9</v>
      </c>
      <c r="H115" s="29">
        <f t="shared" si="5"/>
        <v>50.9</v>
      </c>
      <c r="I115" s="38">
        <f t="shared" si="6"/>
        <v>4.6943999999999996E-3</v>
      </c>
      <c r="J115" s="38">
        <f t="shared" si="7"/>
        <v>1.9618000000000001E-3</v>
      </c>
      <c r="K115" s="32">
        <f>K114+StepSize*L114</f>
        <v>962.00050401326939</v>
      </c>
      <c r="L115" s="33">
        <f>K115*Delta+I115*K115-J115*(DeathPayment-K115)</f>
        <v>-22.114219355013518</v>
      </c>
    </row>
    <row r="116" spans="1:12" x14ac:dyDescent="0.45">
      <c r="A116" s="11">
        <v>17.87</v>
      </c>
      <c r="B116" s="14">
        <v>5.9778000000000001E-4</v>
      </c>
      <c r="C116" s="15">
        <v>1.7422E-4</v>
      </c>
      <c r="F116" s="28">
        <v>0.91</v>
      </c>
      <c r="G116" s="29">
        <f t="shared" si="4"/>
        <v>55.91</v>
      </c>
      <c r="H116" s="29">
        <f t="shared" si="5"/>
        <v>50.91</v>
      </c>
      <c r="I116" s="38">
        <f t="shared" si="6"/>
        <v>4.6996599999999996E-3</v>
      </c>
      <c r="J116" s="38">
        <f t="shared" si="7"/>
        <v>1.9636200000000001E-3</v>
      </c>
      <c r="K116" s="32">
        <f>K115+StepSize*L115</f>
        <v>961.77936181971927</v>
      </c>
      <c r="L116" s="33">
        <f>K116*Delta+I116*K116-J116*(DeathPayment-K116)</f>
        <v>-22.215875073541255</v>
      </c>
    </row>
    <row r="117" spans="1:12" x14ac:dyDescent="0.45">
      <c r="A117" s="11">
        <v>17.88</v>
      </c>
      <c r="B117" s="14">
        <v>5.9772000000000004E-4</v>
      </c>
      <c r="C117" s="15">
        <v>1.7427999999999999E-4</v>
      </c>
      <c r="F117" s="28">
        <v>0.92</v>
      </c>
      <c r="G117" s="29">
        <f t="shared" si="4"/>
        <v>55.92</v>
      </c>
      <c r="H117" s="29">
        <f t="shared" si="5"/>
        <v>50.92</v>
      </c>
      <c r="I117" s="38">
        <f t="shared" si="6"/>
        <v>4.7049199999999996E-3</v>
      </c>
      <c r="J117" s="38">
        <f t="shared" si="7"/>
        <v>1.9654400000000002E-3</v>
      </c>
      <c r="K117" s="32">
        <f>K116+StepSize*L116</f>
        <v>961.55720306898388</v>
      </c>
      <c r="L117" s="33">
        <f>K117*Delta+I117*K117-J117*(DeathPayment-K117)</f>
        <v>-22.317614222333006</v>
      </c>
    </row>
    <row r="118" spans="1:12" x14ac:dyDescent="0.45">
      <c r="A118" s="11">
        <v>17.89</v>
      </c>
      <c r="B118" s="14">
        <v>5.9765999999999997E-4</v>
      </c>
      <c r="C118" s="15">
        <v>1.7433999999999999E-4</v>
      </c>
      <c r="F118" s="28">
        <v>0.93</v>
      </c>
      <c r="G118" s="29">
        <f t="shared" si="4"/>
        <v>55.93</v>
      </c>
      <c r="H118" s="29">
        <f t="shared" si="5"/>
        <v>50.93</v>
      </c>
      <c r="I118" s="38">
        <f t="shared" si="6"/>
        <v>4.7101799999999996E-3</v>
      </c>
      <c r="J118" s="38">
        <f t="shared" si="7"/>
        <v>1.9672600000000002E-3</v>
      </c>
      <c r="K118" s="32">
        <f>K117+StepSize*L117</f>
        <v>961.33402692676054</v>
      </c>
      <c r="L118" s="33">
        <f>K118*Delta+I118*K118-J118*(DeathPayment-K118)</f>
        <v>-22.419436888888796</v>
      </c>
    </row>
    <row r="119" spans="1:12" x14ac:dyDescent="0.45">
      <c r="A119" s="11">
        <v>17.899999999999999</v>
      </c>
      <c r="B119" s="14">
        <v>5.976E-4</v>
      </c>
      <c r="C119" s="15">
        <v>1.7440000000000001E-4</v>
      </c>
      <c r="F119" s="28">
        <v>0.94</v>
      </c>
      <c r="G119" s="29">
        <f t="shared" si="4"/>
        <v>55.94</v>
      </c>
      <c r="H119" s="29">
        <f t="shared" si="5"/>
        <v>50.94</v>
      </c>
      <c r="I119" s="38">
        <f t="shared" si="6"/>
        <v>4.7154400000000004E-3</v>
      </c>
      <c r="J119" s="38">
        <f t="shared" si="7"/>
        <v>1.9690799999999998E-3</v>
      </c>
      <c r="K119" s="32">
        <f>K118+StepSize*L118</f>
        <v>961.10983255787164</v>
      </c>
      <c r="L119" s="33">
        <f>K119*Delta+I119*K119-J119*(DeathPayment-K119)</f>
        <v>-22.521343160801308</v>
      </c>
    </row>
    <row r="120" spans="1:12" x14ac:dyDescent="0.45">
      <c r="A120" s="11">
        <v>17.91</v>
      </c>
      <c r="B120" s="14">
        <v>5.9754000000000003E-4</v>
      </c>
      <c r="C120" s="15">
        <v>1.7446000000000001E-4</v>
      </c>
      <c r="F120" s="28">
        <v>0.95</v>
      </c>
      <c r="G120" s="29">
        <f t="shared" si="4"/>
        <v>55.95</v>
      </c>
      <c r="H120" s="29">
        <f t="shared" si="5"/>
        <v>50.95</v>
      </c>
      <c r="I120" s="38">
        <f t="shared" si="6"/>
        <v>4.7207000000000004E-3</v>
      </c>
      <c r="J120" s="38">
        <f t="shared" si="7"/>
        <v>1.9708999999999998E-3</v>
      </c>
      <c r="K120" s="32">
        <f>K119+StepSize*L119</f>
        <v>960.8846191262636</v>
      </c>
      <c r="L120" s="33">
        <f>K120*Delta+I120*K120-J120*(DeathPayment-K120)</f>
        <v>-22.623333125756275</v>
      </c>
    </row>
    <row r="121" spans="1:12" x14ac:dyDescent="0.45">
      <c r="A121" s="11">
        <v>17.920000000000002</v>
      </c>
      <c r="B121" s="14">
        <v>5.9747999999999995E-4</v>
      </c>
      <c r="C121" s="15">
        <v>1.7452E-4</v>
      </c>
      <c r="F121" s="28">
        <v>0.96</v>
      </c>
      <c r="G121" s="29">
        <f t="shared" si="4"/>
        <v>55.96</v>
      </c>
      <c r="H121" s="29">
        <f t="shared" si="5"/>
        <v>50.96</v>
      </c>
      <c r="I121" s="38">
        <f t="shared" si="6"/>
        <v>4.7259600000000004E-3</v>
      </c>
      <c r="J121" s="38">
        <f t="shared" si="7"/>
        <v>1.9727199999999999E-3</v>
      </c>
      <c r="K121" s="32">
        <f>K120+StepSize*L120</f>
        <v>960.65838579500598</v>
      </c>
      <c r="L121" s="33">
        <f>K121*Delta+I121*K121-J121*(DeathPayment-K121)</f>
        <v>-22.725406871532215</v>
      </c>
    </row>
    <row r="122" spans="1:12" x14ac:dyDescent="0.45">
      <c r="A122" s="11">
        <v>17.93</v>
      </c>
      <c r="B122" s="14">
        <v>5.9741999999999998E-4</v>
      </c>
      <c r="C122" s="15">
        <v>1.7458E-4</v>
      </c>
      <c r="F122" s="28">
        <v>0.97</v>
      </c>
      <c r="G122" s="29">
        <f t="shared" si="4"/>
        <v>55.97</v>
      </c>
      <c r="H122" s="29">
        <f t="shared" si="5"/>
        <v>50.97</v>
      </c>
      <c r="I122" s="38">
        <f t="shared" si="6"/>
        <v>4.7312200000000004E-3</v>
      </c>
      <c r="J122" s="38">
        <f t="shared" si="7"/>
        <v>1.9745399999999999E-3</v>
      </c>
      <c r="K122" s="32">
        <f>K121+StepSize*L121</f>
        <v>960.43113172629069</v>
      </c>
      <c r="L122" s="33">
        <f>K122*Delta+I122*K122-J122*(DeathPayment-K122)</f>
        <v>-22.827564486000753</v>
      </c>
    </row>
    <row r="123" spans="1:12" x14ac:dyDescent="0.45">
      <c r="A123" s="11">
        <v>17.940000000000001</v>
      </c>
      <c r="B123" s="14">
        <v>5.9736000000000001E-4</v>
      </c>
      <c r="C123" s="15">
        <v>1.7463999999999999E-4</v>
      </c>
      <c r="F123" s="28">
        <v>0.98</v>
      </c>
      <c r="G123" s="29">
        <f t="shared" si="4"/>
        <v>55.98</v>
      </c>
      <c r="H123" s="29">
        <f t="shared" si="5"/>
        <v>50.98</v>
      </c>
      <c r="I123" s="38">
        <f t="shared" si="6"/>
        <v>4.7364800000000004E-3</v>
      </c>
      <c r="J123" s="38">
        <f t="shared" si="7"/>
        <v>1.9763599999999999E-3</v>
      </c>
      <c r="K123" s="32">
        <f>K122+StepSize*L122</f>
        <v>960.2028560814307</v>
      </c>
      <c r="L123" s="33">
        <f>K123*Delta+I123*K123-J123*(DeathPayment-K123)</f>
        <v>-22.929806057126768</v>
      </c>
    </row>
    <row r="124" spans="1:12" x14ac:dyDescent="0.45">
      <c r="A124" s="11">
        <v>17.95</v>
      </c>
      <c r="B124" s="14">
        <v>5.9730000000000004E-4</v>
      </c>
      <c r="C124" s="15">
        <v>1.7469999999999999E-4</v>
      </c>
      <c r="F124" s="28">
        <v>0.99</v>
      </c>
      <c r="G124" s="29">
        <f t="shared" si="4"/>
        <v>55.99</v>
      </c>
      <c r="H124" s="29">
        <f t="shared" si="5"/>
        <v>50.99</v>
      </c>
      <c r="I124" s="38">
        <f t="shared" si="6"/>
        <v>4.7417400000000004E-3</v>
      </c>
      <c r="J124" s="38">
        <f t="shared" si="7"/>
        <v>1.97818E-3</v>
      </c>
      <c r="K124" s="32">
        <f>K123+StepSize*L123</f>
        <v>959.9735580208594</v>
      </c>
      <c r="L124" s="33">
        <f>K124*Delta+I124*K124-J124*(DeathPayment-K124)</f>
        <v>-23.032131672968347</v>
      </c>
    </row>
    <row r="125" spans="1:12" x14ac:dyDescent="0.45">
      <c r="A125" s="11">
        <v>17.96</v>
      </c>
      <c r="B125" s="14">
        <v>5.9723999999999997E-4</v>
      </c>
      <c r="C125" s="15">
        <v>1.7475999999999999E-4</v>
      </c>
      <c r="F125" s="28">
        <v>1</v>
      </c>
      <c r="G125" s="29">
        <f t="shared" si="4"/>
        <v>56</v>
      </c>
      <c r="H125" s="29">
        <f t="shared" si="5"/>
        <v>51</v>
      </c>
      <c r="I125" s="38">
        <f t="shared" si="6"/>
        <v>4.7470000000000004E-3</v>
      </c>
      <c r="J125" s="38">
        <f t="shared" si="7"/>
        <v>1.98E-3</v>
      </c>
      <c r="K125" s="32">
        <f>K124+StepSize*L124</f>
        <v>959.74323670412969</v>
      </c>
      <c r="L125" s="33">
        <f>K125*Delta+I125*K125-J125*(DeathPayment-K125)</f>
        <v>-23.134541421676985</v>
      </c>
    </row>
    <row r="126" spans="1:12" x14ac:dyDescent="0.45">
      <c r="A126" s="11">
        <v>17.97</v>
      </c>
      <c r="B126" s="14">
        <v>5.9718E-4</v>
      </c>
      <c r="C126" s="15">
        <v>1.7482000000000001E-4</v>
      </c>
      <c r="F126" s="28">
        <v>1.01</v>
      </c>
      <c r="G126" s="29">
        <f t="shared" si="4"/>
        <v>56.01</v>
      </c>
      <c r="H126" s="29">
        <f t="shared" si="5"/>
        <v>51.01</v>
      </c>
      <c r="I126" s="38">
        <f t="shared" si="6"/>
        <v>4.7529299999999998E-3</v>
      </c>
      <c r="J126" s="38">
        <f t="shared" si="7"/>
        <v>1.9820200000000001E-3</v>
      </c>
      <c r="K126" s="32">
        <f>K125+StepSize*L125</f>
        <v>959.51189128991291</v>
      </c>
      <c r="L126" s="33">
        <f>K126*Delta+I126*K126-J126*(DeathPayment-K126)</f>
        <v>-23.246200616152251</v>
      </c>
    </row>
    <row r="127" spans="1:12" x14ac:dyDescent="0.45">
      <c r="A127" s="11">
        <v>17.98</v>
      </c>
      <c r="B127" s="14">
        <v>5.9712000000000003E-4</v>
      </c>
      <c r="C127" s="15">
        <v>1.7488000000000001E-4</v>
      </c>
      <c r="F127" s="28">
        <v>1.02</v>
      </c>
      <c r="G127" s="29">
        <f t="shared" si="4"/>
        <v>56.02</v>
      </c>
      <c r="H127" s="29">
        <f t="shared" si="5"/>
        <v>51.02</v>
      </c>
      <c r="I127" s="38">
        <f t="shared" si="6"/>
        <v>4.7588600000000002E-3</v>
      </c>
      <c r="J127" s="38">
        <f t="shared" si="7"/>
        <v>1.9840399999999998E-3</v>
      </c>
      <c r="K127" s="32">
        <f>K126+StepSize*L126</f>
        <v>959.27942928375137</v>
      </c>
      <c r="L127" s="33">
        <f>K127*Delta+I127*K127-J127*(DeathPayment-K127)</f>
        <v>-23.357951770755562</v>
      </c>
    </row>
    <row r="128" spans="1:12" x14ac:dyDescent="0.45">
      <c r="A128" s="11">
        <v>17.989999999999998</v>
      </c>
      <c r="B128" s="14">
        <v>5.9705999999999995E-4</v>
      </c>
      <c r="C128" s="15">
        <v>1.7494E-4</v>
      </c>
      <c r="F128" s="28">
        <v>1.03</v>
      </c>
      <c r="G128" s="29">
        <f t="shared" si="4"/>
        <v>56.03</v>
      </c>
      <c r="H128" s="29">
        <f t="shared" si="5"/>
        <v>51.03</v>
      </c>
      <c r="I128" s="38">
        <f t="shared" si="6"/>
        <v>4.7647899999999997E-3</v>
      </c>
      <c r="J128" s="38">
        <f t="shared" si="7"/>
        <v>1.98606E-3</v>
      </c>
      <c r="K128" s="32">
        <f>K127+StepSize*L127</f>
        <v>959.04584976604383</v>
      </c>
      <c r="L128" s="33">
        <f>K128*Delta+I128*K128-J128*(DeathPayment-K128)</f>
        <v>-23.469794984831935</v>
      </c>
    </row>
    <row r="129" spans="1:12" x14ac:dyDescent="0.45">
      <c r="A129" s="11">
        <v>18</v>
      </c>
      <c r="B129" s="14">
        <v>5.9699999999999998E-4</v>
      </c>
      <c r="C129" s="15">
        <v>1.75E-4</v>
      </c>
      <c r="F129" s="28">
        <v>1.04</v>
      </c>
      <c r="G129" s="29">
        <f t="shared" si="4"/>
        <v>56.04</v>
      </c>
      <c r="H129" s="29">
        <f t="shared" si="5"/>
        <v>51.04</v>
      </c>
      <c r="I129" s="38">
        <f t="shared" si="6"/>
        <v>4.77072E-3</v>
      </c>
      <c r="J129" s="38">
        <f t="shared" si="7"/>
        <v>1.9880800000000001E-3</v>
      </c>
      <c r="K129" s="32">
        <f>K128+StepSize*L128</f>
        <v>958.81115181619555</v>
      </c>
      <c r="L129" s="33">
        <f>K129*Delta+I129*K129-J129*(DeathPayment-K129)</f>
        <v>-23.581730357834147</v>
      </c>
    </row>
    <row r="130" spans="1:12" x14ac:dyDescent="0.45">
      <c r="A130" s="11">
        <v>18.010000000000002</v>
      </c>
      <c r="B130" s="14">
        <v>5.9694000000000001E-4</v>
      </c>
      <c r="C130" s="15">
        <v>1.7505999999999999E-4</v>
      </c>
      <c r="F130" s="28">
        <v>1.05</v>
      </c>
      <c r="G130" s="29">
        <f t="shared" si="4"/>
        <v>56.05</v>
      </c>
      <c r="H130" s="29">
        <f t="shared" si="5"/>
        <v>51.05</v>
      </c>
      <c r="I130" s="38">
        <f t="shared" si="6"/>
        <v>4.7766500000000003E-3</v>
      </c>
      <c r="J130" s="38">
        <f t="shared" si="7"/>
        <v>1.9900999999999999E-3</v>
      </c>
      <c r="K130" s="32">
        <f>K129+StepSize*L129</f>
        <v>958.57533451261725</v>
      </c>
      <c r="L130" s="33">
        <f>K130*Delta+I130*K130-J130*(DeathPayment-K130)</f>
        <v>-23.69375798932289</v>
      </c>
    </row>
    <row r="131" spans="1:12" x14ac:dyDescent="0.45">
      <c r="A131" s="11">
        <v>18.02</v>
      </c>
      <c r="B131" s="14">
        <v>5.9688000000000005E-4</v>
      </c>
      <c r="C131" s="15">
        <v>1.7511999999999999E-4</v>
      </c>
      <c r="F131" s="28">
        <v>1.06</v>
      </c>
      <c r="G131" s="29">
        <f t="shared" si="4"/>
        <v>56.06</v>
      </c>
      <c r="H131" s="29">
        <f t="shared" si="5"/>
        <v>51.06</v>
      </c>
      <c r="I131" s="38">
        <f t="shared" si="6"/>
        <v>4.7825799999999998E-3</v>
      </c>
      <c r="J131" s="38">
        <f t="shared" si="7"/>
        <v>1.99212E-3</v>
      </c>
      <c r="K131" s="32">
        <f>K130+StepSize*L130</f>
        <v>958.33839693272398</v>
      </c>
      <c r="L131" s="33">
        <f>K131*Delta+I131*K131-J131*(DeathPayment-K131)</f>
        <v>-23.805877978966976</v>
      </c>
    </row>
    <row r="132" spans="1:12" x14ac:dyDescent="0.45">
      <c r="A132" s="11">
        <v>18.03</v>
      </c>
      <c r="B132" s="14">
        <v>5.9681999999999997E-4</v>
      </c>
      <c r="C132" s="15">
        <v>1.7518000000000001E-4</v>
      </c>
      <c r="F132" s="28">
        <v>1.07</v>
      </c>
      <c r="G132" s="29">
        <f t="shared" si="4"/>
        <v>56.07</v>
      </c>
      <c r="H132" s="29">
        <f t="shared" si="5"/>
        <v>51.07</v>
      </c>
      <c r="I132" s="38">
        <f t="shared" si="6"/>
        <v>4.7885100000000002E-3</v>
      </c>
      <c r="J132" s="38">
        <f t="shared" si="7"/>
        <v>1.9941400000000001E-3</v>
      </c>
      <c r="K132" s="32">
        <f>K131+StepSize*L131</f>
        <v>958.10033815293434</v>
      </c>
      <c r="L132" s="33">
        <f>K132*Delta+I132*K132-J132*(DeathPayment-K132)</f>
        <v>-23.91809042654333</v>
      </c>
    </row>
    <row r="133" spans="1:12" x14ac:dyDescent="0.45">
      <c r="A133" s="11">
        <v>18.04</v>
      </c>
      <c r="B133" s="14">
        <v>5.9676E-4</v>
      </c>
      <c r="C133" s="15">
        <v>1.7524000000000001E-4</v>
      </c>
      <c r="F133" s="28">
        <v>1.08</v>
      </c>
      <c r="G133" s="29">
        <f t="shared" si="4"/>
        <v>56.08</v>
      </c>
      <c r="H133" s="29">
        <f t="shared" si="5"/>
        <v>51.08</v>
      </c>
      <c r="I133" s="38">
        <f t="shared" si="6"/>
        <v>4.7944399999999996E-3</v>
      </c>
      <c r="J133" s="38">
        <f t="shared" si="7"/>
        <v>1.9961599999999999E-3</v>
      </c>
      <c r="K133" s="32">
        <f>K132+StepSize*L132</f>
        <v>957.86115724866886</v>
      </c>
      <c r="L133" s="33">
        <f>K133*Delta+I133*K133-J133*(DeathPayment-K133)</f>
        <v>-24.030395431937194</v>
      </c>
    </row>
    <row r="134" spans="1:12" x14ac:dyDescent="0.45">
      <c r="A134" s="11">
        <v>18.05</v>
      </c>
      <c r="B134" s="14">
        <v>5.9670000000000003E-4</v>
      </c>
      <c r="C134" s="15">
        <v>1.7530000000000001E-4</v>
      </c>
      <c r="F134" s="28">
        <v>1.0900000000000001</v>
      </c>
      <c r="G134" s="29">
        <f t="shared" si="4"/>
        <v>56.09</v>
      </c>
      <c r="H134" s="29">
        <f t="shared" si="5"/>
        <v>51.09</v>
      </c>
      <c r="I134" s="38">
        <f t="shared" si="6"/>
        <v>4.80037E-3</v>
      </c>
      <c r="J134" s="38">
        <f t="shared" si="7"/>
        <v>1.99818E-3</v>
      </c>
      <c r="K134" s="32">
        <f>K133+StepSize*L133</f>
        <v>957.62085329434944</v>
      </c>
      <c r="L134" s="33">
        <f>K134*Delta+I134*K134-J134*(DeathPayment-K134)</f>
        <v>-24.142793095142309</v>
      </c>
    </row>
    <row r="135" spans="1:12" x14ac:dyDescent="0.45">
      <c r="A135" s="11">
        <v>18.059999999999999</v>
      </c>
      <c r="B135" s="14">
        <v>5.9663999999999995E-4</v>
      </c>
      <c r="C135" s="15">
        <v>1.7536E-4</v>
      </c>
      <c r="F135" s="28">
        <v>1.1000000000000001</v>
      </c>
      <c r="G135" s="29">
        <f t="shared" si="4"/>
        <v>56.1</v>
      </c>
      <c r="H135" s="29">
        <f t="shared" si="5"/>
        <v>51.1</v>
      </c>
      <c r="I135" s="38">
        <f t="shared" si="6"/>
        <v>4.8063000000000003E-3</v>
      </c>
      <c r="J135" s="38">
        <f t="shared" si="7"/>
        <v>2.0002000000000002E-3</v>
      </c>
      <c r="K135" s="32">
        <f>K134+StepSize*L134</f>
        <v>957.37942536339801</v>
      </c>
      <c r="L135" s="33">
        <f>K135*Delta+I135*K135-J135*(DeathPayment-K135)</f>
        <v>-24.25528351626086</v>
      </c>
    </row>
    <row r="136" spans="1:12" x14ac:dyDescent="0.45">
      <c r="A136" s="11">
        <v>18.07</v>
      </c>
      <c r="B136" s="14">
        <v>5.9657999999999998E-4</v>
      </c>
      <c r="C136" s="15">
        <v>1.7542E-4</v>
      </c>
      <c r="F136" s="28">
        <v>1.1100000000000001</v>
      </c>
      <c r="G136" s="29">
        <f t="shared" si="4"/>
        <v>56.11</v>
      </c>
      <c r="H136" s="29">
        <f t="shared" si="5"/>
        <v>51.11</v>
      </c>
      <c r="I136" s="38">
        <f t="shared" si="6"/>
        <v>4.8122299999999998E-3</v>
      </c>
      <c r="J136" s="38">
        <f t="shared" si="7"/>
        <v>2.0022199999999999E-3</v>
      </c>
      <c r="K136" s="32">
        <f>K135+StepSize*L135</f>
        <v>957.13687252823536</v>
      </c>
      <c r="L136" s="33">
        <f>K136*Delta+I136*K136-J136*(DeathPayment-K136)</f>
        <v>-24.367866795503744</v>
      </c>
    </row>
    <row r="137" spans="1:12" x14ac:dyDescent="0.45">
      <c r="A137" s="11">
        <v>18.079999999999998</v>
      </c>
      <c r="B137" s="14">
        <v>5.9652000000000001E-4</v>
      </c>
      <c r="C137" s="15">
        <v>1.7547999999999999E-4</v>
      </c>
      <c r="F137" s="28">
        <v>1.1200000000000001</v>
      </c>
      <c r="G137" s="29">
        <f t="shared" si="4"/>
        <v>56.12</v>
      </c>
      <c r="H137" s="29">
        <f t="shared" si="5"/>
        <v>51.12</v>
      </c>
      <c r="I137" s="38">
        <f t="shared" si="6"/>
        <v>4.8181600000000002E-3</v>
      </c>
      <c r="J137" s="38">
        <f t="shared" si="7"/>
        <v>2.00424E-3</v>
      </c>
      <c r="K137" s="32">
        <f>K136+StepSize*L136</f>
        <v>956.89319386028035</v>
      </c>
      <c r="L137" s="33">
        <f>K137*Delta+I137*K137-J137*(DeathPayment-K137)</f>
        <v>-24.480543033190756</v>
      </c>
    </row>
    <row r="138" spans="1:12" x14ac:dyDescent="0.45">
      <c r="A138" s="11">
        <v>18.09</v>
      </c>
      <c r="B138" s="14">
        <v>5.9646000000000005E-4</v>
      </c>
      <c r="C138" s="15">
        <v>1.7553999999999999E-4</v>
      </c>
      <c r="F138" s="28">
        <v>1.1299999999999999</v>
      </c>
      <c r="G138" s="29">
        <f t="shared" si="4"/>
        <v>56.13</v>
      </c>
      <c r="H138" s="29">
        <f t="shared" si="5"/>
        <v>51.13</v>
      </c>
      <c r="I138" s="38">
        <f t="shared" si="6"/>
        <v>4.8240899999999996E-3</v>
      </c>
      <c r="J138" s="38">
        <f t="shared" si="7"/>
        <v>2.0062600000000002E-3</v>
      </c>
      <c r="K138" s="32">
        <f>K137+StepSize*L137</f>
        <v>956.64838842994845</v>
      </c>
      <c r="L138" s="33">
        <f>K138*Delta+I138*K138-J138*(DeathPayment-K138)</f>
        <v>-24.593312329750546</v>
      </c>
    </row>
    <row r="139" spans="1:12" x14ac:dyDescent="0.45">
      <c r="A139" s="11">
        <v>18.100000000000001</v>
      </c>
      <c r="B139" s="14">
        <v>5.9639999999999997E-4</v>
      </c>
      <c r="C139" s="15">
        <v>1.7560000000000001E-4</v>
      </c>
      <c r="F139" s="28">
        <v>1.1399999999999999</v>
      </c>
      <c r="G139" s="29">
        <f t="shared" si="4"/>
        <v>56.14</v>
      </c>
      <c r="H139" s="29">
        <f t="shared" si="5"/>
        <v>51.14</v>
      </c>
      <c r="I139" s="38">
        <f t="shared" si="6"/>
        <v>4.83002E-3</v>
      </c>
      <c r="J139" s="38">
        <f t="shared" si="7"/>
        <v>2.0082799999999999E-3</v>
      </c>
      <c r="K139" s="32">
        <f>K138+StepSize*L138</f>
        <v>956.40245530665095</v>
      </c>
      <c r="L139" s="33">
        <f>K139*Delta+I139*K139-J139*(DeathPayment-K139)</f>
        <v>-24.706174785720762</v>
      </c>
    </row>
    <row r="140" spans="1:12" x14ac:dyDescent="0.45">
      <c r="A140" s="11">
        <v>18.11</v>
      </c>
      <c r="B140" s="14">
        <v>5.9634E-4</v>
      </c>
      <c r="C140" s="15">
        <v>1.7566000000000001E-4</v>
      </c>
      <c r="F140" s="28">
        <v>1.1499999999999999</v>
      </c>
      <c r="G140" s="29">
        <f t="shared" si="4"/>
        <v>56.15</v>
      </c>
      <c r="H140" s="29">
        <f t="shared" si="5"/>
        <v>51.15</v>
      </c>
      <c r="I140" s="38">
        <f t="shared" si="6"/>
        <v>4.8359500000000003E-3</v>
      </c>
      <c r="J140" s="38">
        <f t="shared" si="7"/>
        <v>2.0103E-3</v>
      </c>
      <c r="K140" s="32">
        <f>K139+StepSize*L139</f>
        <v>956.15539355879378</v>
      </c>
      <c r="L140" s="33">
        <f>K140*Delta+I140*K140-J140*(DeathPayment-K140)</f>
        <v>-24.819130501748404</v>
      </c>
    </row>
    <row r="141" spans="1:12" x14ac:dyDescent="0.45">
      <c r="A141" s="11">
        <v>18.12</v>
      </c>
      <c r="B141" s="14">
        <v>5.9628000000000003E-4</v>
      </c>
      <c r="C141" s="15">
        <v>1.7572E-4</v>
      </c>
      <c r="F141" s="28">
        <v>1.1599999999999999</v>
      </c>
      <c r="G141" s="29">
        <f t="shared" si="4"/>
        <v>56.16</v>
      </c>
      <c r="H141" s="29">
        <f t="shared" si="5"/>
        <v>51.16</v>
      </c>
      <c r="I141" s="38">
        <f t="shared" si="6"/>
        <v>4.8418799999999998E-3</v>
      </c>
      <c r="J141" s="38">
        <f t="shared" si="7"/>
        <v>2.0123200000000002E-3</v>
      </c>
      <c r="K141" s="32">
        <f>K140+StepSize*L140</f>
        <v>955.90720225377629</v>
      </c>
      <c r="L141" s="33">
        <f>K141*Delta+I141*K141-J141*(DeathPayment-K141)</f>
        <v>-24.932179578589654</v>
      </c>
    </row>
    <row r="142" spans="1:12" x14ac:dyDescent="0.45">
      <c r="A142" s="11">
        <v>18.13</v>
      </c>
      <c r="B142" s="14">
        <v>5.9621999999999995E-4</v>
      </c>
      <c r="C142" s="15">
        <v>1.7578E-4</v>
      </c>
      <c r="F142" s="28">
        <v>1.17</v>
      </c>
      <c r="G142" s="29">
        <f t="shared" si="4"/>
        <v>56.17</v>
      </c>
      <c r="H142" s="29">
        <f t="shared" si="5"/>
        <v>51.17</v>
      </c>
      <c r="I142" s="38">
        <f t="shared" si="6"/>
        <v>4.8478100000000001E-3</v>
      </c>
      <c r="J142" s="38">
        <f t="shared" si="7"/>
        <v>2.0143399999999999E-3</v>
      </c>
      <c r="K142" s="32">
        <f>K141+StepSize*L141</f>
        <v>955.65788045799036</v>
      </c>
      <c r="L142" s="33">
        <f>K142*Delta+I142*K142-J142*(DeathPayment-K142)</f>
        <v>-25.045322117110118</v>
      </c>
    </row>
    <row r="143" spans="1:12" x14ac:dyDescent="0.45">
      <c r="A143" s="11">
        <v>18.14</v>
      </c>
      <c r="B143" s="14">
        <v>5.9615999999999998E-4</v>
      </c>
      <c r="C143" s="15">
        <v>1.7584E-4</v>
      </c>
      <c r="F143" s="28">
        <v>1.18</v>
      </c>
      <c r="G143" s="29">
        <f t="shared" si="4"/>
        <v>56.18</v>
      </c>
      <c r="H143" s="29">
        <f t="shared" si="5"/>
        <v>51.18</v>
      </c>
      <c r="I143" s="38">
        <f t="shared" si="6"/>
        <v>4.8537399999999996E-3</v>
      </c>
      <c r="J143" s="38">
        <f t="shared" si="7"/>
        <v>2.01636E-3</v>
      </c>
      <c r="K143" s="32">
        <f>K142+StepSize*L142</f>
        <v>955.40742723681922</v>
      </c>
      <c r="L143" s="33">
        <f>K143*Delta+I143*K143-J143*(DeathPayment-K143)</f>
        <v>-25.158558218285123</v>
      </c>
    </row>
    <row r="144" spans="1:12" x14ac:dyDescent="0.45">
      <c r="A144" s="11">
        <v>18.149999999999999</v>
      </c>
      <c r="B144" s="14">
        <v>5.9610000000000002E-4</v>
      </c>
      <c r="C144" s="15">
        <v>1.7589999999999999E-4</v>
      </c>
      <c r="F144" s="28">
        <v>1.19</v>
      </c>
      <c r="G144" s="29">
        <f t="shared" si="4"/>
        <v>56.19</v>
      </c>
      <c r="H144" s="29">
        <f t="shared" si="5"/>
        <v>51.19</v>
      </c>
      <c r="I144" s="38">
        <f t="shared" si="6"/>
        <v>4.85967E-3</v>
      </c>
      <c r="J144" s="38">
        <f t="shared" si="7"/>
        <v>2.0183800000000002E-3</v>
      </c>
      <c r="K144" s="32">
        <f>K143+StepSize*L143</f>
        <v>955.15584165463633</v>
      </c>
      <c r="L144" s="33">
        <f>K144*Delta+I144*K144-J144*(DeathPayment-K144)</f>
        <v>-25.271887983199463</v>
      </c>
    </row>
    <row r="145" spans="1:12" x14ac:dyDescent="0.45">
      <c r="A145" s="11">
        <v>18.16</v>
      </c>
      <c r="B145" s="14">
        <v>5.9604000000000005E-4</v>
      </c>
      <c r="C145" s="15">
        <v>1.7595999999999999E-4</v>
      </c>
      <c r="F145" s="28">
        <v>1.2</v>
      </c>
      <c r="G145" s="29">
        <f t="shared" si="4"/>
        <v>56.2</v>
      </c>
      <c r="H145" s="29">
        <f t="shared" si="5"/>
        <v>51.2</v>
      </c>
      <c r="I145" s="38">
        <f t="shared" si="6"/>
        <v>4.8656000000000003E-3</v>
      </c>
      <c r="J145" s="38">
        <f t="shared" si="7"/>
        <v>2.0203999999999999E-3</v>
      </c>
      <c r="K145" s="32">
        <f>K144+StepSize*L144</f>
        <v>954.90312277480439</v>
      </c>
      <c r="L145" s="33">
        <f>K145*Delta+I145*K145-J145*(DeathPayment-K145)</f>
        <v>-25.385311513047924</v>
      </c>
    </row>
    <row r="146" spans="1:12" x14ac:dyDescent="0.45">
      <c r="A146" s="11">
        <v>18.170000000000002</v>
      </c>
      <c r="B146" s="14">
        <v>5.9597999999999997E-4</v>
      </c>
      <c r="C146" s="15">
        <v>1.7602000000000001E-4</v>
      </c>
      <c r="F146" s="28">
        <v>1.21</v>
      </c>
      <c r="G146" s="29">
        <f t="shared" si="4"/>
        <v>56.21</v>
      </c>
      <c r="H146" s="29">
        <f t="shared" si="5"/>
        <v>51.21</v>
      </c>
      <c r="I146" s="38">
        <f t="shared" si="6"/>
        <v>4.8715299999999998E-3</v>
      </c>
      <c r="J146" s="38">
        <f t="shared" si="7"/>
        <v>2.02242E-3</v>
      </c>
      <c r="K146" s="32">
        <f>K145+StepSize*L145</f>
        <v>954.64926965967391</v>
      </c>
      <c r="L146" s="33">
        <f>K146*Delta+I146*K146-J146*(DeathPayment-K146)</f>
        <v>-25.498828909135227</v>
      </c>
    </row>
    <row r="147" spans="1:12" x14ac:dyDescent="0.45">
      <c r="A147" s="11">
        <v>18.18</v>
      </c>
      <c r="B147" s="14">
        <v>5.9592E-4</v>
      </c>
      <c r="C147" s="15">
        <v>1.7608000000000001E-4</v>
      </c>
      <c r="F147" s="28">
        <v>1.22</v>
      </c>
      <c r="G147" s="29">
        <f t="shared" si="4"/>
        <v>56.22</v>
      </c>
      <c r="H147" s="29">
        <f t="shared" si="5"/>
        <v>51.22</v>
      </c>
      <c r="I147" s="38">
        <f t="shared" si="6"/>
        <v>4.8774600000000001E-3</v>
      </c>
      <c r="J147" s="38">
        <f t="shared" si="7"/>
        <v>2.0244400000000002E-3</v>
      </c>
      <c r="K147" s="32">
        <f>K146+StepSize*L146</f>
        <v>954.39428137058258</v>
      </c>
      <c r="L147" s="33">
        <f>K147*Delta+I147*K147-J147*(DeathPayment-K147)</f>
        <v>-25.612440272876057</v>
      </c>
    </row>
    <row r="148" spans="1:12" x14ac:dyDescent="0.45">
      <c r="A148" s="11">
        <v>18.190000000000001</v>
      </c>
      <c r="B148" s="14">
        <v>5.9586000000000003E-4</v>
      </c>
      <c r="C148" s="15">
        <v>1.7614E-4</v>
      </c>
      <c r="F148" s="28">
        <v>1.23</v>
      </c>
      <c r="G148" s="29">
        <f t="shared" si="4"/>
        <v>56.23</v>
      </c>
      <c r="H148" s="29">
        <f t="shared" si="5"/>
        <v>51.23</v>
      </c>
      <c r="I148" s="38">
        <f t="shared" si="6"/>
        <v>4.8833899999999996E-3</v>
      </c>
      <c r="J148" s="38">
        <f t="shared" si="7"/>
        <v>2.0264599999999999E-3</v>
      </c>
      <c r="K148" s="32">
        <f>K147+StepSize*L147</f>
        <v>954.13815696785377</v>
      </c>
      <c r="L148" s="33">
        <f>K148*Delta+I148*K148-J148*(DeathPayment-K148)</f>
        <v>-25.726145705795361</v>
      </c>
    </row>
    <row r="149" spans="1:12" x14ac:dyDescent="0.45">
      <c r="A149" s="11">
        <v>18.2</v>
      </c>
      <c r="B149" s="14">
        <v>5.9579999999999995E-4</v>
      </c>
      <c r="C149" s="15">
        <v>1.762E-4</v>
      </c>
      <c r="F149" s="28">
        <v>1.24</v>
      </c>
      <c r="G149" s="29">
        <f t="shared" si="4"/>
        <v>56.24</v>
      </c>
      <c r="H149" s="29">
        <f t="shared" si="5"/>
        <v>51.24</v>
      </c>
      <c r="I149" s="38">
        <f t="shared" si="6"/>
        <v>4.88932E-3</v>
      </c>
      <c r="J149" s="38">
        <f t="shared" si="7"/>
        <v>2.02848E-3</v>
      </c>
      <c r="K149" s="32">
        <f>K148+StepSize*L148</f>
        <v>953.88089551079577</v>
      </c>
      <c r="L149" s="33">
        <f>K149*Delta+I149*K149-J149*(DeathPayment-K149)</f>
        <v>-25.839945309528503</v>
      </c>
    </row>
    <row r="150" spans="1:12" x14ac:dyDescent="0.45">
      <c r="A150" s="11">
        <v>18.21</v>
      </c>
      <c r="B150" s="14">
        <v>5.9573999999999998E-4</v>
      </c>
      <c r="C150" s="15">
        <v>1.7626E-4</v>
      </c>
      <c r="F150" s="28">
        <v>1.25</v>
      </c>
      <c r="G150" s="29">
        <f t="shared" si="4"/>
        <v>56.25</v>
      </c>
      <c r="H150" s="29">
        <f t="shared" si="5"/>
        <v>51.25</v>
      </c>
      <c r="I150" s="38">
        <f t="shared" si="6"/>
        <v>4.8952500000000003E-3</v>
      </c>
      <c r="J150" s="38">
        <f t="shared" si="7"/>
        <v>2.0305000000000002E-3</v>
      </c>
      <c r="K150" s="32">
        <f>K149+StepSize*L149</f>
        <v>953.62249605770046</v>
      </c>
      <c r="L150" s="33">
        <f>K150*Delta+I150*K150-J150*(DeathPayment-K150)</f>
        <v>-25.953839185821124</v>
      </c>
    </row>
    <row r="151" spans="1:12" x14ac:dyDescent="0.45">
      <c r="A151" s="11">
        <v>18.22</v>
      </c>
      <c r="B151" s="14">
        <v>5.9568000000000002E-4</v>
      </c>
      <c r="C151" s="15">
        <v>1.7631999999999999E-4</v>
      </c>
      <c r="F151" s="28">
        <v>1.26</v>
      </c>
      <c r="G151" s="29">
        <f t="shared" si="4"/>
        <v>56.26</v>
      </c>
      <c r="H151" s="29">
        <f t="shared" si="5"/>
        <v>51.26</v>
      </c>
      <c r="I151" s="38">
        <f t="shared" si="6"/>
        <v>4.9011799999999998E-3</v>
      </c>
      <c r="J151" s="38">
        <f t="shared" si="7"/>
        <v>2.0325199999999999E-3</v>
      </c>
      <c r="K151" s="32">
        <f>K150+StepSize*L150</f>
        <v>953.36295766584226</v>
      </c>
      <c r="L151" s="33">
        <f>K151*Delta+I151*K151-J151*(DeathPayment-K151)</f>
        <v>-26.067827436529598</v>
      </c>
    </row>
    <row r="152" spans="1:12" x14ac:dyDescent="0.45">
      <c r="A152" s="11">
        <v>18.23</v>
      </c>
      <c r="B152" s="14">
        <v>5.9562000000000005E-4</v>
      </c>
      <c r="C152" s="15">
        <v>1.7637999999999999E-4</v>
      </c>
      <c r="F152" s="28">
        <v>1.27</v>
      </c>
      <c r="G152" s="29">
        <f t="shared" si="4"/>
        <v>56.27</v>
      </c>
      <c r="H152" s="29">
        <f t="shared" si="5"/>
        <v>51.27</v>
      </c>
      <c r="I152" s="38">
        <f t="shared" si="6"/>
        <v>4.9071100000000001E-3</v>
      </c>
      <c r="J152" s="38">
        <f t="shared" si="7"/>
        <v>2.03454E-3</v>
      </c>
      <c r="K152" s="32">
        <f>K151+StepSize*L151</f>
        <v>953.10227939147694</v>
      </c>
      <c r="L152" s="33">
        <f>K152*Delta+I152*K152-J152*(DeathPayment-K152)</f>
        <v>-26.181910163620941</v>
      </c>
    </row>
    <row r="153" spans="1:12" x14ac:dyDescent="0.45">
      <c r="A153" s="11">
        <v>18.239999999999998</v>
      </c>
      <c r="B153" s="14">
        <v>5.9555999999999997E-4</v>
      </c>
      <c r="C153" s="15">
        <v>1.7644000000000001E-4</v>
      </c>
      <c r="F153" s="28">
        <v>1.28</v>
      </c>
      <c r="G153" s="29">
        <f t="shared" ref="G153:G216" si="8">ROUND(MaleAgeStart+F153,2)</f>
        <v>56.28</v>
      </c>
      <c r="H153" s="29">
        <f t="shared" ref="H153:H216" si="9">ROUND(FemaleAgeStart+F153,2)</f>
        <v>51.28</v>
      </c>
      <c r="I153" s="38">
        <f t="shared" ref="I153:I216" si="10">VLOOKUP(G153,muValues,2,FALSE)</f>
        <v>4.9130399999999996E-3</v>
      </c>
      <c r="J153" s="38">
        <f t="shared" ref="J153:J216" si="11">VLOOKUP(H153,muValues,3,FALSE)</f>
        <v>2.0365600000000002E-3</v>
      </c>
      <c r="K153" s="32">
        <f>K152+StepSize*L152</f>
        <v>952.84046028984073</v>
      </c>
      <c r="L153" s="33">
        <f>K153*Delta+I153*K153-J153*(DeathPayment-K153)</f>
        <v>-26.296087469173031</v>
      </c>
    </row>
    <row r="154" spans="1:12" x14ac:dyDescent="0.45">
      <c r="A154" s="11">
        <v>18.25</v>
      </c>
      <c r="B154" s="14">
        <v>5.955E-4</v>
      </c>
      <c r="C154" s="15">
        <v>1.7650000000000001E-4</v>
      </c>
      <c r="F154" s="28">
        <v>1.29</v>
      </c>
      <c r="G154" s="29">
        <f t="shared" si="8"/>
        <v>56.29</v>
      </c>
      <c r="H154" s="29">
        <f t="shared" si="9"/>
        <v>51.29</v>
      </c>
      <c r="I154" s="38">
        <f t="shared" si="10"/>
        <v>4.9189699999999999E-3</v>
      </c>
      <c r="J154" s="38">
        <f t="shared" si="11"/>
        <v>2.0385799999999999E-3</v>
      </c>
      <c r="K154" s="32">
        <f>K153+StepSize*L153</f>
        <v>952.57749941514896</v>
      </c>
      <c r="L154" s="33">
        <f>K154*Delta+I154*K154-J154*(DeathPayment-K154)</f>
        <v>-26.410359455374675</v>
      </c>
    </row>
    <row r="155" spans="1:12" x14ac:dyDescent="0.45">
      <c r="A155" s="11">
        <v>18.260000000000002</v>
      </c>
      <c r="B155" s="14">
        <v>5.9544000000000003E-4</v>
      </c>
      <c r="C155" s="15">
        <v>1.7656E-4</v>
      </c>
      <c r="F155" s="28">
        <v>1.3</v>
      </c>
      <c r="G155" s="29">
        <f t="shared" si="8"/>
        <v>56.3</v>
      </c>
      <c r="H155" s="29">
        <f t="shared" si="9"/>
        <v>51.3</v>
      </c>
      <c r="I155" s="38">
        <f t="shared" si="10"/>
        <v>4.9249000000000003E-3</v>
      </c>
      <c r="J155" s="38">
        <f t="shared" si="11"/>
        <v>2.0406000000000001E-3</v>
      </c>
      <c r="K155" s="32">
        <f>K154+StepSize*L154</f>
        <v>952.31339582059525</v>
      </c>
      <c r="L155" s="33">
        <f>K155*Delta+I155*K155-J155*(DeathPayment-K155)</f>
        <v>-26.524726224525878</v>
      </c>
    </row>
    <row r="156" spans="1:12" x14ac:dyDescent="0.45">
      <c r="A156" s="11">
        <v>18.27</v>
      </c>
      <c r="B156" s="14">
        <v>5.9537999999999995E-4</v>
      </c>
      <c r="C156" s="15">
        <v>1.7662E-4</v>
      </c>
      <c r="F156" s="28">
        <v>1.31</v>
      </c>
      <c r="G156" s="29">
        <f t="shared" si="8"/>
        <v>56.31</v>
      </c>
      <c r="H156" s="29">
        <f t="shared" si="9"/>
        <v>51.31</v>
      </c>
      <c r="I156" s="38">
        <f t="shared" si="10"/>
        <v>4.9308299999999998E-3</v>
      </c>
      <c r="J156" s="38">
        <f t="shared" si="11"/>
        <v>2.0426200000000002E-3</v>
      </c>
      <c r="K156" s="32">
        <f>K155+StepSize*L155</f>
        <v>952.04814855835002</v>
      </c>
      <c r="L156" s="33">
        <f>K156*Delta+I156*K156-J156*(DeathPayment-K156)</f>
        <v>-26.639187879037777</v>
      </c>
    </row>
    <row r="157" spans="1:12" x14ac:dyDescent="0.45">
      <c r="A157" s="11">
        <v>18.28</v>
      </c>
      <c r="B157" s="14">
        <v>5.9531999999999999E-4</v>
      </c>
      <c r="C157" s="15">
        <v>1.7668E-4</v>
      </c>
      <c r="F157" s="28">
        <v>1.32</v>
      </c>
      <c r="G157" s="29">
        <f t="shared" si="8"/>
        <v>56.32</v>
      </c>
      <c r="H157" s="29">
        <f t="shared" si="9"/>
        <v>51.32</v>
      </c>
      <c r="I157" s="38">
        <f t="shared" si="10"/>
        <v>4.9367600000000001E-3</v>
      </c>
      <c r="J157" s="38">
        <f t="shared" si="11"/>
        <v>2.0446399999999999E-3</v>
      </c>
      <c r="K157" s="32">
        <f>K156+StepSize*L156</f>
        <v>951.78175667955963</v>
      </c>
      <c r="L157" s="33">
        <f>K157*Delta+I157*K157-J157*(DeathPayment-K157)</f>
        <v>-26.753744521432878</v>
      </c>
    </row>
    <row r="158" spans="1:12" x14ac:dyDescent="0.45">
      <c r="A158" s="11">
        <v>18.29</v>
      </c>
      <c r="B158" s="14">
        <v>5.9526000000000002E-4</v>
      </c>
      <c r="C158" s="15">
        <v>1.7673999999999999E-4</v>
      </c>
      <c r="F158" s="28">
        <v>1.33</v>
      </c>
      <c r="G158" s="29">
        <f t="shared" si="8"/>
        <v>56.33</v>
      </c>
      <c r="H158" s="29">
        <f t="shared" si="9"/>
        <v>51.33</v>
      </c>
      <c r="I158" s="38">
        <f t="shared" si="10"/>
        <v>4.9426899999999996E-3</v>
      </c>
      <c r="J158" s="38">
        <f t="shared" si="11"/>
        <v>2.0466600000000001E-3</v>
      </c>
      <c r="K158" s="32">
        <f>K157+StepSize*L157</f>
        <v>951.51421923434532</v>
      </c>
      <c r="L158" s="33">
        <f>K158*Delta+I158*K158-J158*(DeathPayment-K158)</f>
        <v>-26.8683962543452</v>
      </c>
    </row>
    <row r="159" spans="1:12" x14ac:dyDescent="0.45">
      <c r="A159" s="11">
        <v>18.3</v>
      </c>
      <c r="B159" s="14">
        <v>5.9520000000000005E-4</v>
      </c>
      <c r="C159" s="15">
        <v>1.7679999999999999E-4</v>
      </c>
      <c r="F159" s="28">
        <v>1.34</v>
      </c>
      <c r="G159" s="29">
        <f t="shared" si="8"/>
        <v>56.34</v>
      </c>
      <c r="H159" s="29">
        <f t="shared" si="9"/>
        <v>51.34</v>
      </c>
      <c r="I159" s="38">
        <f t="shared" si="10"/>
        <v>4.9486199999999999E-3</v>
      </c>
      <c r="J159" s="38">
        <f t="shared" si="11"/>
        <v>2.0486800000000002E-3</v>
      </c>
      <c r="K159" s="32">
        <f>K158+StepSize*L158</f>
        <v>951.24553527180183</v>
      </c>
      <c r="L159" s="33">
        <f>K159*Delta+I159*K159-J159*(DeathPayment-K159)</f>
        <v>-26.983143180520386</v>
      </c>
    </row>
    <row r="160" spans="1:12" x14ac:dyDescent="0.45">
      <c r="A160" s="11">
        <v>18.309999999999999</v>
      </c>
      <c r="B160" s="14">
        <v>5.9513999999999997E-4</v>
      </c>
      <c r="C160" s="15">
        <v>1.7686000000000001E-4</v>
      </c>
      <c r="F160" s="28">
        <v>1.35</v>
      </c>
      <c r="G160" s="29">
        <f t="shared" si="8"/>
        <v>56.35</v>
      </c>
      <c r="H160" s="29">
        <f t="shared" si="9"/>
        <v>51.35</v>
      </c>
      <c r="I160" s="38">
        <f t="shared" si="10"/>
        <v>4.9545500000000003E-3</v>
      </c>
      <c r="J160" s="38">
        <f t="shared" si="11"/>
        <v>2.0506999999999999E-3</v>
      </c>
      <c r="K160" s="32">
        <f>K159+StepSize*L159</f>
        <v>950.97570383999664</v>
      </c>
      <c r="L160" s="33">
        <f>K160*Delta+I160*K160-J160*(DeathPayment-K160)</f>
        <v>-27.097985402815752</v>
      </c>
    </row>
    <row r="161" spans="1:12" x14ac:dyDescent="0.45">
      <c r="A161" s="11">
        <v>18.32</v>
      </c>
      <c r="B161" s="14">
        <v>5.9508E-4</v>
      </c>
      <c r="C161" s="15">
        <v>1.7692000000000001E-4</v>
      </c>
      <c r="F161" s="28">
        <v>1.36</v>
      </c>
      <c r="G161" s="29">
        <f t="shared" si="8"/>
        <v>56.36</v>
      </c>
      <c r="H161" s="29">
        <f t="shared" si="9"/>
        <v>51.36</v>
      </c>
      <c r="I161" s="38">
        <f t="shared" si="10"/>
        <v>4.9604799999999998E-3</v>
      </c>
      <c r="J161" s="38">
        <f t="shared" si="11"/>
        <v>2.0527200000000001E-3</v>
      </c>
      <c r="K161" s="32">
        <f>K160+StepSize*L160</f>
        <v>950.70472398596849</v>
      </c>
      <c r="L161" s="33">
        <f>K161*Delta+I161*K161-J161*(DeathPayment-K161)</f>
        <v>-27.212923024200563</v>
      </c>
    </row>
    <row r="162" spans="1:12" x14ac:dyDescent="0.45">
      <c r="A162" s="11">
        <v>18.329999999999998</v>
      </c>
      <c r="B162" s="14">
        <v>5.9502000000000003E-4</v>
      </c>
      <c r="C162" s="15">
        <v>1.7698E-4</v>
      </c>
      <c r="F162" s="28">
        <v>1.37</v>
      </c>
      <c r="G162" s="29">
        <f t="shared" si="8"/>
        <v>56.37</v>
      </c>
      <c r="H162" s="29">
        <f t="shared" si="9"/>
        <v>51.37</v>
      </c>
      <c r="I162" s="38">
        <f t="shared" si="10"/>
        <v>4.9664100000000001E-3</v>
      </c>
      <c r="J162" s="38">
        <f t="shared" si="11"/>
        <v>2.0547400000000002E-3</v>
      </c>
      <c r="K162" s="32">
        <f>K161+StepSize*L161</f>
        <v>950.43259475572643</v>
      </c>
      <c r="L162" s="33">
        <f>K162*Delta+I162*K162-J162*(DeathPayment-K162)</f>
        <v>-27.327956147756055</v>
      </c>
    </row>
    <row r="163" spans="1:12" x14ac:dyDescent="0.45">
      <c r="A163" s="11">
        <v>18.34</v>
      </c>
      <c r="B163" s="14">
        <v>5.9495999999999996E-4</v>
      </c>
      <c r="C163" s="15">
        <v>1.7704E-4</v>
      </c>
      <c r="F163" s="28">
        <v>1.38</v>
      </c>
      <c r="G163" s="29">
        <f t="shared" si="8"/>
        <v>56.38</v>
      </c>
      <c r="H163" s="29">
        <f t="shared" si="9"/>
        <v>51.38</v>
      </c>
      <c r="I163" s="38">
        <f t="shared" si="10"/>
        <v>4.9723399999999996E-3</v>
      </c>
      <c r="J163" s="38">
        <f t="shared" si="11"/>
        <v>2.0567599999999999E-3</v>
      </c>
      <c r="K163" s="32">
        <f>K162+StepSize*L162</f>
        <v>950.15931519424885</v>
      </c>
      <c r="L163" s="33">
        <f>K163*Delta+I163*K163-J163*(DeathPayment-K163)</f>
        <v>-27.44308487667557</v>
      </c>
    </row>
    <row r="164" spans="1:12" x14ac:dyDescent="0.45">
      <c r="A164" s="11">
        <v>18.350000000000001</v>
      </c>
      <c r="B164" s="14">
        <v>5.9489999999999999E-4</v>
      </c>
      <c r="C164" s="15">
        <v>1.771E-4</v>
      </c>
      <c r="F164" s="28">
        <v>1.39</v>
      </c>
      <c r="G164" s="29">
        <f t="shared" si="8"/>
        <v>56.39</v>
      </c>
      <c r="H164" s="29">
        <f t="shared" si="9"/>
        <v>51.39</v>
      </c>
      <c r="I164" s="38">
        <f t="shared" si="10"/>
        <v>4.9782699999999999E-3</v>
      </c>
      <c r="J164" s="38">
        <f t="shared" si="11"/>
        <v>2.0587800000000001E-3</v>
      </c>
      <c r="K164" s="32">
        <f>K163+StepSize*L163</f>
        <v>949.88488434548208</v>
      </c>
      <c r="L164" s="33">
        <f>K164*Delta+I164*K164-J164*(DeathPayment-K164)</f>
        <v>-27.558309314264761</v>
      </c>
    </row>
    <row r="165" spans="1:12" x14ac:dyDescent="0.45">
      <c r="A165" s="11">
        <v>18.36</v>
      </c>
      <c r="B165" s="14">
        <v>5.9484000000000002E-4</v>
      </c>
      <c r="C165" s="15">
        <v>1.7715999999999999E-4</v>
      </c>
      <c r="F165" s="28">
        <v>1.4</v>
      </c>
      <c r="G165" s="29">
        <f t="shared" si="8"/>
        <v>56.4</v>
      </c>
      <c r="H165" s="29">
        <f t="shared" si="9"/>
        <v>51.4</v>
      </c>
      <c r="I165" s="38">
        <f t="shared" si="10"/>
        <v>4.9842000000000003E-3</v>
      </c>
      <c r="J165" s="38">
        <f t="shared" si="11"/>
        <v>2.0607999999999998E-3</v>
      </c>
      <c r="K165" s="32">
        <f>K164+StepSize*L164</f>
        <v>949.60930125233938</v>
      </c>
      <c r="L165" s="33">
        <f>K165*Delta+I165*K165-J165*(DeathPayment-K165)</f>
        <v>-27.673629563941617</v>
      </c>
    </row>
    <row r="166" spans="1:12" x14ac:dyDescent="0.45">
      <c r="A166" s="11">
        <v>18.37</v>
      </c>
      <c r="B166" s="14">
        <v>5.9478000000000005E-4</v>
      </c>
      <c r="C166" s="15">
        <v>1.7721999999999999E-4</v>
      </c>
      <c r="F166" s="28">
        <v>1.41</v>
      </c>
      <c r="G166" s="29">
        <f t="shared" si="8"/>
        <v>56.41</v>
      </c>
      <c r="H166" s="29">
        <f t="shared" si="9"/>
        <v>51.41</v>
      </c>
      <c r="I166" s="38">
        <f t="shared" si="10"/>
        <v>4.9901299999999997E-3</v>
      </c>
      <c r="J166" s="38">
        <f t="shared" si="11"/>
        <v>2.0628199999999999E-3</v>
      </c>
      <c r="K166" s="32">
        <f>K165+StepSize*L165</f>
        <v>949.33256495669991</v>
      </c>
      <c r="L166" s="33">
        <f>K166*Delta+I166*K166-J166*(DeathPayment-K166)</f>
        <v>-27.789045729236747</v>
      </c>
    </row>
    <row r="167" spans="1:12" x14ac:dyDescent="0.45">
      <c r="A167" s="11">
        <v>18.38</v>
      </c>
      <c r="B167" s="14">
        <v>5.9471999999999997E-4</v>
      </c>
      <c r="C167" s="15">
        <v>1.7728000000000001E-4</v>
      </c>
      <c r="F167" s="28">
        <v>1.42</v>
      </c>
      <c r="G167" s="29">
        <f t="shared" si="8"/>
        <v>56.42</v>
      </c>
      <c r="H167" s="29">
        <f t="shared" si="9"/>
        <v>51.42</v>
      </c>
      <c r="I167" s="38">
        <f t="shared" si="10"/>
        <v>4.9960600000000001E-3</v>
      </c>
      <c r="J167" s="38">
        <f t="shared" si="11"/>
        <v>2.0648400000000001E-3</v>
      </c>
      <c r="K167" s="32">
        <f>K166+StepSize*L166</f>
        <v>949.0546744994075</v>
      </c>
      <c r="L167" s="33">
        <f>K167*Delta+I167*K167-J167*(DeathPayment-K167)</f>
        <v>-27.904557913793312</v>
      </c>
    </row>
    <row r="168" spans="1:12" x14ac:dyDescent="0.45">
      <c r="A168" s="11">
        <v>18.39</v>
      </c>
      <c r="B168" s="14">
        <v>5.9466E-4</v>
      </c>
      <c r="C168" s="15">
        <v>1.7734000000000001E-4</v>
      </c>
      <c r="F168" s="28">
        <v>1.43</v>
      </c>
      <c r="G168" s="29">
        <f t="shared" si="8"/>
        <v>56.43</v>
      </c>
      <c r="H168" s="29">
        <f t="shared" si="9"/>
        <v>51.43</v>
      </c>
      <c r="I168" s="38">
        <f t="shared" si="10"/>
        <v>5.0019900000000004E-3</v>
      </c>
      <c r="J168" s="38">
        <f t="shared" si="11"/>
        <v>2.0668599999999998E-3</v>
      </c>
      <c r="K168" s="32">
        <f>K167+StepSize*L167</f>
        <v>948.77562892026958</v>
      </c>
      <c r="L168" s="33">
        <f>K168*Delta+I168*K168-J168*(DeathPayment-K168)</f>
        <v>-28.020166221367234</v>
      </c>
    </row>
    <row r="169" spans="1:12" x14ac:dyDescent="0.45">
      <c r="A169" s="11">
        <v>18.399999999999999</v>
      </c>
      <c r="B169" s="14">
        <v>5.9460000000000003E-4</v>
      </c>
      <c r="C169" s="15">
        <v>1.774E-4</v>
      </c>
      <c r="F169" s="28">
        <v>1.44</v>
      </c>
      <c r="G169" s="29">
        <f t="shared" si="8"/>
        <v>56.44</v>
      </c>
      <c r="H169" s="29">
        <f t="shared" si="9"/>
        <v>51.44</v>
      </c>
      <c r="I169" s="38">
        <f t="shared" si="10"/>
        <v>5.0079199999999999E-3</v>
      </c>
      <c r="J169" s="38">
        <f t="shared" si="11"/>
        <v>2.0688799999999999E-3</v>
      </c>
      <c r="K169" s="32">
        <f>K168+StepSize*L168</f>
        <v>948.49542725805588</v>
      </c>
      <c r="L169" s="33">
        <f>K169*Delta+I169*K169-J169*(DeathPayment-K169)</f>
        <v>-28.135870755827497</v>
      </c>
    </row>
    <row r="170" spans="1:12" x14ac:dyDescent="0.45">
      <c r="A170" s="11">
        <v>18.41</v>
      </c>
      <c r="B170" s="14">
        <v>5.9453999999999996E-4</v>
      </c>
      <c r="C170" s="15">
        <v>1.7746E-4</v>
      </c>
      <c r="F170" s="28">
        <v>1.45</v>
      </c>
      <c r="G170" s="29">
        <f t="shared" si="8"/>
        <v>56.45</v>
      </c>
      <c r="H170" s="29">
        <f t="shared" si="9"/>
        <v>51.45</v>
      </c>
      <c r="I170" s="38">
        <f t="shared" si="10"/>
        <v>5.0138500000000003E-3</v>
      </c>
      <c r="J170" s="38">
        <f t="shared" si="11"/>
        <v>2.0709000000000001E-3</v>
      </c>
      <c r="K170" s="32">
        <f>K169+StepSize*L169</f>
        <v>948.21406855049759</v>
      </c>
      <c r="L170" s="33">
        <f>K170*Delta+I170*K170-J170*(DeathPayment-K170)</f>
        <v>-28.251671621155964</v>
      </c>
    </row>
    <row r="171" spans="1:12" x14ac:dyDescent="0.45">
      <c r="A171" s="11">
        <v>18.420000000000002</v>
      </c>
      <c r="B171" s="14">
        <v>5.9447999999999999E-4</v>
      </c>
      <c r="C171" s="15">
        <v>1.7751999999999999E-4</v>
      </c>
      <c r="F171" s="28">
        <v>1.46</v>
      </c>
      <c r="G171" s="29">
        <f t="shared" si="8"/>
        <v>56.46</v>
      </c>
      <c r="H171" s="29">
        <f t="shared" si="9"/>
        <v>51.46</v>
      </c>
      <c r="I171" s="38">
        <f t="shared" si="10"/>
        <v>5.0197799999999997E-3</v>
      </c>
      <c r="J171" s="38">
        <f t="shared" si="11"/>
        <v>2.0729199999999998E-3</v>
      </c>
      <c r="K171" s="32">
        <f>K170+StepSize*L170</f>
        <v>947.93155183428598</v>
      </c>
      <c r="L171" s="33">
        <f>K171*Delta+I171*K171-J171*(DeathPayment-K171)</f>
        <v>-28.367568921447784</v>
      </c>
    </row>
    <row r="172" spans="1:12" x14ac:dyDescent="0.45">
      <c r="A172" s="11">
        <v>18.43</v>
      </c>
      <c r="B172" s="14">
        <v>5.9442000000000002E-4</v>
      </c>
      <c r="C172" s="15">
        <v>1.7757999999999999E-4</v>
      </c>
      <c r="F172" s="28">
        <v>1.47</v>
      </c>
      <c r="G172" s="29">
        <f t="shared" si="8"/>
        <v>56.47</v>
      </c>
      <c r="H172" s="29">
        <f t="shared" si="9"/>
        <v>51.47</v>
      </c>
      <c r="I172" s="38">
        <f t="shared" si="10"/>
        <v>5.0257100000000001E-3</v>
      </c>
      <c r="J172" s="38">
        <f t="shared" si="11"/>
        <v>2.0749399999999999E-3</v>
      </c>
      <c r="K172" s="32">
        <f>K171+StepSize*L171</f>
        <v>947.64787614507145</v>
      </c>
      <c r="L172" s="33">
        <f>K172*Delta+I172*K172-J172*(DeathPayment-K172)</f>
        <v>-28.483562760911383</v>
      </c>
    </row>
    <row r="173" spans="1:12" x14ac:dyDescent="0.45">
      <c r="A173" s="11">
        <v>18.440000000000001</v>
      </c>
      <c r="B173" s="14">
        <v>5.9436000000000005E-4</v>
      </c>
      <c r="C173" s="15">
        <v>1.7763999999999999E-4</v>
      </c>
      <c r="F173" s="28">
        <v>1.48</v>
      </c>
      <c r="G173" s="29">
        <f t="shared" si="8"/>
        <v>56.48</v>
      </c>
      <c r="H173" s="29">
        <f t="shared" si="9"/>
        <v>51.48</v>
      </c>
      <c r="I173" s="38">
        <f t="shared" si="10"/>
        <v>5.0316400000000004E-3</v>
      </c>
      <c r="J173" s="38">
        <f t="shared" si="11"/>
        <v>2.0769600000000001E-3</v>
      </c>
      <c r="K173" s="32">
        <f>K172+StepSize*L172</f>
        <v>947.36304051746231</v>
      </c>
      <c r="L173" s="33">
        <f>K173*Delta+I173*K173-J173*(DeathPayment-K173)</f>
        <v>-28.599653243868588</v>
      </c>
    </row>
    <row r="174" spans="1:12" x14ac:dyDescent="0.45">
      <c r="A174" s="11">
        <v>18.45</v>
      </c>
      <c r="B174" s="14">
        <v>5.9429999999999997E-4</v>
      </c>
      <c r="C174" s="15">
        <v>1.7770000000000001E-4</v>
      </c>
      <c r="F174" s="28">
        <v>1.49</v>
      </c>
      <c r="G174" s="29">
        <f t="shared" si="8"/>
        <v>56.49</v>
      </c>
      <c r="H174" s="29">
        <f t="shared" si="9"/>
        <v>51.49</v>
      </c>
      <c r="I174" s="38">
        <f t="shared" si="10"/>
        <v>5.0375699999999999E-3</v>
      </c>
      <c r="J174" s="38">
        <f t="shared" si="11"/>
        <v>2.0789799999999998E-3</v>
      </c>
      <c r="K174" s="32">
        <f>K173+StepSize*L173</f>
        <v>947.07704398502358</v>
      </c>
      <c r="L174" s="33">
        <f>K174*Delta+I174*K174-J174*(DeathPayment-K174)</f>
        <v>-28.715840474754827</v>
      </c>
    </row>
    <row r="175" spans="1:12" x14ac:dyDescent="0.45">
      <c r="A175" s="11">
        <v>18.46</v>
      </c>
      <c r="B175" s="14">
        <v>5.9424E-4</v>
      </c>
      <c r="C175" s="15">
        <v>1.7776000000000001E-4</v>
      </c>
      <c r="F175" s="28">
        <v>1.5</v>
      </c>
      <c r="G175" s="29">
        <f t="shared" si="8"/>
        <v>56.5</v>
      </c>
      <c r="H175" s="29">
        <f t="shared" si="9"/>
        <v>51.5</v>
      </c>
      <c r="I175" s="38">
        <f t="shared" si="10"/>
        <v>5.0435000000000002E-3</v>
      </c>
      <c r="J175" s="38">
        <f t="shared" si="11"/>
        <v>2.081E-3</v>
      </c>
      <c r="K175" s="32">
        <f>K174+StepSize*L174</f>
        <v>946.78988558027606</v>
      </c>
      <c r="L175" s="33">
        <f>K175*Delta+I175*K175-J175*(DeathPayment-K175)</f>
        <v>-28.832124558119276</v>
      </c>
    </row>
    <row r="176" spans="1:12" x14ac:dyDescent="0.45">
      <c r="A176" s="11">
        <v>18.47</v>
      </c>
      <c r="B176" s="14">
        <v>5.9418000000000003E-4</v>
      </c>
      <c r="C176" s="15">
        <v>1.7782E-4</v>
      </c>
      <c r="F176" s="28">
        <v>1.51</v>
      </c>
      <c r="G176" s="29">
        <f t="shared" si="8"/>
        <v>56.51</v>
      </c>
      <c r="H176" s="29">
        <f t="shared" si="9"/>
        <v>51.51</v>
      </c>
      <c r="I176" s="38">
        <f t="shared" si="10"/>
        <v>5.0494299999999997E-3</v>
      </c>
      <c r="J176" s="38">
        <f t="shared" si="11"/>
        <v>2.0830200000000001E-3</v>
      </c>
      <c r="K176" s="32">
        <f>K175+StepSize*L175</f>
        <v>946.50156433469488</v>
      </c>
      <c r="L176" s="33">
        <f>K176*Delta+I176*K176-J176*(DeathPayment-K176)</f>
        <v>-28.948505598624863</v>
      </c>
    </row>
    <row r="177" spans="1:12" x14ac:dyDescent="0.45">
      <c r="A177" s="11">
        <v>18.48</v>
      </c>
      <c r="B177" s="14">
        <v>5.9411999999999996E-4</v>
      </c>
      <c r="C177" s="15">
        <v>1.7788E-4</v>
      </c>
      <c r="F177" s="28">
        <v>1.52</v>
      </c>
      <c r="G177" s="29">
        <f t="shared" si="8"/>
        <v>56.52</v>
      </c>
      <c r="H177" s="29">
        <f t="shared" si="9"/>
        <v>51.52</v>
      </c>
      <c r="I177" s="38">
        <f t="shared" si="10"/>
        <v>5.0553600000000001E-3</v>
      </c>
      <c r="J177" s="38">
        <f t="shared" si="11"/>
        <v>2.0850399999999998E-3</v>
      </c>
      <c r="K177" s="32">
        <f>K176+StepSize*L176</f>
        <v>946.21207927870864</v>
      </c>
      <c r="L177" s="33">
        <f>K177*Delta+I177*K177-J177*(DeathPayment-K177)</f>
        <v>-29.06498370104849</v>
      </c>
    </row>
    <row r="178" spans="1:12" x14ac:dyDescent="0.45">
      <c r="A178" s="11">
        <v>18.489999999999998</v>
      </c>
      <c r="B178" s="14">
        <v>5.9405999999999999E-4</v>
      </c>
      <c r="C178" s="15">
        <v>1.7793999999999999E-4</v>
      </c>
      <c r="F178" s="28">
        <v>1.53</v>
      </c>
      <c r="G178" s="29">
        <f t="shared" si="8"/>
        <v>56.53</v>
      </c>
      <c r="H178" s="29">
        <f t="shared" si="9"/>
        <v>51.53</v>
      </c>
      <c r="I178" s="38">
        <f t="shared" si="10"/>
        <v>5.0612900000000004E-3</v>
      </c>
      <c r="J178" s="38">
        <f t="shared" si="11"/>
        <v>2.08706E-3</v>
      </c>
      <c r="K178" s="32">
        <f>K177+StepSize*L177</f>
        <v>945.92142944169814</v>
      </c>
      <c r="L178" s="33">
        <f>K178*Delta+I178*K178-J178*(DeathPayment-K178)</f>
        <v>-29.18155897028123</v>
      </c>
    </row>
    <row r="179" spans="1:12" x14ac:dyDescent="0.45">
      <c r="A179" s="11">
        <v>18.5</v>
      </c>
      <c r="B179" s="14">
        <v>5.9400000000000002E-4</v>
      </c>
      <c r="C179" s="15">
        <v>1.7799999999999999E-4</v>
      </c>
      <c r="F179" s="28">
        <v>1.54</v>
      </c>
      <c r="G179" s="29">
        <f t="shared" si="8"/>
        <v>56.54</v>
      </c>
      <c r="H179" s="29">
        <f t="shared" si="9"/>
        <v>51.54</v>
      </c>
      <c r="I179" s="38">
        <f t="shared" si="10"/>
        <v>5.0672199999999999E-3</v>
      </c>
      <c r="J179" s="38">
        <f t="shared" si="11"/>
        <v>2.0890800000000001E-3</v>
      </c>
      <c r="K179" s="32">
        <f>K178+StepSize*L178</f>
        <v>945.62961385199537</v>
      </c>
      <c r="L179" s="33">
        <f>K179*Delta+I179*K179-J179*(DeathPayment-K179)</f>
        <v>-29.298231511328325</v>
      </c>
    </row>
    <row r="180" spans="1:12" x14ac:dyDescent="0.45">
      <c r="A180" s="11">
        <v>18.510000000000002</v>
      </c>
      <c r="B180" s="14">
        <v>5.9394000000000005E-4</v>
      </c>
      <c r="C180" s="15">
        <v>1.7806000000000001E-4</v>
      </c>
      <c r="F180" s="28">
        <v>1.55</v>
      </c>
      <c r="G180" s="29">
        <f t="shared" si="8"/>
        <v>56.55</v>
      </c>
      <c r="H180" s="29">
        <f t="shared" si="9"/>
        <v>51.55</v>
      </c>
      <c r="I180" s="38">
        <f t="shared" si="10"/>
        <v>5.0731500000000002E-3</v>
      </c>
      <c r="J180" s="38">
        <f t="shared" si="11"/>
        <v>2.0910999999999998E-3</v>
      </c>
      <c r="K180" s="32">
        <f>K179+StepSize*L179</f>
        <v>945.33663153688212</v>
      </c>
      <c r="L180" s="33">
        <f>K180*Delta+I180*K180-J180*(DeathPayment-K180)</f>
        <v>-29.415001429309356</v>
      </c>
    </row>
    <row r="181" spans="1:12" x14ac:dyDescent="0.45">
      <c r="A181" s="11">
        <v>18.52</v>
      </c>
      <c r="B181" s="14">
        <v>5.9387999999999997E-4</v>
      </c>
      <c r="C181" s="15">
        <v>1.7812000000000001E-4</v>
      </c>
      <c r="F181" s="28">
        <v>1.56</v>
      </c>
      <c r="G181" s="29">
        <f t="shared" si="8"/>
        <v>56.56</v>
      </c>
      <c r="H181" s="29">
        <f t="shared" si="9"/>
        <v>51.56</v>
      </c>
      <c r="I181" s="38">
        <f t="shared" si="10"/>
        <v>5.0790799999999997E-3</v>
      </c>
      <c r="J181" s="38">
        <f t="shared" si="11"/>
        <v>2.09312E-3</v>
      </c>
      <c r="K181" s="32">
        <f>K180+StepSize*L180</f>
        <v>945.04248152258901</v>
      </c>
      <c r="L181" s="33">
        <f>K181*Delta+I181*K181-J181*(DeathPayment-K181)</f>
        <v>-29.531868829458489</v>
      </c>
    </row>
    <row r="182" spans="1:12" x14ac:dyDescent="0.45">
      <c r="A182" s="11">
        <v>18.53</v>
      </c>
      <c r="B182" s="14">
        <v>5.9382E-4</v>
      </c>
      <c r="C182" s="15">
        <v>1.7818000000000001E-4</v>
      </c>
      <c r="F182" s="28">
        <v>1.57</v>
      </c>
      <c r="G182" s="29">
        <f t="shared" si="8"/>
        <v>56.57</v>
      </c>
      <c r="H182" s="29">
        <f t="shared" si="9"/>
        <v>51.57</v>
      </c>
      <c r="I182" s="38">
        <f t="shared" si="10"/>
        <v>5.0850100000000001E-3</v>
      </c>
      <c r="J182" s="38">
        <f t="shared" si="11"/>
        <v>2.0951400000000001E-3</v>
      </c>
      <c r="K182" s="32">
        <f>K181+StepSize*L181</f>
        <v>944.74716283429439</v>
      </c>
      <c r="L182" s="33">
        <f>K182*Delta+I182*K182-J182*(DeathPayment-K182)</f>
        <v>-29.648833817124441</v>
      </c>
    </row>
    <row r="183" spans="1:12" x14ac:dyDescent="0.45">
      <c r="A183" s="11">
        <v>18.54</v>
      </c>
      <c r="B183" s="14">
        <v>5.9376000000000003E-4</v>
      </c>
      <c r="C183" s="15">
        <v>1.7824E-4</v>
      </c>
      <c r="F183" s="28">
        <v>1.58</v>
      </c>
      <c r="G183" s="29">
        <f t="shared" si="8"/>
        <v>56.58</v>
      </c>
      <c r="H183" s="29">
        <f t="shared" si="9"/>
        <v>51.58</v>
      </c>
      <c r="I183" s="38">
        <f t="shared" si="10"/>
        <v>5.0909400000000004E-3</v>
      </c>
      <c r="J183" s="38">
        <f t="shared" si="11"/>
        <v>2.0971599999999998E-3</v>
      </c>
      <c r="K183" s="32">
        <f>K182+StepSize*L182</f>
        <v>944.45067449612316</v>
      </c>
      <c r="L183" s="33">
        <f>K183*Delta+I183*K183-J183*(DeathPayment-K183)</f>
        <v>-29.765896497770697</v>
      </c>
    </row>
    <row r="184" spans="1:12" x14ac:dyDescent="0.45">
      <c r="A184" s="11">
        <v>18.55</v>
      </c>
      <c r="B184" s="14">
        <v>5.9369999999999996E-4</v>
      </c>
      <c r="C184" s="15">
        <v>1.783E-4</v>
      </c>
      <c r="F184" s="28">
        <v>1.59</v>
      </c>
      <c r="G184" s="29">
        <f t="shared" si="8"/>
        <v>56.59</v>
      </c>
      <c r="H184" s="29">
        <f t="shared" si="9"/>
        <v>51.59</v>
      </c>
      <c r="I184" s="38">
        <f t="shared" si="10"/>
        <v>5.0968699999999999E-3</v>
      </c>
      <c r="J184" s="38">
        <f t="shared" si="11"/>
        <v>2.09918E-3</v>
      </c>
      <c r="K184" s="32">
        <f>K183+StepSize*L183</f>
        <v>944.15301553114546</v>
      </c>
      <c r="L184" s="33">
        <f>K184*Delta+I184*K184-J184*(DeathPayment-K184)</f>
        <v>-29.883056976975681</v>
      </c>
    </row>
    <row r="185" spans="1:12" x14ac:dyDescent="0.45">
      <c r="A185" s="11">
        <v>18.559999999999999</v>
      </c>
      <c r="B185" s="14">
        <v>5.9363999999999999E-4</v>
      </c>
      <c r="C185" s="15">
        <v>1.7835999999999999E-4</v>
      </c>
      <c r="F185" s="28">
        <v>1.6</v>
      </c>
      <c r="G185" s="29">
        <f t="shared" si="8"/>
        <v>56.6</v>
      </c>
      <c r="H185" s="29">
        <f t="shared" si="9"/>
        <v>51.6</v>
      </c>
      <c r="I185" s="38">
        <f t="shared" si="10"/>
        <v>5.1028000000000002E-3</v>
      </c>
      <c r="J185" s="38">
        <f t="shared" si="11"/>
        <v>2.1012000000000001E-3</v>
      </c>
      <c r="K185" s="32">
        <f>K184+StepSize*L184</f>
        <v>943.85418496137572</v>
      </c>
      <c r="L185" s="33">
        <f>K185*Delta+I185*K185-J185*(DeathPayment-K185)</f>
        <v>-30.000315360432793</v>
      </c>
    </row>
    <row r="186" spans="1:12" x14ac:dyDescent="0.45">
      <c r="A186" s="11">
        <v>18.57</v>
      </c>
      <c r="B186" s="14">
        <v>5.9358000000000002E-4</v>
      </c>
      <c r="C186" s="15">
        <v>1.7841999999999999E-4</v>
      </c>
      <c r="F186" s="28">
        <v>1.61</v>
      </c>
      <c r="G186" s="29">
        <f t="shared" si="8"/>
        <v>56.61</v>
      </c>
      <c r="H186" s="29">
        <f t="shared" si="9"/>
        <v>51.61</v>
      </c>
      <c r="I186" s="38">
        <f t="shared" si="10"/>
        <v>5.1087299999999997E-3</v>
      </c>
      <c r="J186" s="38">
        <f t="shared" si="11"/>
        <v>2.1032199999999998E-3</v>
      </c>
      <c r="K186" s="32">
        <f>K185+StepSize*L185</f>
        <v>943.55418180777144</v>
      </c>
      <c r="L186" s="33">
        <f>K186*Delta+I186*K186-J186*(DeathPayment-K186)</f>
        <v>-30.117671753950617</v>
      </c>
    </row>
    <row r="187" spans="1:12" x14ac:dyDescent="0.45">
      <c r="A187" s="11">
        <v>18.579999999999998</v>
      </c>
      <c r="B187" s="14">
        <v>5.9352000000000005E-4</v>
      </c>
      <c r="C187" s="15">
        <v>1.7848000000000001E-4</v>
      </c>
      <c r="F187" s="28">
        <v>1.62</v>
      </c>
      <c r="G187" s="29">
        <f t="shared" si="8"/>
        <v>56.62</v>
      </c>
      <c r="H187" s="29">
        <f t="shared" si="9"/>
        <v>51.62</v>
      </c>
      <c r="I187" s="38">
        <f t="shared" si="10"/>
        <v>5.11466E-3</v>
      </c>
      <c r="J187" s="38">
        <f t="shared" si="11"/>
        <v>2.10524E-3</v>
      </c>
      <c r="K187" s="32">
        <f>K186+StepSize*L186</f>
        <v>943.25300509023191</v>
      </c>
      <c r="L187" s="33">
        <f>K187*Delta+I187*K187-J187*(DeathPayment-K187)</f>
        <v>-30.235126263453054</v>
      </c>
    </row>
    <row r="188" spans="1:12" x14ac:dyDescent="0.45">
      <c r="A188" s="11">
        <v>18.59</v>
      </c>
      <c r="B188" s="14">
        <v>5.9345999999999997E-4</v>
      </c>
      <c r="C188" s="15">
        <v>1.7854000000000001E-4</v>
      </c>
      <c r="F188" s="28">
        <v>1.63</v>
      </c>
      <c r="G188" s="29">
        <f t="shared" si="8"/>
        <v>56.63</v>
      </c>
      <c r="H188" s="29">
        <f t="shared" si="9"/>
        <v>51.63</v>
      </c>
      <c r="I188" s="38">
        <f t="shared" si="10"/>
        <v>5.1205900000000004E-3</v>
      </c>
      <c r="J188" s="38">
        <f t="shared" si="11"/>
        <v>2.1072600000000001E-3</v>
      </c>
      <c r="K188" s="32">
        <f>K187+StepSize*L187</f>
        <v>942.95065382759742</v>
      </c>
      <c r="L188" s="33">
        <f>K188*Delta+I188*K188-J188*(DeathPayment-K188)</f>
        <v>-30.352678994979399</v>
      </c>
    </row>
    <row r="189" spans="1:12" x14ac:dyDescent="0.45">
      <c r="A189" s="11">
        <v>18.600000000000001</v>
      </c>
      <c r="B189" s="14">
        <v>5.934E-4</v>
      </c>
      <c r="C189" s="15">
        <v>1.786E-4</v>
      </c>
      <c r="F189" s="28">
        <v>1.64</v>
      </c>
      <c r="G189" s="29">
        <f t="shared" si="8"/>
        <v>56.64</v>
      </c>
      <c r="H189" s="29">
        <f t="shared" si="9"/>
        <v>51.64</v>
      </c>
      <c r="I189" s="38">
        <f t="shared" si="10"/>
        <v>5.1265199999999999E-3</v>
      </c>
      <c r="J189" s="38">
        <f t="shared" si="11"/>
        <v>2.1092799999999998E-3</v>
      </c>
      <c r="K189" s="32">
        <f>K188+StepSize*L188</f>
        <v>942.64712703764758</v>
      </c>
      <c r="L189" s="33">
        <f>K189*Delta+I189*K189-J189*(DeathPayment-K189)</f>
        <v>-30.470330054684482</v>
      </c>
    </row>
    <row r="190" spans="1:12" x14ac:dyDescent="0.45">
      <c r="A190" s="11">
        <v>18.61</v>
      </c>
      <c r="B190" s="14">
        <v>5.9334000000000003E-4</v>
      </c>
      <c r="C190" s="15">
        <v>1.7866E-4</v>
      </c>
      <c r="F190" s="28">
        <v>1.65</v>
      </c>
      <c r="G190" s="29">
        <f t="shared" si="8"/>
        <v>56.65</v>
      </c>
      <c r="H190" s="29">
        <f t="shared" si="9"/>
        <v>51.65</v>
      </c>
      <c r="I190" s="38">
        <f t="shared" si="10"/>
        <v>5.1324500000000002E-3</v>
      </c>
      <c r="J190" s="38">
        <f t="shared" si="11"/>
        <v>2.1113E-3</v>
      </c>
      <c r="K190" s="32">
        <f>K189+StepSize*L189</f>
        <v>942.34242373710072</v>
      </c>
      <c r="L190" s="33">
        <f>K190*Delta+I190*K190-J190*(DeathPayment-K190)</f>
        <v>-30.58807954883892</v>
      </c>
    </row>
    <row r="191" spans="1:12" x14ac:dyDescent="0.45">
      <c r="A191" s="11">
        <v>18.62</v>
      </c>
      <c r="B191" s="14">
        <v>5.9327999999999996E-4</v>
      </c>
      <c r="C191" s="15">
        <v>1.7872E-4</v>
      </c>
      <c r="F191" s="28">
        <v>1.66</v>
      </c>
      <c r="G191" s="29">
        <f t="shared" si="8"/>
        <v>56.66</v>
      </c>
      <c r="H191" s="29">
        <f t="shared" si="9"/>
        <v>51.66</v>
      </c>
      <c r="I191" s="38">
        <f t="shared" si="10"/>
        <v>5.1383799999999997E-3</v>
      </c>
      <c r="J191" s="38">
        <f t="shared" si="11"/>
        <v>2.1133200000000001E-3</v>
      </c>
      <c r="K191" s="32">
        <f>K190+StepSize*L190</f>
        <v>942.03654294161231</v>
      </c>
      <c r="L191" s="33">
        <f>K191*Delta+I191*K191-J191*(DeathPayment-K191)</f>
        <v>-30.705927583829094</v>
      </c>
    </row>
    <row r="192" spans="1:12" x14ac:dyDescent="0.45">
      <c r="A192" s="11">
        <v>18.63</v>
      </c>
      <c r="B192" s="14">
        <v>5.9321999999999999E-4</v>
      </c>
      <c r="C192" s="15">
        <v>1.7877999999999999E-4</v>
      </c>
      <c r="F192" s="28">
        <v>1.67</v>
      </c>
      <c r="G192" s="29">
        <f t="shared" si="8"/>
        <v>56.67</v>
      </c>
      <c r="H192" s="29">
        <f t="shared" si="9"/>
        <v>51.67</v>
      </c>
      <c r="I192" s="38">
        <f t="shared" si="10"/>
        <v>5.14431E-3</v>
      </c>
      <c r="J192" s="38">
        <f t="shared" si="11"/>
        <v>2.1153399999999998E-3</v>
      </c>
      <c r="K192" s="32">
        <f>K191+StepSize*L191</f>
        <v>941.72948366577407</v>
      </c>
      <c r="L192" s="33">
        <f>K192*Delta+I192*K192-J192*(DeathPayment-K192)</f>
        <v>-30.823874266157304</v>
      </c>
    </row>
    <row r="193" spans="1:12" x14ac:dyDescent="0.45">
      <c r="A193" s="11">
        <v>18.64</v>
      </c>
      <c r="B193" s="14">
        <v>5.9316000000000002E-4</v>
      </c>
      <c r="C193" s="15">
        <v>1.7883999999999999E-4</v>
      </c>
      <c r="F193" s="28">
        <v>1.68</v>
      </c>
      <c r="G193" s="29">
        <f t="shared" si="8"/>
        <v>56.68</v>
      </c>
      <c r="H193" s="29">
        <f t="shared" si="9"/>
        <v>51.68</v>
      </c>
      <c r="I193" s="38">
        <f t="shared" si="10"/>
        <v>5.1502400000000004E-3</v>
      </c>
      <c r="J193" s="38">
        <f t="shared" si="11"/>
        <v>2.11736E-3</v>
      </c>
      <c r="K193" s="32">
        <f>K192+StepSize*L192</f>
        <v>941.42124492311245</v>
      </c>
      <c r="L193" s="33">
        <f>K193*Delta+I193*K193-J193*(DeathPayment-K193)</f>
        <v>-30.941919702442092</v>
      </c>
    </row>
    <row r="194" spans="1:12" x14ac:dyDescent="0.45">
      <c r="A194" s="11">
        <v>18.649999999999999</v>
      </c>
      <c r="B194" s="14">
        <v>5.9310000000000005E-4</v>
      </c>
      <c r="C194" s="15">
        <v>1.7890000000000001E-4</v>
      </c>
      <c r="F194" s="28">
        <v>1.69</v>
      </c>
      <c r="G194" s="29">
        <f t="shared" si="8"/>
        <v>56.69</v>
      </c>
      <c r="H194" s="29">
        <f t="shared" si="9"/>
        <v>51.69</v>
      </c>
      <c r="I194" s="38">
        <f t="shared" si="10"/>
        <v>5.1561699999999999E-3</v>
      </c>
      <c r="J194" s="38">
        <f t="shared" si="11"/>
        <v>2.1193800000000001E-3</v>
      </c>
      <c r="K194" s="32">
        <f>K193+StepSize*L193</f>
        <v>941.111825726088</v>
      </c>
      <c r="L194" s="33">
        <f>K194*Delta+I194*K194-J194*(DeathPayment-K194)</f>
        <v>-31.060063999418119</v>
      </c>
    </row>
    <row r="195" spans="1:12" x14ac:dyDescent="0.45">
      <c r="A195" s="11">
        <v>18.66</v>
      </c>
      <c r="B195" s="14">
        <v>5.9303999999999997E-4</v>
      </c>
      <c r="C195" s="15">
        <v>1.7896000000000001E-4</v>
      </c>
      <c r="F195" s="28">
        <v>1.7</v>
      </c>
      <c r="G195" s="29">
        <f t="shared" si="8"/>
        <v>56.7</v>
      </c>
      <c r="H195" s="29">
        <f t="shared" si="9"/>
        <v>51.7</v>
      </c>
      <c r="I195" s="38">
        <f t="shared" si="10"/>
        <v>5.1621000000000002E-3</v>
      </c>
      <c r="J195" s="38">
        <f t="shared" si="11"/>
        <v>2.1213999999999998E-3</v>
      </c>
      <c r="K195" s="32">
        <f>K194+StepSize*L194</f>
        <v>940.80122508609384</v>
      </c>
      <c r="L195" s="33">
        <f>K195*Delta+I195*K195-J195*(DeathPayment-K195)</f>
        <v>-31.178307263936418</v>
      </c>
    </row>
    <row r="196" spans="1:12" x14ac:dyDescent="0.45">
      <c r="A196" s="11">
        <v>18.670000000000002</v>
      </c>
      <c r="B196" s="14">
        <v>5.9298E-4</v>
      </c>
      <c r="C196" s="15">
        <v>1.7902E-4</v>
      </c>
      <c r="F196" s="28">
        <v>1.71</v>
      </c>
      <c r="G196" s="29">
        <f t="shared" si="8"/>
        <v>56.71</v>
      </c>
      <c r="H196" s="29">
        <f t="shared" si="9"/>
        <v>51.71</v>
      </c>
      <c r="I196" s="38">
        <f t="shared" si="10"/>
        <v>5.1680299999999997E-3</v>
      </c>
      <c r="J196" s="38">
        <f t="shared" si="11"/>
        <v>2.12342E-3</v>
      </c>
      <c r="K196" s="32">
        <f>K195+StepSize*L195</f>
        <v>940.48944201345444</v>
      </c>
      <c r="L196" s="33">
        <f>K196*Delta+I196*K196-J196*(DeathPayment-K196)</f>
        <v>-31.296649602964607</v>
      </c>
    </row>
    <row r="197" spans="1:12" x14ac:dyDescent="0.45">
      <c r="A197" s="11">
        <v>18.68</v>
      </c>
      <c r="B197" s="14">
        <v>5.9292000000000004E-4</v>
      </c>
      <c r="C197" s="15">
        <v>1.7908E-4</v>
      </c>
      <c r="F197" s="28">
        <v>1.72</v>
      </c>
      <c r="G197" s="29">
        <f t="shared" si="8"/>
        <v>56.72</v>
      </c>
      <c r="H197" s="29">
        <f t="shared" si="9"/>
        <v>51.72</v>
      </c>
      <c r="I197" s="38">
        <f t="shared" si="10"/>
        <v>5.17396E-3</v>
      </c>
      <c r="J197" s="38">
        <f t="shared" si="11"/>
        <v>2.1254400000000001E-3</v>
      </c>
      <c r="K197" s="32">
        <f>K196+StepSize*L196</f>
        <v>940.17647551742482</v>
      </c>
      <c r="L197" s="33">
        <f>K197*Delta+I197*K197-J197*(DeathPayment-K197)</f>
        <v>-31.415091123586848</v>
      </c>
    </row>
    <row r="198" spans="1:12" x14ac:dyDescent="0.45">
      <c r="A198" s="11">
        <v>18.690000000000001</v>
      </c>
      <c r="B198" s="14">
        <v>5.9285999999999996E-4</v>
      </c>
      <c r="C198" s="15">
        <v>1.7914E-4</v>
      </c>
      <c r="F198" s="28">
        <v>1.73</v>
      </c>
      <c r="G198" s="29">
        <f t="shared" si="8"/>
        <v>56.73</v>
      </c>
      <c r="H198" s="29">
        <f t="shared" si="9"/>
        <v>51.73</v>
      </c>
      <c r="I198" s="38">
        <f t="shared" si="10"/>
        <v>5.1798900000000004E-3</v>
      </c>
      <c r="J198" s="38">
        <f t="shared" si="11"/>
        <v>2.1274599999999999E-3</v>
      </c>
      <c r="K198" s="32">
        <f>K197+StepSize*L197</f>
        <v>939.86232460618896</v>
      </c>
      <c r="L198" s="33">
        <f>K198*Delta+I198*K198-J198*(DeathPayment-K198)</f>
        <v>-31.533631933004088</v>
      </c>
    </row>
    <row r="199" spans="1:12" x14ac:dyDescent="0.45">
      <c r="A199" s="11">
        <v>18.7</v>
      </c>
      <c r="B199" s="14">
        <v>5.9279999999999999E-4</v>
      </c>
      <c r="C199" s="15">
        <v>1.7919999999999999E-4</v>
      </c>
      <c r="F199" s="28">
        <v>1.74</v>
      </c>
      <c r="G199" s="29">
        <f t="shared" si="8"/>
        <v>56.74</v>
      </c>
      <c r="H199" s="29">
        <f t="shared" si="9"/>
        <v>51.74</v>
      </c>
      <c r="I199" s="38">
        <f t="shared" si="10"/>
        <v>5.1858199999999998E-3</v>
      </c>
      <c r="J199" s="38">
        <f t="shared" si="11"/>
        <v>2.12948E-3</v>
      </c>
      <c r="K199" s="32">
        <f>K198+StepSize*L198</f>
        <v>939.54698828685889</v>
      </c>
      <c r="L199" s="33">
        <f>K199*Delta+I199*K199-J199*(DeathPayment-K199)</f>
        <v>-31.652272138534315</v>
      </c>
    </row>
    <row r="200" spans="1:12" x14ac:dyDescent="0.45">
      <c r="A200" s="11">
        <v>18.71</v>
      </c>
      <c r="B200" s="14">
        <v>5.9274000000000002E-4</v>
      </c>
      <c r="C200" s="15">
        <v>1.7925999999999999E-4</v>
      </c>
      <c r="F200" s="28">
        <v>1.75</v>
      </c>
      <c r="G200" s="29">
        <f t="shared" si="8"/>
        <v>56.75</v>
      </c>
      <c r="H200" s="29">
        <f t="shared" si="9"/>
        <v>51.75</v>
      </c>
      <c r="I200" s="38">
        <f t="shared" si="10"/>
        <v>5.1917500000000002E-3</v>
      </c>
      <c r="J200" s="38">
        <f t="shared" si="11"/>
        <v>2.1315000000000001E-3</v>
      </c>
      <c r="K200" s="32">
        <f>K199+StepSize*L199</f>
        <v>939.23046556547354</v>
      </c>
      <c r="L200" s="33">
        <f>K200*Delta+I200*K200-J200*(DeathPayment-K200)</f>
        <v>-31.771011847612385</v>
      </c>
    </row>
    <row r="201" spans="1:12" x14ac:dyDescent="0.45">
      <c r="A201" s="11">
        <v>18.72</v>
      </c>
      <c r="B201" s="14">
        <v>5.9268000000000005E-4</v>
      </c>
      <c r="C201" s="15">
        <v>1.7932000000000001E-4</v>
      </c>
      <c r="F201" s="28">
        <v>1.76</v>
      </c>
      <c r="G201" s="29">
        <f t="shared" si="8"/>
        <v>56.76</v>
      </c>
      <c r="H201" s="29">
        <f t="shared" si="9"/>
        <v>51.76</v>
      </c>
      <c r="I201" s="38">
        <f t="shared" si="10"/>
        <v>5.1976799999999997E-3</v>
      </c>
      <c r="J201" s="38">
        <f t="shared" si="11"/>
        <v>2.1335199999999999E-3</v>
      </c>
      <c r="K201" s="32">
        <f>K200+StepSize*L200</f>
        <v>938.91275544699738</v>
      </c>
      <c r="L201" s="33">
        <f>K201*Delta+I201*K201-J201*(DeathPayment-K201)</f>
        <v>-31.889851167790439</v>
      </c>
    </row>
    <row r="202" spans="1:12" x14ac:dyDescent="0.45">
      <c r="A202" s="11">
        <v>18.73</v>
      </c>
      <c r="B202" s="14">
        <v>5.9261999999999997E-4</v>
      </c>
      <c r="C202" s="15">
        <v>1.7938000000000001E-4</v>
      </c>
      <c r="F202" s="28">
        <v>1.77</v>
      </c>
      <c r="G202" s="29">
        <f t="shared" si="8"/>
        <v>56.77</v>
      </c>
      <c r="H202" s="29">
        <f t="shared" si="9"/>
        <v>51.77</v>
      </c>
      <c r="I202" s="38">
        <f t="shared" si="10"/>
        <v>5.20361E-3</v>
      </c>
      <c r="J202" s="38">
        <f t="shared" si="11"/>
        <v>2.13554E-3</v>
      </c>
      <c r="K202" s="32">
        <f>K201+StepSize*L201</f>
        <v>938.59385693531942</v>
      </c>
      <c r="L202" s="33">
        <f>K202*Delta+I202*K202-J202*(DeathPayment-K202)</f>
        <v>-32.008790206737942</v>
      </c>
    </row>
    <row r="203" spans="1:12" x14ac:dyDescent="0.45">
      <c r="A203" s="11">
        <v>18.739999999999998</v>
      </c>
      <c r="B203" s="14">
        <v>5.9256000000000001E-4</v>
      </c>
      <c r="C203" s="15">
        <v>1.7944E-4</v>
      </c>
      <c r="F203" s="28">
        <v>1.78</v>
      </c>
      <c r="G203" s="29">
        <f t="shared" si="8"/>
        <v>56.78</v>
      </c>
      <c r="H203" s="29">
        <f t="shared" si="9"/>
        <v>51.78</v>
      </c>
      <c r="I203" s="38">
        <f t="shared" si="10"/>
        <v>5.2095400000000004E-3</v>
      </c>
      <c r="J203" s="38">
        <f t="shared" si="11"/>
        <v>2.1375600000000002E-3</v>
      </c>
      <c r="K203" s="32">
        <f>K202+StepSize*L202</f>
        <v>938.27376903325205</v>
      </c>
      <c r="L203" s="33">
        <f>K203*Delta+I203*K203-J203*(DeathPayment-K203)</f>
        <v>-32.127829072241752</v>
      </c>
    </row>
    <row r="204" spans="1:12" x14ac:dyDescent="0.45">
      <c r="A204" s="11">
        <v>18.75</v>
      </c>
      <c r="B204" s="14">
        <v>5.9250000000000004E-4</v>
      </c>
      <c r="C204" s="15">
        <v>1.795E-4</v>
      </c>
      <c r="F204" s="28">
        <v>1.79</v>
      </c>
      <c r="G204" s="29">
        <f t="shared" si="8"/>
        <v>56.79</v>
      </c>
      <c r="H204" s="29">
        <f t="shared" si="9"/>
        <v>51.79</v>
      </c>
      <c r="I204" s="38">
        <f t="shared" si="10"/>
        <v>5.2154699999999998E-3</v>
      </c>
      <c r="J204" s="38">
        <f t="shared" si="11"/>
        <v>2.1395799999999999E-3</v>
      </c>
      <c r="K204" s="32">
        <f>K203+StepSize*L203</f>
        <v>937.95249074252968</v>
      </c>
      <c r="L204" s="33">
        <f>K204*Delta+I204*K204-J204*(DeathPayment-K204)</f>
        <v>-32.246967872206298</v>
      </c>
    </row>
    <row r="205" spans="1:12" x14ac:dyDescent="0.45">
      <c r="A205" s="11">
        <v>18.760000000000002</v>
      </c>
      <c r="B205" s="14">
        <v>5.9243999999999996E-4</v>
      </c>
      <c r="C205" s="15">
        <v>1.7956E-4</v>
      </c>
      <c r="F205" s="28">
        <v>1.8</v>
      </c>
      <c r="G205" s="29">
        <f t="shared" si="8"/>
        <v>56.8</v>
      </c>
      <c r="H205" s="29">
        <f t="shared" si="9"/>
        <v>51.8</v>
      </c>
      <c r="I205" s="38">
        <f t="shared" si="10"/>
        <v>5.2214000000000002E-3</v>
      </c>
      <c r="J205" s="38">
        <f t="shared" si="11"/>
        <v>2.1416E-3</v>
      </c>
      <c r="K205" s="32">
        <f>K204+StepSize*L204</f>
        <v>937.63002106380759</v>
      </c>
      <c r="L205" s="33">
        <f>K205*Delta+I205*K205-J205*(DeathPayment-K205)</f>
        <v>-32.366206714653885</v>
      </c>
    </row>
    <row r="206" spans="1:12" x14ac:dyDescent="0.45">
      <c r="A206" s="11">
        <v>18.77</v>
      </c>
      <c r="B206" s="14">
        <v>5.9237999999999999E-4</v>
      </c>
      <c r="C206" s="15">
        <v>1.7961999999999999E-4</v>
      </c>
      <c r="F206" s="28">
        <v>1.81</v>
      </c>
      <c r="G206" s="29">
        <f t="shared" si="8"/>
        <v>56.81</v>
      </c>
      <c r="H206" s="29">
        <f t="shared" si="9"/>
        <v>51.81</v>
      </c>
      <c r="I206" s="38">
        <f t="shared" si="10"/>
        <v>5.2273299999999997E-3</v>
      </c>
      <c r="J206" s="38">
        <f t="shared" si="11"/>
        <v>2.1436200000000002E-3</v>
      </c>
      <c r="K206" s="32">
        <f>K205+StepSize*L205</f>
        <v>937.30635899666106</v>
      </c>
      <c r="L206" s="33">
        <f>K206*Delta+I206*K206-J206*(DeathPayment-K206)</f>
        <v>-32.485545707724526</v>
      </c>
    </row>
    <row r="207" spans="1:12" x14ac:dyDescent="0.45">
      <c r="A207" s="11">
        <v>18.78</v>
      </c>
      <c r="B207" s="14">
        <v>5.9232000000000002E-4</v>
      </c>
      <c r="C207" s="15">
        <v>1.7967999999999999E-4</v>
      </c>
      <c r="F207" s="28">
        <v>1.82</v>
      </c>
      <c r="G207" s="29">
        <f t="shared" si="8"/>
        <v>56.82</v>
      </c>
      <c r="H207" s="29">
        <f t="shared" si="9"/>
        <v>51.82</v>
      </c>
      <c r="I207" s="38">
        <f t="shared" si="10"/>
        <v>5.23326E-3</v>
      </c>
      <c r="J207" s="38">
        <f t="shared" si="11"/>
        <v>2.1456399999999999E-3</v>
      </c>
      <c r="K207" s="32">
        <f>K206+StepSize*L206</f>
        <v>936.98150353958385</v>
      </c>
      <c r="L207" s="33">
        <f>K207*Delta+I207*K207-J207*(DeathPayment-K207)</f>
        <v>-32.604984959676301</v>
      </c>
    </row>
    <row r="208" spans="1:12" x14ac:dyDescent="0.45">
      <c r="A208" s="11">
        <v>18.79</v>
      </c>
      <c r="B208" s="14">
        <v>5.9226000000000005E-4</v>
      </c>
      <c r="C208" s="15">
        <v>1.7974000000000001E-4</v>
      </c>
      <c r="F208" s="28">
        <v>1.83</v>
      </c>
      <c r="G208" s="29">
        <f t="shared" si="8"/>
        <v>56.83</v>
      </c>
      <c r="H208" s="29">
        <f t="shared" si="9"/>
        <v>51.83</v>
      </c>
      <c r="I208" s="38">
        <f t="shared" si="10"/>
        <v>5.2391900000000003E-3</v>
      </c>
      <c r="J208" s="38">
        <f t="shared" si="11"/>
        <v>2.14766E-3</v>
      </c>
      <c r="K208" s="32">
        <f>K207+StepSize*L207</f>
        <v>936.6554536899871</v>
      </c>
      <c r="L208" s="33">
        <f>K208*Delta+I208*K208-J208*(DeathPayment-K208)</f>
        <v>-32.724524578885436</v>
      </c>
    </row>
    <row r="209" spans="1:12" x14ac:dyDescent="0.45">
      <c r="A209" s="11">
        <v>18.8</v>
      </c>
      <c r="B209" s="14">
        <v>5.9219999999999997E-4</v>
      </c>
      <c r="C209" s="15">
        <v>1.7980000000000001E-4</v>
      </c>
      <c r="F209" s="28">
        <v>1.84</v>
      </c>
      <c r="G209" s="29">
        <f t="shared" si="8"/>
        <v>56.84</v>
      </c>
      <c r="H209" s="29">
        <f t="shared" si="9"/>
        <v>51.84</v>
      </c>
      <c r="I209" s="38">
        <f t="shared" si="10"/>
        <v>5.2451199999999998E-3</v>
      </c>
      <c r="J209" s="38">
        <f t="shared" si="11"/>
        <v>2.1496800000000002E-3</v>
      </c>
      <c r="K209" s="32">
        <f>K208+StepSize*L208</f>
        <v>936.32820844419825</v>
      </c>
      <c r="L209" s="33">
        <f>K209*Delta+I209*K209-J209*(DeathPayment-K209)</f>
        <v>-32.844164673846421</v>
      </c>
    </row>
    <row r="210" spans="1:12" x14ac:dyDescent="0.45">
      <c r="A210" s="11">
        <v>18.809999999999999</v>
      </c>
      <c r="B210" s="14">
        <v>5.9214000000000001E-4</v>
      </c>
      <c r="C210" s="15">
        <v>1.7986E-4</v>
      </c>
      <c r="F210" s="28">
        <v>1.85</v>
      </c>
      <c r="G210" s="29">
        <f t="shared" si="8"/>
        <v>56.85</v>
      </c>
      <c r="H210" s="29">
        <f t="shared" si="9"/>
        <v>51.85</v>
      </c>
      <c r="I210" s="38">
        <f t="shared" si="10"/>
        <v>5.2510500000000002E-3</v>
      </c>
      <c r="J210" s="38">
        <f t="shared" si="11"/>
        <v>2.1516999999999999E-3</v>
      </c>
      <c r="K210" s="32">
        <f>K209+StepSize*L209</f>
        <v>935.99976679745976</v>
      </c>
      <c r="L210" s="33">
        <f>K210*Delta+I210*K210-J210*(DeathPayment-K210)</f>
        <v>-32.96390535317208</v>
      </c>
    </row>
    <row r="211" spans="1:12" x14ac:dyDescent="0.45">
      <c r="A211" s="11">
        <v>18.82</v>
      </c>
      <c r="B211" s="14">
        <v>5.9208000000000004E-4</v>
      </c>
      <c r="C211" s="15">
        <v>1.7992E-4</v>
      </c>
      <c r="F211" s="28">
        <v>1.86</v>
      </c>
      <c r="G211" s="29">
        <f t="shared" si="8"/>
        <v>56.86</v>
      </c>
      <c r="H211" s="29">
        <f t="shared" si="9"/>
        <v>51.86</v>
      </c>
      <c r="I211" s="38">
        <f t="shared" si="10"/>
        <v>5.2569799999999996E-3</v>
      </c>
      <c r="J211" s="38">
        <f t="shared" si="11"/>
        <v>2.15372E-3</v>
      </c>
      <c r="K211" s="32">
        <f>K210+StepSize*L210</f>
        <v>935.67012774392799</v>
      </c>
      <c r="L211" s="33">
        <f>K211*Delta+I211*K211-J211*(DeathPayment-K211)</f>
        <v>-33.083746725593969</v>
      </c>
    </row>
    <row r="212" spans="1:12" x14ac:dyDescent="0.45">
      <c r="A212" s="11">
        <v>18.829999999999998</v>
      </c>
      <c r="B212" s="14">
        <v>5.9201999999999996E-4</v>
      </c>
      <c r="C212" s="15">
        <v>1.7997999999999999E-4</v>
      </c>
      <c r="F212" s="28">
        <v>1.87</v>
      </c>
      <c r="G212" s="29">
        <f t="shared" si="8"/>
        <v>56.87</v>
      </c>
      <c r="H212" s="29">
        <f t="shared" si="9"/>
        <v>51.87</v>
      </c>
      <c r="I212" s="38">
        <f t="shared" si="10"/>
        <v>5.26291E-3</v>
      </c>
      <c r="J212" s="38">
        <f t="shared" si="11"/>
        <v>2.1557400000000002E-3</v>
      </c>
      <c r="K212" s="32">
        <f>K211+StepSize*L211</f>
        <v>935.33929027667205</v>
      </c>
      <c r="L212" s="33">
        <f>K212*Delta+I212*K212-J212*(DeathPayment-K212)</f>
        <v>-33.203688899962145</v>
      </c>
    </row>
    <row r="213" spans="1:12" x14ac:dyDescent="0.45">
      <c r="A213" s="11">
        <v>18.84</v>
      </c>
      <c r="B213" s="14">
        <v>5.9195999999999999E-4</v>
      </c>
      <c r="C213" s="15">
        <v>1.8003999999999999E-4</v>
      </c>
      <c r="F213" s="28">
        <v>1.88</v>
      </c>
      <c r="G213" s="29">
        <f t="shared" si="8"/>
        <v>56.88</v>
      </c>
      <c r="H213" s="29">
        <f t="shared" si="9"/>
        <v>51.88</v>
      </c>
      <c r="I213" s="38">
        <f t="shared" si="10"/>
        <v>5.2688400000000003E-3</v>
      </c>
      <c r="J213" s="38">
        <f t="shared" si="11"/>
        <v>2.1577599999999999E-3</v>
      </c>
      <c r="K213" s="32">
        <f>K212+StepSize*L212</f>
        <v>935.00725338767245</v>
      </c>
      <c r="L213" s="33">
        <f>K213*Delta+I213*K213-J213*(DeathPayment-K213)</f>
        <v>-33.323731985245544</v>
      </c>
    </row>
    <row r="214" spans="1:12" x14ac:dyDescent="0.45">
      <c r="A214" s="11">
        <v>18.850000000000001</v>
      </c>
      <c r="B214" s="14">
        <v>5.9190000000000002E-4</v>
      </c>
      <c r="C214" s="15">
        <v>1.8009999999999999E-4</v>
      </c>
      <c r="F214" s="28">
        <v>1.89</v>
      </c>
      <c r="G214" s="29">
        <f t="shared" si="8"/>
        <v>56.89</v>
      </c>
      <c r="H214" s="29">
        <f t="shared" si="9"/>
        <v>51.89</v>
      </c>
      <c r="I214" s="38">
        <f t="shared" si="10"/>
        <v>5.2747699999999998E-3</v>
      </c>
      <c r="J214" s="38">
        <f t="shared" si="11"/>
        <v>2.15978E-3</v>
      </c>
      <c r="K214" s="32">
        <f>K213+StepSize*L213</f>
        <v>934.67401606782005</v>
      </c>
      <c r="L214" s="33">
        <f>K214*Delta+I214*K214-J214*(DeathPayment-K214)</f>
        <v>-33.4438760905322</v>
      </c>
    </row>
    <row r="215" spans="1:12" x14ac:dyDescent="0.45">
      <c r="A215" s="11">
        <v>18.86</v>
      </c>
      <c r="B215" s="14">
        <v>5.9184000000000005E-4</v>
      </c>
      <c r="C215" s="15">
        <v>1.8016000000000001E-4</v>
      </c>
      <c r="F215" s="28">
        <v>1.9</v>
      </c>
      <c r="G215" s="29">
        <f t="shared" si="8"/>
        <v>56.9</v>
      </c>
      <c r="H215" s="29">
        <f t="shared" si="9"/>
        <v>51.9</v>
      </c>
      <c r="I215" s="38">
        <f t="shared" si="10"/>
        <v>5.2807000000000002E-3</v>
      </c>
      <c r="J215" s="38">
        <f t="shared" si="11"/>
        <v>2.1618000000000002E-3</v>
      </c>
      <c r="K215" s="32">
        <f>K214+StepSize*L214</f>
        <v>934.33957730691475</v>
      </c>
      <c r="L215" s="33">
        <f>K215*Delta+I215*K215-J215*(DeathPayment-K215)</f>
        <v>-33.564121325029035</v>
      </c>
    </row>
    <row r="216" spans="1:12" x14ac:dyDescent="0.45">
      <c r="A216" s="11">
        <v>18.87</v>
      </c>
      <c r="B216" s="14">
        <v>5.9177999999999998E-4</v>
      </c>
      <c r="C216" s="15">
        <v>1.8022000000000001E-4</v>
      </c>
      <c r="F216" s="28">
        <v>1.91</v>
      </c>
      <c r="G216" s="29">
        <f t="shared" si="8"/>
        <v>56.91</v>
      </c>
      <c r="H216" s="29">
        <f t="shared" si="9"/>
        <v>51.91</v>
      </c>
      <c r="I216" s="38">
        <f t="shared" si="10"/>
        <v>5.2866299999999996E-3</v>
      </c>
      <c r="J216" s="38">
        <f t="shared" si="11"/>
        <v>2.1638199999999999E-3</v>
      </c>
      <c r="K216" s="32">
        <f>K215+StepSize*L215</f>
        <v>934.00393609366449</v>
      </c>
      <c r="L216" s="33">
        <f>K216*Delta+I216*K216-J216*(DeathPayment-K216)</f>
        <v>-33.684467798062329</v>
      </c>
    </row>
    <row r="217" spans="1:12" x14ac:dyDescent="0.45">
      <c r="A217" s="11">
        <v>18.88</v>
      </c>
      <c r="B217" s="14">
        <v>5.9172000000000001E-4</v>
      </c>
      <c r="C217" s="15">
        <v>1.8028E-4</v>
      </c>
      <c r="F217" s="28">
        <v>1.92</v>
      </c>
      <c r="G217" s="29">
        <f t="shared" ref="G217:G280" si="12">ROUND(MaleAgeStart+F217,2)</f>
        <v>56.92</v>
      </c>
      <c r="H217" s="29">
        <f t="shared" ref="H217:H280" si="13">ROUND(FemaleAgeStart+F217,2)</f>
        <v>51.92</v>
      </c>
      <c r="I217" s="38">
        <f t="shared" ref="I217:I280" si="14">VLOOKUP(G217,muValues,2,FALSE)</f>
        <v>5.29256E-3</v>
      </c>
      <c r="J217" s="38">
        <f t="shared" ref="J217:J280" si="15">VLOOKUP(H217,muValues,3,FALSE)</f>
        <v>2.16584E-3</v>
      </c>
      <c r="K217" s="32">
        <f>K216+StepSize*L216</f>
        <v>933.6670914156839</v>
      </c>
      <c r="L217" s="33">
        <f>K217*Delta+I217*K217-J217*(DeathPayment-K217)</f>
        <v>-33.804915619077775</v>
      </c>
    </row>
    <row r="218" spans="1:12" x14ac:dyDescent="0.45">
      <c r="A218" s="11">
        <v>18.89</v>
      </c>
      <c r="B218" s="14">
        <v>5.9166000000000004E-4</v>
      </c>
      <c r="C218" s="15">
        <v>1.8034E-4</v>
      </c>
      <c r="F218" s="28">
        <v>1.93</v>
      </c>
      <c r="G218" s="29">
        <f t="shared" si="12"/>
        <v>56.93</v>
      </c>
      <c r="H218" s="29">
        <f t="shared" si="13"/>
        <v>51.93</v>
      </c>
      <c r="I218" s="38">
        <f t="shared" si="14"/>
        <v>5.2984900000000003E-3</v>
      </c>
      <c r="J218" s="38">
        <f t="shared" si="15"/>
        <v>2.1678600000000002E-3</v>
      </c>
      <c r="K218" s="32">
        <f>K217+StepSize*L217</f>
        <v>933.32904225949312</v>
      </c>
      <c r="L218" s="33">
        <f>K218*Delta+I218*K218-J218*(DeathPayment-K218)</f>
        <v>-33.925464897640509</v>
      </c>
    </row>
    <row r="219" spans="1:12" x14ac:dyDescent="0.45">
      <c r="A219" s="11">
        <v>18.899999999999999</v>
      </c>
      <c r="B219" s="14">
        <v>5.9159999999999996E-4</v>
      </c>
      <c r="C219" s="15">
        <v>1.8039999999999999E-4</v>
      </c>
      <c r="F219" s="28">
        <v>1.94</v>
      </c>
      <c r="G219" s="29">
        <f t="shared" si="12"/>
        <v>56.94</v>
      </c>
      <c r="H219" s="29">
        <f t="shared" si="13"/>
        <v>51.94</v>
      </c>
      <c r="I219" s="38">
        <f t="shared" si="14"/>
        <v>5.3044199999999998E-3</v>
      </c>
      <c r="J219" s="38">
        <f t="shared" si="15"/>
        <v>2.1698799999999999E-3</v>
      </c>
      <c r="K219" s="32">
        <f>K218+StepSize*L218</f>
        <v>932.98978761051671</v>
      </c>
      <c r="L219" s="33">
        <f>K219*Delta+I219*K219-J219*(DeathPayment-K219)</f>
        <v>-34.046115743435323</v>
      </c>
    </row>
    <row r="220" spans="1:12" x14ac:dyDescent="0.45">
      <c r="A220" s="11">
        <v>18.91</v>
      </c>
      <c r="B220" s="14">
        <v>5.9153999999999999E-4</v>
      </c>
      <c r="C220" s="15">
        <v>1.8045999999999999E-4</v>
      </c>
      <c r="F220" s="28">
        <v>1.95</v>
      </c>
      <c r="G220" s="29">
        <f t="shared" si="12"/>
        <v>56.95</v>
      </c>
      <c r="H220" s="29">
        <f t="shared" si="13"/>
        <v>51.95</v>
      </c>
      <c r="I220" s="38">
        <f t="shared" si="14"/>
        <v>5.3103500000000001E-3</v>
      </c>
      <c r="J220" s="38">
        <f t="shared" si="15"/>
        <v>2.1719E-3</v>
      </c>
      <c r="K220" s="32">
        <f>K219+StepSize*L219</f>
        <v>932.64932645308238</v>
      </c>
      <c r="L220" s="33">
        <f>K220*Delta+I220*K220-J220*(DeathPayment-K220)</f>
        <v>-34.16686826626686</v>
      </c>
    </row>
    <row r="221" spans="1:12" x14ac:dyDescent="0.45">
      <c r="A221" s="11">
        <v>18.920000000000002</v>
      </c>
      <c r="B221" s="14">
        <v>5.9148000000000002E-4</v>
      </c>
      <c r="C221" s="15">
        <v>1.8052000000000001E-4</v>
      </c>
      <c r="F221" s="28">
        <v>1.96</v>
      </c>
      <c r="G221" s="29">
        <f t="shared" si="12"/>
        <v>56.96</v>
      </c>
      <c r="H221" s="29">
        <f t="shared" si="13"/>
        <v>51.96</v>
      </c>
      <c r="I221" s="38">
        <f t="shared" si="14"/>
        <v>5.3162799999999996E-3</v>
      </c>
      <c r="J221" s="38">
        <f t="shared" si="15"/>
        <v>2.1739200000000002E-3</v>
      </c>
      <c r="K221" s="32">
        <f>K220+StepSize*L220</f>
        <v>932.30765777041972</v>
      </c>
      <c r="L221" s="33">
        <f>K221*Delta+I221*K221-J221*(DeathPayment-K221)</f>
        <v>-34.287722576059636</v>
      </c>
    </row>
    <row r="222" spans="1:12" x14ac:dyDescent="0.45">
      <c r="A222" s="11">
        <v>18.93</v>
      </c>
      <c r="B222" s="14">
        <v>5.9142000000000005E-4</v>
      </c>
      <c r="C222" s="15">
        <v>1.8058000000000001E-4</v>
      </c>
      <c r="F222" s="28">
        <v>1.97</v>
      </c>
      <c r="G222" s="29">
        <f t="shared" si="12"/>
        <v>56.97</v>
      </c>
      <c r="H222" s="29">
        <f t="shared" si="13"/>
        <v>51.97</v>
      </c>
      <c r="I222" s="38">
        <f t="shared" si="14"/>
        <v>5.32221E-3</v>
      </c>
      <c r="J222" s="38">
        <f t="shared" si="15"/>
        <v>2.1759399999999999E-3</v>
      </c>
      <c r="K222" s="32">
        <f>K221+StepSize*L221</f>
        <v>931.96478054465911</v>
      </c>
      <c r="L222" s="33">
        <f>K222*Delta+I222*K222-J222*(DeathPayment-K222)</f>
        <v>-34.408678782858274</v>
      </c>
    </row>
    <row r="223" spans="1:12" x14ac:dyDescent="0.45">
      <c r="A223" s="11">
        <v>18.940000000000001</v>
      </c>
      <c r="B223" s="14">
        <v>5.9135999999999998E-4</v>
      </c>
      <c r="C223" s="15">
        <v>1.8064000000000001E-4</v>
      </c>
      <c r="F223" s="28">
        <v>1.98</v>
      </c>
      <c r="G223" s="29">
        <f t="shared" si="12"/>
        <v>56.98</v>
      </c>
      <c r="H223" s="29">
        <f t="shared" si="13"/>
        <v>51.98</v>
      </c>
      <c r="I223" s="38">
        <f t="shared" si="14"/>
        <v>5.3281400000000003E-3</v>
      </c>
      <c r="J223" s="38">
        <f t="shared" si="15"/>
        <v>2.1779600000000001E-3</v>
      </c>
      <c r="K223" s="32">
        <f>K222+StepSize*L222</f>
        <v>931.62069375683052</v>
      </c>
      <c r="L223" s="33">
        <f>K223*Delta+I223*K223-J223*(DeathPayment-K223)</f>
        <v>-34.529736996827666</v>
      </c>
    </row>
    <row r="224" spans="1:12" x14ac:dyDescent="0.45">
      <c r="A224" s="11">
        <v>18.95</v>
      </c>
      <c r="B224" s="14">
        <v>5.9130000000000001E-4</v>
      </c>
      <c r="C224" s="15">
        <v>1.807E-4</v>
      </c>
      <c r="F224" s="28">
        <v>1.99</v>
      </c>
      <c r="G224" s="29">
        <f t="shared" si="12"/>
        <v>56.99</v>
      </c>
      <c r="H224" s="29">
        <f t="shared" si="13"/>
        <v>51.99</v>
      </c>
      <c r="I224" s="38">
        <f t="shared" si="14"/>
        <v>5.3340699999999998E-3</v>
      </c>
      <c r="J224" s="38">
        <f t="shared" si="15"/>
        <v>2.1799800000000002E-3</v>
      </c>
      <c r="K224" s="32">
        <f>K223+StepSize*L223</f>
        <v>931.27539638686221</v>
      </c>
      <c r="L224" s="33">
        <f>K224*Delta+I224*K224-J224*(DeathPayment-K224)</f>
        <v>-34.65089732825291</v>
      </c>
    </row>
    <row r="225" spans="1:12" x14ac:dyDescent="0.45">
      <c r="A225" s="11">
        <v>18.96</v>
      </c>
      <c r="B225" s="14">
        <v>5.9124000000000004E-4</v>
      </c>
      <c r="C225" s="15">
        <v>1.8076E-4</v>
      </c>
      <c r="F225" s="28">
        <v>2</v>
      </c>
      <c r="G225" s="29">
        <f t="shared" si="12"/>
        <v>57</v>
      </c>
      <c r="H225" s="29">
        <f t="shared" si="13"/>
        <v>52</v>
      </c>
      <c r="I225" s="38">
        <f t="shared" si="14"/>
        <v>5.3400000000000001E-3</v>
      </c>
      <c r="J225" s="38">
        <f t="shared" si="15"/>
        <v>2.1819999999999999E-3</v>
      </c>
      <c r="K225" s="32">
        <f>K224+StepSize*L224</f>
        <v>930.92888741357967</v>
      </c>
      <c r="L225" s="33">
        <f>K225*Delta+I225*K225-J225*(DeathPayment-K225)</f>
        <v>-34.772159887539729</v>
      </c>
    </row>
    <row r="226" spans="1:12" x14ac:dyDescent="0.45">
      <c r="A226" s="11">
        <v>18.97</v>
      </c>
      <c r="B226" s="14">
        <v>5.9117999999999996E-4</v>
      </c>
      <c r="C226" s="15">
        <v>1.8081999999999999E-4</v>
      </c>
      <c r="F226" s="28">
        <v>2.0099999999999998</v>
      </c>
      <c r="G226" s="29">
        <f t="shared" si="12"/>
        <v>57.01</v>
      </c>
      <c r="H226" s="29">
        <f t="shared" si="13"/>
        <v>52.01</v>
      </c>
      <c r="I226" s="38">
        <f t="shared" si="14"/>
        <v>5.3466499999999997E-3</v>
      </c>
      <c r="J226" s="38">
        <f t="shared" si="15"/>
        <v>2.1842400000000001E-3</v>
      </c>
      <c r="K226" s="32">
        <f>K225+StepSize*L225</f>
        <v>930.58116581470426</v>
      </c>
      <c r="L226" s="33">
        <f>K226*Delta+I226*K226-J226*(DeathPayment-K226)</f>
        <v>-34.903650038918556</v>
      </c>
    </row>
    <row r="227" spans="1:12" x14ac:dyDescent="0.45">
      <c r="A227" s="11">
        <v>18.98</v>
      </c>
      <c r="B227" s="14">
        <v>5.9111999999999999E-4</v>
      </c>
      <c r="C227" s="15">
        <v>1.8087999999999999E-4</v>
      </c>
      <c r="F227" s="28">
        <v>2.02</v>
      </c>
      <c r="G227" s="29">
        <f t="shared" si="12"/>
        <v>57.02</v>
      </c>
      <c r="H227" s="29">
        <f t="shared" si="13"/>
        <v>52.02</v>
      </c>
      <c r="I227" s="38">
        <f t="shared" si="14"/>
        <v>5.3533000000000001E-3</v>
      </c>
      <c r="J227" s="38">
        <f t="shared" si="15"/>
        <v>2.1864800000000002E-3</v>
      </c>
      <c r="K227" s="32">
        <f>K226+StepSize*L226</f>
        <v>930.2321293143151</v>
      </c>
      <c r="L227" s="33">
        <f>K227*Delta+I227*K227-J227*(DeathPayment-K227)</f>
        <v>-35.035251381402972</v>
      </c>
    </row>
    <row r="228" spans="1:12" x14ac:dyDescent="0.45">
      <c r="A228" s="11">
        <v>18.989999999999998</v>
      </c>
      <c r="B228" s="14">
        <v>5.9106000000000002E-4</v>
      </c>
      <c r="C228" s="15">
        <v>1.8094000000000001E-4</v>
      </c>
      <c r="F228" s="28">
        <v>2.0299999999999998</v>
      </c>
      <c r="G228" s="29">
        <f t="shared" si="12"/>
        <v>57.03</v>
      </c>
      <c r="H228" s="29">
        <f t="shared" si="13"/>
        <v>52.03</v>
      </c>
      <c r="I228" s="38">
        <f t="shared" si="14"/>
        <v>5.3599499999999996E-3</v>
      </c>
      <c r="J228" s="38">
        <f t="shared" si="15"/>
        <v>2.1887199999999999E-3</v>
      </c>
      <c r="K228" s="32">
        <f>K227+StepSize*L227</f>
        <v>929.88177680050103</v>
      </c>
      <c r="L228" s="33">
        <f>K228*Delta+I228*K228-J228*(DeathPayment-K228)</f>
        <v>-35.166964038868926</v>
      </c>
    </row>
    <row r="229" spans="1:12" x14ac:dyDescent="0.45">
      <c r="A229" s="11">
        <v>19</v>
      </c>
      <c r="B229" s="14">
        <v>5.9100000000000005E-4</v>
      </c>
      <c r="C229" s="15">
        <v>1.8100000000000001E-4</v>
      </c>
      <c r="F229" s="28">
        <v>2.04</v>
      </c>
      <c r="G229" s="29">
        <f t="shared" si="12"/>
        <v>57.04</v>
      </c>
      <c r="H229" s="29">
        <f t="shared" si="13"/>
        <v>52.04</v>
      </c>
      <c r="I229" s="38">
        <f t="shared" si="14"/>
        <v>5.3666E-3</v>
      </c>
      <c r="J229" s="38">
        <f t="shared" si="15"/>
        <v>2.19096E-3</v>
      </c>
      <c r="K229" s="32">
        <f>K228+StepSize*L228</f>
        <v>929.53010716011238</v>
      </c>
      <c r="L229" s="33">
        <f>K229*Delta+I229*K229-J229*(DeathPayment-K229)</f>
        <v>-35.298788135330966</v>
      </c>
    </row>
    <row r="230" spans="1:12" x14ac:dyDescent="0.45">
      <c r="A230" s="11">
        <v>19.010000000000002</v>
      </c>
      <c r="B230" s="14">
        <v>5.9093999999999998E-4</v>
      </c>
      <c r="C230" s="15">
        <v>1.8107999999999999E-4</v>
      </c>
      <c r="F230" s="28">
        <v>2.0499999999999998</v>
      </c>
      <c r="G230" s="29">
        <f t="shared" si="12"/>
        <v>57.05</v>
      </c>
      <c r="H230" s="29">
        <f t="shared" si="13"/>
        <v>52.05</v>
      </c>
      <c r="I230" s="38">
        <f t="shared" si="14"/>
        <v>5.3732500000000004E-3</v>
      </c>
      <c r="J230" s="38">
        <f t="shared" si="15"/>
        <v>2.1932000000000002E-3</v>
      </c>
      <c r="K230" s="32">
        <f>K229+StepSize*L229</f>
        <v>929.17711927875905</v>
      </c>
      <c r="L230" s="33">
        <f>K230*Delta+I230*K230-J230*(DeathPayment-K230)</f>
        <v>-35.430723794942253</v>
      </c>
    </row>
    <row r="231" spans="1:12" x14ac:dyDescent="0.45">
      <c r="A231" s="11">
        <v>19.02</v>
      </c>
      <c r="B231" s="14">
        <v>5.9088000000000001E-4</v>
      </c>
      <c r="C231" s="15">
        <v>1.8116000000000001E-4</v>
      </c>
      <c r="F231" s="28">
        <v>2.06</v>
      </c>
      <c r="G231" s="29">
        <f t="shared" si="12"/>
        <v>57.06</v>
      </c>
      <c r="H231" s="29">
        <f t="shared" si="13"/>
        <v>52.06</v>
      </c>
      <c r="I231" s="38">
        <f t="shared" si="14"/>
        <v>5.3799E-3</v>
      </c>
      <c r="J231" s="38">
        <f t="shared" si="15"/>
        <v>2.1954399999999999E-3</v>
      </c>
      <c r="K231" s="32">
        <f>K230+StepSize*L230</f>
        <v>928.82281204080959</v>
      </c>
      <c r="L231" s="33">
        <f>K231*Delta+I231*K231-J231*(DeathPayment-K231)</f>
        <v>-35.562771141994745</v>
      </c>
    </row>
    <row r="232" spans="1:12" x14ac:dyDescent="0.45">
      <c r="A232" s="11">
        <v>19.03</v>
      </c>
      <c r="B232" s="14">
        <v>5.9082000000000004E-4</v>
      </c>
      <c r="C232" s="15">
        <v>1.8123999999999999E-4</v>
      </c>
      <c r="F232" s="28">
        <v>2.0699999999999998</v>
      </c>
      <c r="G232" s="29">
        <f t="shared" si="12"/>
        <v>57.07</v>
      </c>
      <c r="H232" s="29">
        <f t="shared" si="13"/>
        <v>52.07</v>
      </c>
      <c r="I232" s="38">
        <f t="shared" si="14"/>
        <v>5.3865500000000004E-3</v>
      </c>
      <c r="J232" s="38">
        <f t="shared" si="15"/>
        <v>2.19768E-3</v>
      </c>
      <c r="K232" s="32">
        <f>K231+StepSize*L231</f>
        <v>928.46718432938962</v>
      </c>
      <c r="L232" s="33">
        <f>K232*Delta+I232*K232-J232*(DeathPayment-K232)</f>
        <v>-35.694930300919424</v>
      </c>
    </row>
    <row r="233" spans="1:12" x14ac:dyDescent="0.45">
      <c r="A233" s="11">
        <v>19.04</v>
      </c>
      <c r="B233" s="14">
        <v>5.9075999999999996E-4</v>
      </c>
      <c r="C233" s="15">
        <v>1.8132000000000001E-4</v>
      </c>
      <c r="F233" s="28">
        <v>2.08</v>
      </c>
      <c r="G233" s="29">
        <f t="shared" si="12"/>
        <v>57.08</v>
      </c>
      <c r="H233" s="29">
        <f t="shared" si="13"/>
        <v>52.08</v>
      </c>
      <c r="I233" s="38">
        <f t="shared" si="14"/>
        <v>5.3931999999999999E-3</v>
      </c>
      <c r="J233" s="38">
        <f t="shared" si="15"/>
        <v>2.1999200000000002E-3</v>
      </c>
      <c r="K233" s="32">
        <f>K232+StepSize*L232</f>
        <v>928.11023502638045</v>
      </c>
      <c r="L233" s="33">
        <f>K233*Delta+I233*K233-J233*(DeathPayment-K233)</f>
        <v>-35.827201396286412</v>
      </c>
    </row>
    <row r="234" spans="1:12" x14ac:dyDescent="0.45">
      <c r="A234" s="11">
        <v>19.05</v>
      </c>
      <c r="B234" s="14">
        <v>5.9069999999999999E-4</v>
      </c>
      <c r="C234" s="15">
        <v>1.8139999999999999E-4</v>
      </c>
      <c r="F234" s="28">
        <v>2.09</v>
      </c>
      <c r="G234" s="29">
        <f t="shared" si="12"/>
        <v>57.09</v>
      </c>
      <c r="H234" s="29">
        <f t="shared" si="13"/>
        <v>52.09</v>
      </c>
      <c r="I234" s="38">
        <f t="shared" si="14"/>
        <v>5.3998500000000003E-3</v>
      </c>
      <c r="J234" s="38">
        <f t="shared" si="15"/>
        <v>2.2021599999999999E-3</v>
      </c>
      <c r="K234" s="32">
        <f>K233+StepSize*L233</f>
        <v>927.7519630124176</v>
      </c>
      <c r="L234" s="33">
        <f>K234*Delta+I234*K234-J234*(DeathPayment-K234)</f>
        <v>-35.95958455280514</v>
      </c>
    </row>
    <row r="235" spans="1:12" x14ac:dyDescent="0.45">
      <c r="A235" s="11">
        <v>19.059999999999999</v>
      </c>
      <c r="B235" s="14">
        <v>5.9064000000000002E-4</v>
      </c>
      <c r="C235" s="15">
        <v>1.8148E-4</v>
      </c>
      <c r="F235" s="28">
        <v>2.1</v>
      </c>
      <c r="G235" s="29">
        <f t="shared" si="12"/>
        <v>57.1</v>
      </c>
      <c r="H235" s="29">
        <f t="shared" si="13"/>
        <v>52.1</v>
      </c>
      <c r="I235" s="38">
        <f t="shared" si="14"/>
        <v>5.4064999999999998E-3</v>
      </c>
      <c r="J235" s="38">
        <f t="shared" si="15"/>
        <v>2.2044E-3</v>
      </c>
      <c r="K235" s="32">
        <f>K234+StepSize*L234</f>
        <v>927.39236716688958</v>
      </c>
      <c r="L235" s="33">
        <f>K235*Delta+I235*K235-J235*(DeathPayment-K235)</f>
        <v>-36.092079895324574</v>
      </c>
    </row>
    <row r="236" spans="1:12" x14ac:dyDescent="0.45">
      <c r="A236" s="11">
        <v>19.07</v>
      </c>
      <c r="B236" s="14">
        <v>5.9057999999999995E-4</v>
      </c>
      <c r="C236" s="15">
        <v>1.8155999999999999E-4</v>
      </c>
      <c r="F236" s="28">
        <v>2.11</v>
      </c>
      <c r="G236" s="29">
        <f t="shared" si="12"/>
        <v>57.11</v>
      </c>
      <c r="H236" s="29">
        <f t="shared" si="13"/>
        <v>52.11</v>
      </c>
      <c r="I236" s="38">
        <f t="shared" si="14"/>
        <v>5.4131500000000003E-3</v>
      </c>
      <c r="J236" s="38">
        <f t="shared" si="15"/>
        <v>2.2066400000000002E-3</v>
      </c>
      <c r="K236" s="32">
        <f>K235+StepSize*L235</f>
        <v>927.03144636793638</v>
      </c>
      <c r="L236" s="33">
        <f>K236*Delta+I236*K236-J236*(DeathPayment-K236)</f>
        <v>-36.224687548833259</v>
      </c>
    </row>
    <row r="237" spans="1:12" x14ac:dyDescent="0.45">
      <c r="A237" s="11">
        <v>19.079999999999998</v>
      </c>
      <c r="B237" s="14">
        <v>5.9051999999999998E-4</v>
      </c>
      <c r="C237" s="15">
        <v>1.8164E-4</v>
      </c>
      <c r="F237" s="28">
        <v>2.12</v>
      </c>
      <c r="G237" s="29">
        <f t="shared" si="12"/>
        <v>57.12</v>
      </c>
      <c r="H237" s="29">
        <f t="shared" si="13"/>
        <v>52.12</v>
      </c>
      <c r="I237" s="38">
        <f t="shared" si="14"/>
        <v>5.4197999999999998E-3</v>
      </c>
      <c r="J237" s="38">
        <f t="shared" si="15"/>
        <v>2.2088799999999999E-3</v>
      </c>
      <c r="K237" s="32">
        <f>K236+StepSize*L236</f>
        <v>926.669199492448</v>
      </c>
      <c r="L237" s="33">
        <f>K237*Delta+I237*K237-J237*(DeathPayment-K237)</f>
        <v>-36.357407638459605</v>
      </c>
    </row>
    <row r="238" spans="1:12" x14ac:dyDescent="0.45">
      <c r="A238" s="11">
        <v>19.09</v>
      </c>
      <c r="B238" s="14">
        <v>5.9046000000000001E-4</v>
      </c>
      <c r="C238" s="15">
        <v>1.8171999999999999E-4</v>
      </c>
      <c r="F238" s="28">
        <v>2.13</v>
      </c>
      <c r="G238" s="29">
        <f t="shared" si="12"/>
        <v>57.13</v>
      </c>
      <c r="H238" s="29">
        <f t="shared" si="13"/>
        <v>52.13</v>
      </c>
      <c r="I238" s="38">
        <f t="shared" si="14"/>
        <v>5.4264500000000002E-3</v>
      </c>
      <c r="J238" s="38">
        <f t="shared" si="15"/>
        <v>2.21112E-3</v>
      </c>
      <c r="K238" s="32">
        <f>K237+StepSize*L237</f>
        <v>926.30562541606344</v>
      </c>
      <c r="L238" s="33">
        <f>K238*Delta+I238*K238-J238*(DeathPayment-K238)</f>
        <v>-36.490240289472041</v>
      </c>
    </row>
    <row r="239" spans="1:12" x14ac:dyDescent="0.45">
      <c r="A239" s="11">
        <v>19.100000000000001</v>
      </c>
      <c r="B239" s="14">
        <v>5.9040000000000004E-4</v>
      </c>
      <c r="C239" s="15">
        <v>1.818E-4</v>
      </c>
      <c r="F239" s="28">
        <v>2.14</v>
      </c>
      <c r="G239" s="29">
        <f t="shared" si="12"/>
        <v>57.14</v>
      </c>
      <c r="H239" s="29">
        <f t="shared" si="13"/>
        <v>52.14</v>
      </c>
      <c r="I239" s="38">
        <f t="shared" si="14"/>
        <v>5.4330999999999997E-3</v>
      </c>
      <c r="J239" s="38">
        <f t="shared" si="15"/>
        <v>2.2133600000000002E-3</v>
      </c>
      <c r="K239" s="32">
        <f>K238+StepSize*L238</f>
        <v>925.94072301316874</v>
      </c>
      <c r="L239" s="33">
        <f>K239*Delta+I239*K239-J239*(DeathPayment-K239)</f>
        <v>-36.623185627279071</v>
      </c>
    </row>
    <row r="240" spans="1:12" x14ac:dyDescent="0.45">
      <c r="A240" s="11">
        <v>19.11</v>
      </c>
      <c r="B240" s="14">
        <v>5.9033999999999996E-4</v>
      </c>
      <c r="C240" s="15">
        <v>1.8187999999999999E-4</v>
      </c>
      <c r="F240" s="28">
        <v>2.15</v>
      </c>
      <c r="G240" s="29">
        <f t="shared" si="12"/>
        <v>57.15</v>
      </c>
      <c r="H240" s="29">
        <f t="shared" si="13"/>
        <v>52.15</v>
      </c>
      <c r="I240" s="38">
        <f t="shared" si="14"/>
        <v>5.4397500000000001E-3</v>
      </c>
      <c r="J240" s="38">
        <f t="shared" si="15"/>
        <v>2.2155999999999999E-3</v>
      </c>
      <c r="K240" s="32">
        <f>K239+StepSize*L239</f>
        <v>925.57449115689599</v>
      </c>
      <c r="L240" s="33">
        <f>K240*Delta+I240*K240-J240*(DeathPayment-K240)</f>
        <v>-36.75624377742956</v>
      </c>
    </row>
    <row r="241" spans="1:12" x14ac:dyDescent="0.45">
      <c r="A241" s="11">
        <v>19.12</v>
      </c>
      <c r="B241" s="14">
        <v>5.9027999999999999E-4</v>
      </c>
      <c r="C241" s="15">
        <v>1.8196E-4</v>
      </c>
      <c r="F241" s="28">
        <v>2.16</v>
      </c>
      <c r="G241" s="29">
        <f t="shared" si="12"/>
        <v>57.16</v>
      </c>
      <c r="H241" s="29">
        <f t="shared" si="13"/>
        <v>52.16</v>
      </c>
      <c r="I241" s="38">
        <f t="shared" si="14"/>
        <v>5.4463999999999997E-3</v>
      </c>
      <c r="J241" s="38">
        <f t="shared" si="15"/>
        <v>2.21784E-3</v>
      </c>
      <c r="K241" s="32">
        <f>K240+StepSize*L240</f>
        <v>925.20692871912172</v>
      </c>
      <c r="L241" s="33">
        <f>K241*Delta+I241*K241-J241*(DeathPayment-K241)</f>
        <v>-36.889414865612949</v>
      </c>
    </row>
    <row r="242" spans="1:12" x14ac:dyDescent="0.45">
      <c r="A242" s="11">
        <v>19.13</v>
      </c>
      <c r="B242" s="14">
        <v>5.9022000000000002E-4</v>
      </c>
      <c r="C242" s="15">
        <v>1.8204000000000001E-4</v>
      </c>
      <c r="F242" s="28">
        <v>2.17</v>
      </c>
      <c r="G242" s="29">
        <f t="shared" si="12"/>
        <v>57.17</v>
      </c>
      <c r="H242" s="29">
        <f t="shared" si="13"/>
        <v>52.17</v>
      </c>
      <c r="I242" s="38">
        <f t="shared" si="14"/>
        <v>5.4530500000000001E-3</v>
      </c>
      <c r="J242" s="38">
        <f t="shared" si="15"/>
        <v>2.2200800000000001E-3</v>
      </c>
      <c r="K242" s="32">
        <f>K241+StepSize*L241</f>
        <v>924.83803457046554</v>
      </c>
      <c r="L242" s="33">
        <f>K242*Delta+I242*K242-J242*(DeathPayment-K242)</f>
        <v>-37.022699017659164</v>
      </c>
    </row>
    <row r="243" spans="1:12" x14ac:dyDescent="0.45">
      <c r="A243" s="11">
        <v>19.14</v>
      </c>
      <c r="B243" s="14">
        <v>5.9015999999999995E-4</v>
      </c>
      <c r="C243" s="15">
        <v>1.8212E-4</v>
      </c>
      <c r="F243" s="28">
        <v>2.1800000000000002</v>
      </c>
      <c r="G243" s="29">
        <f t="shared" si="12"/>
        <v>57.18</v>
      </c>
      <c r="H243" s="29">
        <f t="shared" si="13"/>
        <v>52.18</v>
      </c>
      <c r="I243" s="38">
        <f t="shared" si="14"/>
        <v>5.4596999999999996E-3</v>
      </c>
      <c r="J243" s="38">
        <f t="shared" si="15"/>
        <v>2.2223199999999999E-3</v>
      </c>
      <c r="K243" s="32">
        <f>K242+StepSize*L242</f>
        <v>924.46780758028899</v>
      </c>
      <c r="L243" s="33">
        <f>K243*Delta+I243*K243-J243*(DeathPayment-K243)</f>
        <v>-37.156096359539106</v>
      </c>
    </row>
    <row r="244" spans="1:12" x14ac:dyDescent="0.45">
      <c r="A244" s="11">
        <v>19.149999999999999</v>
      </c>
      <c r="B244" s="14">
        <v>5.9009999999999998E-4</v>
      </c>
      <c r="C244" s="15">
        <v>1.8220000000000001E-4</v>
      </c>
      <c r="F244" s="28">
        <v>2.19</v>
      </c>
      <c r="G244" s="29">
        <f t="shared" si="12"/>
        <v>57.19</v>
      </c>
      <c r="H244" s="29">
        <f t="shared" si="13"/>
        <v>52.19</v>
      </c>
      <c r="I244" s="38">
        <f t="shared" si="14"/>
        <v>5.46635E-3</v>
      </c>
      <c r="J244" s="38">
        <f t="shared" si="15"/>
        <v>2.22456E-3</v>
      </c>
      <c r="K244" s="32">
        <f>K243+StepSize*L243</f>
        <v>924.09624661669363</v>
      </c>
      <c r="L244" s="33">
        <f>K244*Delta+I244*K244-J244*(DeathPayment-K244)</f>
        <v>-37.289607017364602</v>
      </c>
    </row>
    <row r="245" spans="1:12" x14ac:dyDescent="0.45">
      <c r="A245" s="11">
        <v>19.16</v>
      </c>
      <c r="B245" s="14">
        <v>5.9004000000000001E-4</v>
      </c>
      <c r="C245" s="15">
        <v>1.8228E-4</v>
      </c>
      <c r="F245" s="28">
        <v>2.2000000000000002</v>
      </c>
      <c r="G245" s="29">
        <f t="shared" si="12"/>
        <v>57.2</v>
      </c>
      <c r="H245" s="29">
        <f t="shared" si="13"/>
        <v>52.2</v>
      </c>
      <c r="I245" s="38">
        <f t="shared" si="14"/>
        <v>5.4730000000000004E-3</v>
      </c>
      <c r="J245" s="38">
        <f t="shared" si="15"/>
        <v>2.2268000000000001E-3</v>
      </c>
      <c r="K245" s="32">
        <f>K244+StepSize*L244</f>
        <v>923.72335054652001</v>
      </c>
      <c r="L245" s="33">
        <f>K245*Delta+I245*K245-J245*(DeathPayment-K245)</f>
        <v>-37.423231117388738</v>
      </c>
    </row>
    <row r="246" spans="1:12" x14ac:dyDescent="0.45">
      <c r="A246" s="11">
        <v>19.170000000000002</v>
      </c>
      <c r="B246" s="14">
        <v>5.8998000000000004E-4</v>
      </c>
      <c r="C246" s="15">
        <v>1.8236000000000001E-4</v>
      </c>
      <c r="F246" s="28">
        <v>2.21</v>
      </c>
      <c r="G246" s="29">
        <f t="shared" si="12"/>
        <v>57.21</v>
      </c>
      <c r="H246" s="29">
        <f t="shared" si="13"/>
        <v>52.21</v>
      </c>
      <c r="I246" s="38">
        <f t="shared" si="14"/>
        <v>5.47965E-3</v>
      </c>
      <c r="J246" s="38">
        <f t="shared" si="15"/>
        <v>2.2290399999999998E-3</v>
      </c>
      <c r="K246" s="32">
        <f>K245+StepSize*L245</f>
        <v>923.34911823534617</v>
      </c>
      <c r="L246" s="33">
        <f>K246*Delta+I246*K246-J246*(DeathPayment-K246)</f>
        <v>-37.55696878600574</v>
      </c>
    </row>
    <row r="247" spans="1:12" x14ac:dyDescent="0.45">
      <c r="A247" s="11">
        <v>19.18</v>
      </c>
      <c r="B247" s="14">
        <v>5.8991999999999996E-4</v>
      </c>
      <c r="C247" s="15">
        <v>1.8243999999999999E-4</v>
      </c>
      <c r="F247" s="28">
        <v>2.2200000000000002</v>
      </c>
      <c r="G247" s="29">
        <f t="shared" si="12"/>
        <v>57.22</v>
      </c>
      <c r="H247" s="29">
        <f t="shared" si="13"/>
        <v>52.22</v>
      </c>
      <c r="I247" s="38">
        <f t="shared" si="14"/>
        <v>5.4863000000000004E-3</v>
      </c>
      <c r="J247" s="38">
        <f t="shared" si="15"/>
        <v>2.23128E-3</v>
      </c>
      <c r="K247" s="32">
        <f>K246+StepSize*L246</f>
        <v>922.97354854748608</v>
      </c>
      <c r="L247" s="33">
        <f>K247*Delta+I247*K247-J247*(DeathPayment-K247)</f>
        <v>-37.690820149751559</v>
      </c>
    </row>
    <row r="248" spans="1:12" x14ac:dyDescent="0.45">
      <c r="A248" s="11">
        <v>19.190000000000001</v>
      </c>
      <c r="B248" s="14">
        <v>5.8985999999999999E-4</v>
      </c>
      <c r="C248" s="15">
        <v>1.8252000000000001E-4</v>
      </c>
      <c r="F248" s="28">
        <v>2.23</v>
      </c>
      <c r="G248" s="29">
        <f t="shared" si="12"/>
        <v>57.23</v>
      </c>
      <c r="H248" s="29">
        <f t="shared" si="13"/>
        <v>52.23</v>
      </c>
      <c r="I248" s="38">
        <f t="shared" si="14"/>
        <v>5.4929499999999999E-3</v>
      </c>
      <c r="J248" s="38">
        <f t="shared" si="15"/>
        <v>2.2335200000000001E-3</v>
      </c>
      <c r="K248" s="32">
        <f>K247+StepSize*L247</f>
        <v>922.59664034598859</v>
      </c>
      <c r="L248" s="33">
        <f>K248*Delta+I248*K248-J248*(DeathPayment-K248)</f>
        <v>-37.824785335303702</v>
      </c>
    </row>
    <row r="249" spans="1:12" x14ac:dyDescent="0.45">
      <c r="A249" s="11">
        <v>19.2</v>
      </c>
      <c r="B249" s="14">
        <v>5.8980000000000002E-4</v>
      </c>
      <c r="C249" s="15">
        <v>1.8259999999999999E-4</v>
      </c>
      <c r="F249" s="28">
        <v>2.2400000000000002</v>
      </c>
      <c r="G249" s="29">
        <f t="shared" si="12"/>
        <v>57.24</v>
      </c>
      <c r="H249" s="29">
        <f t="shared" si="13"/>
        <v>52.24</v>
      </c>
      <c r="I249" s="38">
        <f t="shared" si="14"/>
        <v>5.4996000000000003E-3</v>
      </c>
      <c r="J249" s="38">
        <f t="shared" si="15"/>
        <v>2.2357599999999998E-3</v>
      </c>
      <c r="K249" s="32">
        <f>K248+StepSize*L248</f>
        <v>922.21839249263553</v>
      </c>
      <c r="L249" s="33">
        <f>K249*Delta+I249*K249-J249*(DeathPayment-K249)</f>
        <v>-37.958864469481497</v>
      </c>
    </row>
    <row r="250" spans="1:12" x14ac:dyDescent="0.45">
      <c r="A250" s="11">
        <v>19.21</v>
      </c>
      <c r="B250" s="14">
        <v>5.8973999999999995E-4</v>
      </c>
      <c r="C250" s="15">
        <v>1.8268000000000001E-4</v>
      </c>
      <c r="F250" s="28">
        <v>2.25</v>
      </c>
      <c r="G250" s="29">
        <f t="shared" si="12"/>
        <v>57.25</v>
      </c>
      <c r="H250" s="29">
        <f t="shared" si="13"/>
        <v>52.25</v>
      </c>
      <c r="I250" s="38">
        <f t="shared" si="14"/>
        <v>5.5062499999999999E-3</v>
      </c>
      <c r="J250" s="38">
        <f t="shared" si="15"/>
        <v>2.238E-3</v>
      </c>
      <c r="K250" s="32">
        <f>K249+StepSize*L249</f>
        <v>921.83880384794077</v>
      </c>
      <c r="L250" s="33">
        <f>K250*Delta+I250*K250-J250*(DeathPayment-K250)</f>
        <v>-38.093057679246357</v>
      </c>
    </row>
    <row r="251" spans="1:12" x14ac:dyDescent="0.45">
      <c r="A251" s="11">
        <v>19.22</v>
      </c>
      <c r="B251" s="14">
        <v>5.8967999999999998E-4</v>
      </c>
      <c r="C251" s="15">
        <v>1.8275999999999999E-4</v>
      </c>
      <c r="F251" s="28">
        <v>2.2599999999999998</v>
      </c>
      <c r="G251" s="29">
        <f t="shared" si="12"/>
        <v>57.26</v>
      </c>
      <c r="H251" s="29">
        <f t="shared" si="13"/>
        <v>52.26</v>
      </c>
      <c r="I251" s="38">
        <f t="shared" si="14"/>
        <v>5.5129000000000003E-3</v>
      </c>
      <c r="J251" s="38">
        <f t="shared" si="15"/>
        <v>2.2402400000000001E-3</v>
      </c>
      <c r="K251" s="32">
        <f>K250+StepSize*L250</f>
        <v>921.45787327114829</v>
      </c>
      <c r="L251" s="33">
        <f>K251*Delta+I251*K251-J251*(DeathPayment-K251)</f>
        <v>-38.227365091701856</v>
      </c>
    </row>
    <row r="252" spans="1:12" x14ac:dyDescent="0.45">
      <c r="A252" s="11">
        <v>19.23</v>
      </c>
      <c r="B252" s="14">
        <v>5.8962000000000001E-4</v>
      </c>
      <c r="C252" s="15">
        <v>1.8284E-4</v>
      </c>
      <c r="F252" s="28">
        <v>2.27</v>
      </c>
      <c r="G252" s="29">
        <f t="shared" si="12"/>
        <v>57.27</v>
      </c>
      <c r="H252" s="29">
        <f t="shared" si="13"/>
        <v>52.27</v>
      </c>
      <c r="I252" s="38">
        <f t="shared" si="14"/>
        <v>5.5195499999999998E-3</v>
      </c>
      <c r="J252" s="38">
        <f t="shared" si="15"/>
        <v>2.2424799999999998E-3</v>
      </c>
      <c r="K252" s="32">
        <f>K251+StepSize*L251</f>
        <v>921.07559962023129</v>
      </c>
      <c r="L252" s="33">
        <f>K252*Delta+I252*K252-J252*(DeathPayment-K252)</f>
        <v>-38.361786834093877</v>
      </c>
    </row>
    <row r="253" spans="1:12" x14ac:dyDescent="0.45">
      <c r="A253" s="11">
        <v>19.239999999999998</v>
      </c>
      <c r="B253" s="14">
        <v>5.8956000000000004E-4</v>
      </c>
      <c r="C253" s="15">
        <v>1.8291999999999999E-4</v>
      </c>
      <c r="F253" s="28">
        <v>2.2799999999999998</v>
      </c>
      <c r="G253" s="29">
        <f t="shared" si="12"/>
        <v>57.28</v>
      </c>
      <c r="H253" s="29">
        <f t="shared" si="13"/>
        <v>52.28</v>
      </c>
      <c r="I253" s="38">
        <f t="shared" si="14"/>
        <v>5.5262000000000002E-3</v>
      </c>
      <c r="J253" s="38">
        <f t="shared" si="15"/>
        <v>2.24472E-3</v>
      </c>
      <c r="K253" s="32">
        <f>K252+StepSize*L252</f>
        <v>920.69198175189035</v>
      </c>
      <c r="L253" s="33">
        <f>K253*Delta+I253*K253-J253*(DeathPayment-K253)</f>
        <v>-38.496323033810853</v>
      </c>
    </row>
    <row r="254" spans="1:12" x14ac:dyDescent="0.45">
      <c r="A254" s="11">
        <v>19.25</v>
      </c>
      <c r="B254" s="14">
        <v>5.8949999999999996E-4</v>
      </c>
      <c r="C254" s="15">
        <v>1.83E-4</v>
      </c>
      <c r="F254" s="28">
        <v>2.29</v>
      </c>
      <c r="G254" s="29">
        <f t="shared" si="12"/>
        <v>57.29</v>
      </c>
      <c r="H254" s="29">
        <f t="shared" si="13"/>
        <v>52.29</v>
      </c>
      <c r="I254" s="38">
        <f t="shared" si="14"/>
        <v>5.5328499999999997E-3</v>
      </c>
      <c r="J254" s="38">
        <f t="shared" si="15"/>
        <v>2.2469600000000001E-3</v>
      </c>
      <c r="K254" s="32">
        <f>K253+StepSize*L253</f>
        <v>920.30701852155221</v>
      </c>
      <c r="L254" s="33">
        <f>K254*Delta+I254*K254-J254*(DeathPayment-K254)</f>
        <v>-38.630973818383993</v>
      </c>
    </row>
    <row r="255" spans="1:12" x14ac:dyDescent="0.45">
      <c r="A255" s="11">
        <v>19.260000000000002</v>
      </c>
      <c r="B255" s="14">
        <v>5.8943999999999999E-4</v>
      </c>
      <c r="C255" s="15">
        <v>1.8307999999999999E-4</v>
      </c>
      <c r="F255" s="28">
        <v>2.2999999999999998</v>
      </c>
      <c r="G255" s="29">
        <f t="shared" si="12"/>
        <v>57.3</v>
      </c>
      <c r="H255" s="29">
        <f t="shared" si="13"/>
        <v>52.3</v>
      </c>
      <c r="I255" s="38">
        <f t="shared" si="14"/>
        <v>5.5395000000000002E-3</v>
      </c>
      <c r="J255" s="38">
        <f t="shared" si="15"/>
        <v>2.2491999999999998E-3</v>
      </c>
      <c r="K255" s="32">
        <f>K254+StepSize*L254</f>
        <v>919.92070878336835</v>
      </c>
      <c r="L255" s="33">
        <f>K255*Delta+I255*K255-J255*(DeathPayment-K255)</f>
        <v>-38.765739315487224</v>
      </c>
    </row>
    <row r="256" spans="1:12" x14ac:dyDescent="0.45">
      <c r="A256" s="11">
        <v>19.27</v>
      </c>
      <c r="B256" s="14">
        <v>5.8938000000000003E-4</v>
      </c>
      <c r="C256" s="15">
        <v>1.8316E-4</v>
      </c>
      <c r="F256" s="28">
        <v>2.31</v>
      </c>
      <c r="G256" s="29">
        <f t="shared" si="12"/>
        <v>57.31</v>
      </c>
      <c r="H256" s="29">
        <f t="shared" si="13"/>
        <v>52.31</v>
      </c>
      <c r="I256" s="38">
        <f t="shared" si="14"/>
        <v>5.5461499999999997E-3</v>
      </c>
      <c r="J256" s="38">
        <f t="shared" si="15"/>
        <v>2.25144E-3</v>
      </c>
      <c r="K256" s="32">
        <f>K255+StepSize*L255</f>
        <v>919.53305139021347</v>
      </c>
      <c r="L256" s="33">
        <f>K256*Delta+I256*K256-J256*(DeathPayment-K256)</f>
        <v>-38.900619652937635</v>
      </c>
    </row>
    <row r="257" spans="1:12" x14ac:dyDescent="0.45">
      <c r="A257" s="11">
        <v>19.28</v>
      </c>
      <c r="B257" s="14">
        <v>5.8931999999999995E-4</v>
      </c>
      <c r="C257" s="15">
        <v>1.8323999999999999E-4</v>
      </c>
      <c r="F257" s="28">
        <v>2.3199999999999998</v>
      </c>
      <c r="G257" s="29">
        <f t="shared" si="12"/>
        <v>57.32</v>
      </c>
      <c r="H257" s="29">
        <f t="shared" si="13"/>
        <v>52.32</v>
      </c>
      <c r="I257" s="38">
        <f t="shared" si="14"/>
        <v>5.5528000000000001E-3</v>
      </c>
      <c r="J257" s="38">
        <f t="shared" si="15"/>
        <v>2.2536800000000001E-3</v>
      </c>
      <c r="K257" s="32">
        <f>K256+StepSize*L256</f>
        <v>919.14404519368406</v>
      </c>
      <c r="L257" s="33">
        <f>K257*Delta+I257*K257-J257*(DeathPayment-K257)</f>
        <v>-39.035614958695447</v>
      </c>
    </row>
    <row r="258" spans="1:12" x14ac:dyDescent="0.45">
      <c r="A258" s="11">
        <v>19.29</v>
      </c>
      <c r="B258" s="14">
        <v>5.8925999999999998E-4</v>
      </c>
      <c r="C258" s="15">
        <v>1.8332E-4</v>
      </c>
      <c r="F258" s="28">
        <v>2.33</v>
      </c>
      <c r="G258" s="29">
        <f t="shared" si="12"/>
        <v>57.33</v>
      </c>
      <c r="H258" s="29">
        <f t="shared" si="13"/>
        <v>52.33</v>
      </c>
      <c r="I258" s="38">
        <f t="shared" si="14"/>
        <v>5.5594499999999996E-3</v>
      </c>
      <c r="J258" s="38">
        <f t="shared" si="15"/>
        <v>2.2559199999999998E-3</v>
      </c>
      <c r="K258" s="32">
        <f>K257+StepSize*L257</f>
        <v>918.75368904409709</v>
      </c>
      <c r="L258" s="33">
        <f>K258*Delta+I258*K258-J258*(DeathPayment-K258)</f>
        <v>-39.170725360864267</v>
      </c>
    </row>
    <row r="259" spans="1:12" x14ac:dyDescent="0.45">
      <c r="A259" s="11">
        <v>19.3</v>
      </c>
      <c r="B259" s="14">
        <v>5.8920000000000001E-4</v>
      </c>
      <c r="C259" s="15">
        <v>1.8340000000000001E-4</v>
      </c>
      <c r="F259" s="28">
        <v>2.34</v>
      </c>
      <c r="G259" s="29">
        <f t="shared" si="12"/>
        <v>57.34</v>
      </c>
      <c r="H259" s="29">
        <f t="shared" si="13"/>
        <v>52.34</v>
      </c>
      <c r="I259" s="38">
        <f t="shared" si="14"/>
        <v>5.5661E-3</v>
      </c>
      <c r="J259" s="38">
        <f t="shared" si="15"/>
        <v>2.2581599999999999E-3</v>
      </c>
      <c r="K259" s="32">
        <f>K258+StepSize*L258</f>
        <v>918.36198179048847</v>
      </c>
      <c r="L259" s="33">
        <f>K259*Delta+I259*K259-J259*(DeathPayment-K259)</f>
        <v>-39.30595098769129</v>
      </c>
    </row>
    <row r="260" spans="1:12" x14ac:dyDescent="0.45">
      <c r="A260" s="11">
        <v>19.309999999999999</v>
      </c>
      <c r="B260" s="14">
        <v>5.8914000000000004E-4</v>
      </c>
      <c r="C260" s="15">
        <v>1.8348E-4</v>
      </c>
      <c r="F260" s="28">
        <v>2.35</v>
      </c>
      <c r="G260" s="29">
        <f t="shared" si="12"/>
        <v>57.35</v>
      </c>
      <c r="H260" s="29">
        <f t="shared" si="13"/>
        <v>52.35</v>
      </c>
      <c r="I260" s="38">
        <f t="shared" si="14"/>
        <v>5.5727499999999996E-3</v>
      </c>
      <c r="J260" s="38">
        <f t="shared" si="15"/>
        <v>2.2604000000000001E-3</v>
      </c>
      <c r="K260" s="32">
        <f>K259+StepSize*L259</f>
        <v>917.96892228061154</v>
      </c>
      <c r="L260" s="33">
        <f>K260*Delta+I260*K260-J260*(DeathPayment-K260)</f>
        <v>-39.441291967567452</v>
      </c>
    </row>
    <row r="261" spans="1:12" x14ac:dyDescent="0.45">
      <c r="A261" s="11">
        <v>19.32</v>
      </c>
      <c r="B261" s="14">
        <v>5.8907999999999996E-4</v>
      </c>
      <c r="C261" s="15">
        <v>1.8356000000000001E-4</v>
      </c>
      <c r="F261" s="28">
        <v>2.36</v>
      </c>
      <c r="G261" s="29">
        <f t="shared" si="12"/>
        <v>57.36</v>
      </c>
      <c r="H261" s="29">
        <f t="shared" si="13"/>
        <v>52.36</v>
      </c>
      <c r="I261" s="38">
        <f t="shared" si="14"/>
        <v>5.5794E-3</v>
      </c>
      <c r="J261" s="38">
        <f t="shared" si="15"/>
        <v>2.2626399999999998E-3</v>
      </c>
      <c r="K261" s="32">
        <f>K260+StepSize*L260</f>
        <v>917.57450936093585</v>
      </c>
      <c r="L261" s="33">
        <f>K261*Delta+I261*K261-J261*(DeathPayment-K261)</f>
        <v>-39.576748429027475</v>
      </c>
    </row>
    <row r="262" spans="1:12" x14ac:dyDescent="0.45">
      <c r="A262" s="11">
        <v>19.329999999999998</v>
      </c>
      <c r="B262" s="14">
        <v>5.8901999999999999E-4</v>
      </c>
      <c r="C262" s="15">
        <v>1.8364E-4</v>
      </c>
      <c r="F262" s="28">
        <v>2.37</v>
      </c>
      <c r="G262" s="29">
        <f t="shared" si="12"/>
        <v>57.37</v>
      </c>
      <c r="H262" s="29">
        <f t="shared" si="13"/>
        <v>52.37</v>
      </c>
      <c r="I262" s="38">
        <f t="shared" si="14"/>
        <v>5.5860500000000004E-3</v>
      </c>
      <c r="J262" s="38">
        <f t="shared" si="15"/>
        <v>2.2648799999999999E-3</v>
      </c>
      <c r="K262" s="32">
        <f>K261+StepSize*L261</f>
        <v>917.17874187664552</v>
      </c>
      <c r="L262" s="33">
        <f>K262*Delta+I262*K262-J262*(DeathPayment-K262)</f>
        <v>-39.71232050075028</v>
      </c>
    </row>
    <row r="263" spans="1:12" x14ac:dyDescent="0.45">
      <c r="A263" s="11">
        <v>19.34</v>
      </c>
      <c r="B263" s="14">
        <v>5.8896000000000003E-4</v>
      </c>
      <c r="C263" s="15">
        <v>1.8372000000000001E-4</v>
      </c>
      <c r="F263" s="28">
        <v>2.38</v>
      </c>
      <c r="G263" s="29">
        <f t="shared" si="12"/>
        <v>57.38</v>
      </c>
      <c r="H263" s="29">
        <f t="shared" si="13"/>
        <v>52.38</v>
      </c>
      <c r="I263" s="38">
        <f t="shared" si="14"/>
        <v>5.5926999999999999E-3</v>
      </c>
      <c r="J263" s="38">
        <f t="shared" si="15"/>
        <v>2.2671200000000001E-3</v>
      </c>
      <c r="K263" s="32">
        <f>K262+StepSize*L262</f>
        <v>916.78161867163806</v>
      </c>
      <c r="L263" s="33">
        <f>K263*Delta+I263*K263-J263*(DeathPayment-K263)</f>
        <v>-39.848008311558957</v>
      </c>
    </row>
    <row r="264" spans="1:12" x14ac:dyDescent="0.45">
      <c r="A264" s="11">
        <v>19.350000000000001</v>
      </c>
      <c r="B264" s="14">
        <v>5.8889999999999995E-4</v>
      </c>
      <c r="C264" s="15">
        <v>1.838E-4</v>
      </c>
      <c r="F264" s="28">
        <v>2.39</v>
      </c>
      <c r="G264" s="29">
        <f t="shared" si="12"/>
        <v>57.39</v>
      </c>
      <c r="H264" s="29">
        <f t="shared" si="13"/>
        <v>52.39</v>
      </c>
      <c r="I264" s="38">
        <f t="shared" si="14"/>
        <v>5.5993500000000003E-3</v>
      </c>
      <c r="J264" s="38">
        <f t="shared" si="15"/>
        <v>2.2693600000000002E-3</v>
      </c>
      <c r="K264" s="32">
        <f>K263+StepSize*L263</f>
        <v>916.38313858852246</v>
      </c>
      <c r="L264" s="33">
        <f>K264*Delta+I264*K264-J264*(DeathPayment-K264)</f>
        <v>-39.983811990421003</v>
      </c>
    </row>
    <row r="265" spans="1:12" x14ac:dyDescent="0.45">
      <c r="A265" s="11">
        <v>19.36</v>
      </c>
      <c r="B265" s="14">
        <v>5.8883999999999998E-4</v>
      </c>
      <c r="C265" s="15">
        <v>1.8388000000000001E-4</v>
      </c>
      <c r="F265" s="28">
        <v>2.4</v>
      </c>
      <c r="G265" s="29">
        <f t="shared" si="12"/>
        <v>57.4</v>
      </c>
      <c r="H265" s="29">
        <f t="shared" si="13"/>
        <v>52.4</v>
      </c>
      <c r="I265" s="38">
        <f t="shared" si="14"/>
        <v>5.6059999999999999E-3</v>
      </c>
      <c r="J265" s="38">
        <f t="shared" si="15"/>
        <v>2.2715999999999999E-3</v>
      </c>
      <c r="K265" s="32">
        <f>K264+StepSize*L264</f>
        <v>915.98330046861827</v>
      </c>
      <c r="L265" s="33">
        <f>K265*Delta+I265*K265-J265*(DeathPayment-K265)</f>
        <v>-40.11973166644853</v>
      </c>
    </row>
    <row r="266" spans="1:12" x14ac:dyDescent="0.45">
      <c r="A266" s="11">
        <v>19.37</v>
      </c>
      <c r="B266" s="14">
        <v>5.8878000000000001E-4</v>
      </c>
      <c r="C266" s="15">
        <v>1.8395999999999999E-4</v>
      </c>
      <c r="F266" s="28">
        <v>2.41</v>
      </c>
      <c r="G266" s="29">
        <f t="shared" si="12"/>
        <v>57.41</v>
      </c>
      <c r="H266" s="29">
        <f t="shared" si="13"/>
        <v>52.41</v>
      </c>
      <c r="I266" s="38">
        <f t="shared" si="14"/>
        <v>5.6126500000000003E-3</v>
      </c>
      <c r="J266" s="38">
        <f t="shared" si="15"/>
        <v>2.2738400000000001E-3</v>
      </c>
      <c r="K266" s="32">
        <f>K265+StepSize*L265</f>
        <v>915.58210315195379</v>
      </c>
      <c r="L266" s="33">
        <f>K266*Delta+I266*K266-J266*(DeathPayment-K266)</f>
        <v>-40.255767468898412</v>
      </c>
    </row>
    <row r="267" spans="1:12" x14ac:dyDescent="0.45">
      <c r="A267" s="11">
        <v>19.38</v>
      </c>
      <c r="B267" s="14">
        <v>5.8872000000000004E-4</v>
      </c>
      <c r="C267" s="15">
        <v>1.8404000000000001E-4</v>
      </c>
      <c r="F267" s="28">
        <v>2.42</v>
      </c>
      <c r="G267" s="29">
        <f t="shared" si="12"/>
        <v>57.42</v>
      </c>
      <c r="H267" s="29">
        <f t="shared" si="13"/>
        <v>52.42</v>
      </c>
      <c r="I267" s="38">
        <f t="shared" si="14"/>
        <v>5.6192999999999998E-3</v>
      </c>
      <c r="J267" s="38">
        <f t="shared" si="15"/>
        <v>2.2760800000000002E-3</v>
      </c>
      <c r="K267" s="32">
        <f>K266+StepSize*L266</f>
        <v>915.17954547726481</v>
      </c>
      <c r="L267" s="33">
        <f>K267*Delta+I267*K267-J267*(DeathPayment-K267)</f>
        <v>-40.391919527172448</v>
      </c>
    </row>
    <row r="268" spans="1:12" x14ac:dyDescent="0.45">
      <c r="A268" s="11">
        <v>19.39</v>
      </c>
      <c r="B268" s="14">
        <v>5.8865999999999996E-4</v>
      </c>
      <c r="C268" s="15">
        <v>1.8411999999999999E-4</v>
      </c>
      <c r="F268" s="28">
        <v>2.4300000000000002</v>
      </c>
      <c r="G268" s="29">
        <f t="shared" si="12"/>
        <v>57.43</v>
      </c>
      <c r="H268" s="29">
        <f t="shared" si="13"/>
        <v>52.43</v>
      </c>
      <c r="I268" s="38">
        <f t="shared" si="14"/>
        <v>5.6259500000000002E-3</v>
      </c>
      <c r="J268" s="38">
        <f t="shared" si="15"/>
        <v>2.2783199999999999E-3</v>
      </c>
      <c r="K268" s="32">
        <f>K267+StepSize*L267</f>
        <v>914.77562628199314</v>
      </c>
      <c r="L268" s="33">
        <f>K268*Delta+I268*K268-J268*(DeathPayment-K268)</f>
        <v>-40.528187970817498</v>
      </c>
    </row>
    <row r="269" spans="1:12" x14ac:dyDescent="0.45">
      <c r="A269" s="11">
        <v>19.399999999999999</v>
      </c>
      <c r="B269" s="14">
        <v>5.886E-4</v>
      </c>
      <c r="C269" s="15">
        <v>1.8420000000000001E-4</v>
      </c>
      <c r="F269" s="28">
        <v>2.44</v>
      </c>
      <c r="G269" s="29">
        <f t="shared" si="12"/>
        <v>57.44</v>
      </c>
      <c r="H269" s="29">
        <f t="shared" si="13"/>
        <v>52.44</v>
      </c>
      <c r="I269" s="38">
        <f t="shared" si="14"/>
        <v>5.6325999999999998E-3</v>
      </c>
      <c r="J269" s="38">
        <f t="shared" si="15"/>
        <v>2.2805600000000001E-3</v>
      </c>
      <c r="K269" s="32">
        <f>K268+StepSize*L268</f>
        <v>914.37034440228501</v>
      </c>
      <c r="L269" s="33">
        <f>K269*Delta+I269*K269-J269*(DeathPayment-K269)</f>
        <v>-40.664572929525832</v>
      </c>
    </row>
    <row r="270" spans="1:12" x14ac:dyDescent="0.45">
      <c r="A270" s="11">
        <v>19.41</v>
      </c>
      <c r="B270" s="14">
        <v>5.8854000000000003E-4</v>
      </c>
      <c r="C270" s="15">
        <v>1.8427999999999999E-4</v>
      </c>
      <c r="F270" s="28">
        <v>2.4500000000000002</v>
      </c>
      <c r="G270" s="29">
        <f t="shared" si="12"/>
        <v>57.45</v>
      </c>
      <c r="H270" s="29">
        <f t="shared" si="13"/>
        <v>52.45</v>
      </c>
      <c r="I270" s="38">
        <f t="shared" si="14"/>
        <v>5.6392500000000002E-3</v>
      </c>
      <c r="J270" s="38">
        <f t="shared" si="15"/>
        <v>2.2828000000000002E-3</v>
      </c>
      <c r="K270" s="32">
        <f>K269+StepSize*L269</f>
        <v>913.96369867298972</v>
      </c>
      <c r="L270" s="33">
        <f>K270*Delta+I270*K270-J270*(DeathPayment-K270)</f>
        <v>-40.801074533135022</v>
      </c>
    </row>
    <row r="271" spans="1:12" x14ac:dyDescent="0.45">
      <c r="A271" s="11">
        <v>19.420000000000002</v>
      </c>
      <c r="B271" s="14">
        <v>5.8847999999999995E-4</v>
      </c>
      <c r="C271" s="15">
        <v>1.8436E-4</v>
      </c>
      <c r="F271" s="28">
        <v>2.46</v>
      </c>
      <c r="G271" s="29">
        <f t="shared" si="12"/>
        <v>57.46</v>
      </c>
      <c r="H271" s="29">
        <f t="shared" si="13"/>
        <v>52.46</v>
      </c>
      <c r="I271" s="38">
        <f t="shared" si="14"/>
        <v>5.6458999999999997E-3</v>
      </c>
      <c r="J271" s="38">
        <f t="shared" si="15"/>
        <v>2.2850399999999999E-3</v>
      </c>
      <c r="K271" s="32">
        <f>K270+StepSize*L270</f>
        <v>913.55568792765837</v>
      </c>
      <c r="L271" s="33">
        <f>K271*Delta+I271*K271-J271*(DeathPayment-K271)</f>
        <v>-40.937692911628332</v>
      </c>
    </row>
    <row r="272" spans="1:12" x14ac:dyDescent="0.45">
      <c r="A272" s="11">
        <v>19.43</v>
      </c>
      <c r="B272" s="14">
        <v>5.8841999999999998E-4</v>
      </c>
      <c r="C272" s="15">
        <v>1.8443999999999999E-4</v>
      </c>
      <c r="F272" s="28">
        <v>2.4700000000000002</v>
      </c>
      <c r="G272" s="29">
        <f t="shared" si="12"/>
        <v>57.47</v>
      </c>
      <c r="H272" s="29">
        <f t="shared" si="13"/>
        <v>52.47</v>
      </c>
      <c r="I272" s="38">
        <f t="shared" si="14"/>
        <v>5.6525500000000001E-3</v>
      </c>
      <c r="J272" s="38">
        <f t="shared" si="15"/>
        <v>2.28728E-3</v>
      </c>
      <c r="K272" s="32">
        <f>K271+StepSize*L271</f>
        <v>913.14631099854205</v>
      </c>
      <c r="L272" s="33">
        <f>K272*Delta+I272*K272-J272*(DeathPayment-K272)</f>
        <v>-41.0744281951349</v>
      </c>
    </row>
    <row r="273" spans="1:12" x14ac:dyDescent="0.45">
      <c r="A273" s="11">
        <v>19.440000000000001</v>
      </c>
      <c r="B273" s="14">
        <v>5.8836000000000001E-4</v>
      </c>
      <c r="C273" s="15">
        <v>1.8452E-4</v>
      </c>
      <c r="F273" s="28">
        <v>2.48</v>
      </c>
      <c r="G273" s="29">
        <f t="shared" si="12"/>
        <v>57.48</v>
      </c>
      <c r="H273" s="29">
        <f t="shared" si="13"/>
        <v>52.48</v>
      </c>
      <c r="I273" s="38">
        <f t="shared" si="14"/>
        <v>5.6591999999999996E-3</v>
      </c>
      <c r="J273" s="38">
        <f t="shared" si="15"/>
        <v>2.2895200000000002E-3</v>
      </c>
      <c r="K273" s="32">
        <f>K272+StepSize*L272</f>
        <v>912.73556671659071</v>
      </c>
      <c r="L273" s="33">
        <f>K273*Delta+I273*K273-J273*(DeathPayment-K273)</f>
        <v>-41.211280513929736</v>
      </c>
    </row>
    <row r="274" spans="1:12" x14ac:dyDescent="0.45">
      <c r="A274" s="11">
        <v>19.45</v>
      </c>
      <c r="B274" s="14">
        <v>5.8830000000000004E-4</v>
      </c>
      <c r="C274" s="15">
        <v>1.8459999999999999E-4</v>
      </c>
      <c r="F274" s="28">
        <v>2.4900000000000002</v>
      </c>
      <c r="G274" s="29">
        <f t="shared" si="12"/>
        <v>57.49</v>
      </c>
      <c r="H274" s="29">
        <f t="shared" si="13"/>
        <v>52.49</v>
      </c>
      <c r="I274" s="38">
        <f t="shared" si="14"/>
        <v>5.6658500000000001E-3</v>
      </c>
      <c r="J274" s="38">
        <f t="shared" si="15"/>
        <v>2.2917599999999999E-3</v>
      </c>
      <c r="K274" s="32">
        <f>K273+StepSize*L273</f>
        <v>912.32345391145145</v>
      </c>
      <c r="L274" s="33">
        <f>K274*Delta+I274*K274-J274*(DeathPayment-K274)</f>
        <v>-41.348249998434028</v>
      </c>
    </row>
    <row r="275" spans="1:12" x14ac:dyDescent="0.45">
      <c r="A275" s="11">
        <v>19.46</v>
      </c>
      <c r="B275" s="14">
        <v>5.8823999999999997E-4</v>
      </c>
      <c r="C275" s="15">
        <v>1.8468E-4</v>
      </c>
      <c r="F275" s="28">
        <v>2.5</v>
      </c>
      <c r="G275" s="29">
        <f t="shared" si="12"/>
        <v>57.5</v>
      </c>
      <c r="H275" s="29">
        <f t="shared" si="13"/>
        <v>52.5</v>
      </c>
      <c r="I275" s="38">
        <f t="shared" si="14"/>
        <v>5.6724999999999996E-3</v>
      </c>
      <c r="J275" s="38">
        <f t="shared" si="15"/>
        <v>2.294E-3</v>
      </c>
      <c r="K275" s="32">
        <f>K274+StepSize*L274</f>
        <v>911.90997141146715</v>
      </c>
      <c r="L275" s="33">
        <f>K275*Delta+I275*K275-J275*(DeathPayment-K275)</f>
        <v>-41.485336779215345</v>
      </c>
    </row>
    <row r="276" spans="1:12" x14ac:dyDescent="0.45">
      <c r="A276" s="11">
        <v>19.47</v>
      </c>
      <c r="B276" s="14">
        <v>5.8818E-4</v>
      </c>
      <c r="C276" s="15">
        <v>1.8476000000000001E-4</v>
      </c>
      <c r="F276" s="28">
        <v>2.5099999999999998</v>
      </c>
      <c r="G276" s="29">
        <f t="shared" si="12"/>
        <v>57.51</v>
      </c>
      <c r="H276" s="29">
        <f t="shared" si="13"/>
        <v>52.51</v>
      </c>
      <c r="I276" s="38">
        <f t="shared" si="14"/>
        <v>5.67915E-3</v>
      </c>
      <c r="J276" s="38">
        <f t="shared" si="15"/>
        <v>2.2962400000000002E-3</v>
      </c>
      <c r="K276" s="32">
        <f>K275+StepSize*L275</f>
        <v>911.49511804367501</v>
      </c>
      <c r="L276" s="33">
        <f>K276*Delta+I276*K276-J276*(DeathPayment-K276)</f>
        <v>-41.622540986987715</v>
      </c>
    </row>
    <row r="277" spans="1:12" x14ac:dyDescent="0.45">
      <c r="A277" s="11">
        <v>19.48</v>
      </c>
      <c r="B277" s="14">
        <v>5.8812000000000003E-4</v>
      </c>
      <c r="C277" s="15">
        <v>1.8484E-4</v>
      </c>
      <c r="F277" s="28">
        <v>2.52</v>
      </c>
      <c r="G277" s="29">
        <f t="shared" si="12"/>
        <v>57.52</v>
      </c>
      <c r="H277" s="29">
        <f t="shared" si="13"/>
        <v>52.52</v>
      </c>
      <c r="I277" s="38">
        <f t="shared" si="14"/>
        <v>5.6858000000000004E-3</v>
      </c>
      <c r="J277" s="38">
        <f t="shared" si="15"/>
        <v>2.2984799999999999E-3</v>
      </c>
      <c r="K277" s="32">
        <f>K276+StepSize*L276</f>
        <v>911.07889263380514</v>
      </c>
      <c r="L277" s="33">
        <f>K277*Delta+I277*K277-J277*(DeathPayment-K277)</f>
        <v>-41.759862752611852</v>
      </c>
    </row>
    <row r="278" spans="1:12" x14ac:dyDescent="0.45">
      <c r="A278" s="11">
        <v>19.489999999999998</v>
      </c>
      <c r="B278" s="14">
        <v>5.8805999999999995E-4</v>
      </c>
      <c r="C278" s="15">
        <v>1.8492000000000001E-4</v>
      </c>
      <c r="F278" s="28">
        <v>2.5299999999999998</v>
      </c>
      <c r="G278" s="29">
        <f t="shared" si="12"/>
        <v>57.53</v>
      </c>
      <c r="H278" s="29">
        <f t="shared" si="13"/>
        <v>52.53</v>
      </c>
      <c r="I278" s="38">
        <f t="shared" si="14"/>
        <v>5.6924499999999999E-3</v>
      </c>
      <c r="J278" s="38">
        <f t="shared" si="15"/>
        <v>2.30072E-3</v>
      </c>
      <c r="K278" s="32">
        <f>K277+StepSize*L277</f>
        <v>910.66129400627904</v>
      </c>
      <c r="L278" s="33">
        <f>K278*Delta+I278*K278-J278*(DeathPayment-K278)</f>
        <v>-41.89730220709535</v>
      </c>
    </row>
    <row r="279" spans="1:12" x14ac:dyDescent="0.45">
      <c r="A279" s="11">
        <v>19.5</v>
      </c>
      <c r="B279" s="14">
        <v>5.8799999999999998E-4</v>
      </c>
      <c r="C279" s="15">
        <v>1.85E-4</v>
      </c>
      <c r="F279" s="28">
        <v>2.54</v>
      </c>
      <c r="G279" s="29">
        <f t="shared" si="12"/>
        <v>57.54</v>
      </c>
      <c r="H279" s="29">
        <f t="shared" si="13"/>
        <v>52.54</v>
      </c>
      <c r="I279" s="38">
        <f t="shared" si="14"/>
        <v>5.6991000000000003E-3</v>
      </c>
      <c r="J279" s="38">
        <f t="shared" si="15"/>
        <v>2.3029600000000002E-3</v>
      </c>
      <c r="K279" s="32">
        <f>K278+StepSize*L278</f>
        <v>910.24232098420805</v>
      </c>
      <c r="L279" s="33">
        <f>K279*Delta+I279*K279-J279*(DeathPayment-K279)</f>
        <v>-42.034859481592846</v>
      </c>
    </row>
    <row r="280" spans="1:12" x14ac:dyDescent="0.45">
      <c r="A280" s="11">
        <v>19.510000000000002</v>
      </c>
      <c r="B280" s="14">
        <v>5.8794000000000001E-4</v>
      </c>
      <c r="C280" s="15">
        <v>1.8508000000000001E-4</v>
      </c>
      <c r="F280" s="28">
        <v>2.5499999999999998</v>
      </c>
      <c r="G280" s="29">
        <f t="shared" si="12"/>
        <v>57.55</v>
      </c>
      <c r="H280" s="29">
        <f t="shared" si="13"/>
        <v>52.55</v>
      </c>
      <c r="I280" s="38">
        <f t="shared" si="14"/>
        <v>5.7057499999999999E-3</v>
      </c>
      <c r="J280" s="38">
        <f t="shared" si="15"/>
        <v>2.3051999999999999E-3</v>
      </c>
      <c r="K280" s="32">
        <f>K279+StepSize*L279</f>
        <v>909.82197238939216</v>
      </c>
      <c r="L280" s="33">
        <f>K280*Delta+I280*K280-J280*(DeathPayment-K280)</f>
        <v>-42.172534707406072</v>
      </c>
    </row>
    <row r="281" spans="1:12" x14ac:dyDescent="0.45">
      <c r="A281" s="11">
        <v>19.52</v>
      </c>
      <c r="B281" s="14">
        <v>5.8788000000000004E-4</v>
      </c>
      <c r="C281" s="15">
        <v>1.8516E-4</v>
      </c>
      <c r="F281" s="28">
        <v>2.56</v>
      </c>
      <c r="G281" s="29">
        <f t="shared" ref="G281:G344" si="16">ROUND(MaleAgeStart+F281,2)</f>
        <v>57.56</v>
      </c>
      <c r="H281" s="29">
        <f t="shared" ref="H281:H344" si="17">ROUND(FemaleAgeStart+F281,2)</f>
        <v>52.56</v>
      </c>
      <c r="I281" s="38">
        <f t="shared" ref="I281:I344" si="18">VLOOKUP(G281,muValues,2,FALSE)</f>
        <v>5.7124000000000003E-3</v>
      </c>
      <c r="J281" s="38">
        <f t="shared" ref="J281:J344" si="19">VLOOKUP(H281,muValues,3,FALSE)</f>
        <v>2.30744E-3</v>
      </c>
      <c r="K281" s="32">
        <f>K280+StepSize*L280</f>
        <v>909.40024704231814</v>
      </c>
      <c r="L281" s="33">
        <f>K281*Delta+I281*K281-J281*(DeathPayment-K281)</f>
        <v>-42.310328015984311</v>
      </c>
    </row>
    <row r="282" spans="1:12" x14ac:dyDescent="0.45">
      <c r="A282" s="11">
        <v>19.53</v>
      </c>
      <c r="B282" s="14">
        <v>5.8781999999999997E-4</v>
      </c>
      <c r="C282" s="15">
        <v>1.8524000000000001E-4</v>
      </c>
      <c r="F282" s="28">
        <v>2.57</v>
      </c>
      <c r="G282" s="29">
        <f t="shared" si="16"/>
        <v>57.57</v>
      </c>
      <c r="H282" s="29">
        <f t="shared" si="17"/>
        <v>52.57</v>
      </c>
      <c r="I282" s="38">
        <f t="shared" si="18"/>
        <v>5.7190499999999998E-3</v>
      </c>
      <c r="J282" s="38">
        <f t="shared" si="19"/>
        <v>2.3096800000000002E-3</v>
      </c>
      <c r="K282" s="32">
        <f>K281+StepSize*L281</f>
        <v>908.97714376215833</v>
      </c>
      <c r="L282" s="33">
        <f>K282*Delta+I282*K282-J282*(DeathPayment-K282)</f>
        <v>-42.448239538924284</v>
      </c>
    </row>
    <row r="283" spans="1:12" x14ac:dyDescent="0.45">
      <c r="A283" s="11">
        <v>19.54</v>
      </c>
      <c r="B283" s="14">
        <v>5.8776E-4</v>
      </c>
      <c r="C283" s="15">
        <v>1.8531999999999999E-4</v>
      </c>
      <c r="F283" s="28">
        <v>2.58</v>
      </c>
      <c r="G283" s="29">
        <f t="shared" si="16"/>
        <v>57.58</v>
      </c>
      <c r="H283" s="29">
        <f t="shared" si="17"/>
        <v>52.58</v>
      </c>
      <c r="I283" s="38">
        <f t="shared" si="18"/>
        <v>5.7257000000000002E-3</v>
      </c>
      <c r="J283" s="38">
        <f t="shared" si="19"/>
        <v>2.3119199999999999E-3</v>
      </c>
      <c r="K283" s="32">
        <f>K282+StepSize*L282</f>
        <v>908.55266136676914</v>
      </c>
      <c r="L283" s="33">
        <f>K283*Delta+I283*K283-J283*(DeathPayment-K283)</f>
        <v>-42.586269407970491</v>
      </c>
    </row>
    <row r="284" spans="1:12" x14ac:dyDescent="0.45">
      <c r="A284" s="11">
        <v>19.55</v>
      </c>
      <c r="B284" s="14">
        <v>5.8770000000000003E-4</v>
      </c>
      <c r="C284" s="15">
        <v>1.8540000000000001E-4</v>
      </c>
      <c r="F284" s="28">
        <v>2.59</v>
      </c>
      <c r="G284" s="29">
        <f t="shared" si="16"/>
        <v>57.59</v>
      </c>
      <c r="H284" s="29">
        <f t="shared" si="17"/>
        <v>52.59</v>
      </c>
      <c r="I284" s="38">
        <f t="shared" si="18"/>
        <v>5.7323499999999998E-3</v>
      </c>
      <c r="J284" s="38">
        <f t="shared" si="19"/>
        <v>2.31416E-3</v>
      </c>
      <c r="K284" s="32">
        <f>K283+StepSize*L283</f>
        <v>908.12679867268946</v>
      </c>
      <c r="L284" s="33">
        <f>K284*Delta+I284*K284-J284*(DeathPayment-K284)</f>
        <v>-42.724417755015423</v>
      </c>
    </row>
    <row r="285" spans="1:12" x14ac:dyDescent="0.45">
      <c r="A285" s="11">
        <v>19.559999999999999</v>
      </c>
      <c r="B285" s="14">
        <v>5.8763999999999995E-4</v>
      </c>
      <c r="C285" s="15">
        <v>1.8547999999999999E-4</v>
      </c>
      <c r="F285" s="28">
        <v>2.6</v>
      </c>
      <c r="G285" s="29">
        <f t="shared" si="16"/>
        <v>57.6</v>
      </c>
      <c r="H285" s="29">
        <f t="shared" si="17"/>
        <v>52.6</v>
      </c>
      <c r="I285" s="38">
        <f t="shared" si="18"/>
        <v>5.7390000000000002E-3</v>
      </c>
      <c r="J285" s="38">
        <f t="shared" si="19"/>
        <v>2.3164000000000001E-3</v>
      </c>
      <c r="K285" s="32">
        <f>K284+StepSize*L284</f>
        <v>907.6995544951393</v>
      </c>
      <c r="L285" s="33">
        <f>K285*Delta+I285*K285-J285*(DeathPayment-K285)</f>
        <v>-42.862684712099536</v>
      </c>
    </row>
    <row r="286" spans="1:12" x14ac:dyDescent="0.45">
      <c r="A286" s="11">
        <v>19.57</v>
      </c>
      <c r="B286" s="14">
        <v>5.8757999999999998E-4</v>
      </c>
      <c r="C286" s="15">
        <v>1.8556000000000001E-4</v>
      </c>
      <c r="F286" s="28">
        <v>2.61</v>
      </c>
      <c r="G286" s="29">
        <f t="shared" si="16"/>
        <v>57.61</v>
      </c>
      <c r="H286" s="29">
        <f t="shared" si="17"/>
        <v>52.61</v>
      </c>
      <c r="I286" s="38">
        <f t="shared" si="18"/>
        <v>5.7456499999999997E-3</v>
      </c>
      <c r="J286" s="38">
        <f t="shared" si="19"/>
        <v>2.3186399999999999E-3</v>
      </c>
      <c r="K286" s="32">
        <f>K285+StepSize*L285</f>
        <v>907.2709276480183</v>
      </c>
      <c r="L286" s="33">
        <f>K286*Delta+I286*K286-J286*(DeathPayment-K286)</f>
        <v>-43.001070411411618</v>
      </c>
    </row>
    <row r="287" spans="1:12" x14ac:dyDescent="0.45">
      <c r="A287" s="11">
        <v>19.579999999999998</v>
      </c>
      <c r="B287" s="14">
        <v>5.8752000000000001E-4</v>
      </c>
      <c r="C287" s="15">
        <v>1.8563999999999999E-4</v>
      </c>
      <c r="F287" s="28">
        <v>2.62</v>
      </c>
      <c r="G287" s="29">
        <f t="shared" si="16"/>
        <v>57.62</v>
      </c>
      <c r="H287" s="29">
        <f t="shared" si="17"/>
        <v>52.62</v>
      </c>
      <c r="I287" s="38">
        <f t="shared" si="18"/>
        <v>5.7523000000000001E-3</v>
      </c>
      <c r="J287" s="38">
        <f t="shared" si="19"/>
        <v>2.32088E-3</v>
      </c>
      <c r="K287" s="32">
        <f>K286+StepSize*L286</f>
        <v>906.84091694390418</v>
      </c>
      <c r="L287" s="33">
        <f>K287*Delta+I287*K287-J287*(DeathPayment-K287)</f>
        <v>-43.139574985288917</v>
      </c>
    </row>
    <row r="288" spans="1:12" x14ac:dyDescent="0.45">
      <c r="A288" s="11">
        <v>19.59</v>
      </c>
      <c r="B288" s="14">
        <v>5.8746000000000004E-4</v>
      </c>
      <c r="C288" s="15">
        <v>1.8572E-4</v>
      </c>
      <c r="F288" s="28">
        <v>2.63</v>
      </c>
      <c r="G288" s="29">
        <f t="shared" si="16"/>
        <v>57.63</v>
      </c>
      <c r="H288" s="29">
        <f t="shared" si="17"/>
        <v>52.63</v>
      </c>
      <c r="I288" s="38">
        <f t="shared" si="18"/>
        <v>5.7589499999999997E-3</v>
      </c>
      <c r="J288" s="38">
        <f t="shared" si="19"/>
        <v>2.3231200000000001E-3</v>
      </c>
      <c r="K288" s="32">
        <f>K287+StepSize*L287</f>
        <v>906.40952119405131</v>
      </c>
      <c r="L288" s="33">
        <f>K288*Delta+I288*K288-J288*(DeathPayment-K288)</f>
        <v>-43.278198566217299</v>
      </c>
    </row>
    <row r="289" spans="1:12" x14ac:dyDescent="0.45">
      <c r="A289" s="11">
        <v>19.600000000000001</v>
      </c>
      <c r="B289" s="14">
        <v>5.8739999999999997E-4</v>
      </c>
      <c r="C289" s="15">
        <v>1.8579999999999999E-4</v>
      </c>
      <c r="F289" s="28">
        <v>2.64</v>
      </c>
      <c r="G289" s="29">
        <f t="shared" si="16"/>
        <v>57.64</v>
      </c>
      <c r="H289" s="29">
        <f t="shared" si="17"/>
        <v>52.64</v>
      </c>
      <c r="I289" s="38">
        <f t="shared" si="18"/>
        <v>5.7656000000000001E-3</v>
      </c>
      <c r="J289" s="38">
        <f t="shared" si="19"/>
        <v>2.3253599999999998E-3</v>
      </c>
      <c r="K289" s="32">
        <f>K288+StepSize*L288</f>
        <v>905.97673920838918</v>
      </c>
      <c r="L289" s="33">
        <f>K289*Delta+I289*K289-J289*(DeathPayment-K289)</f>
        <v>-43.416941286831417</v>
      </c>
    </row>
    <row r="290" spans="1:12" x14ac:dyDescent="0.45">
      <c r="A290" s="11">
        <v>19.61</v>
      </c>
      <c r="B290" s="14">
        <v>5.8734E-4</v>
      </c>
      <c r="C290" s="15">
        <v>1.8588E-4</v>
      </c>
      <c r="F290" s="28">
        <v>2.65</v>
      </c>
      <c r="G290" s="29">
        <f t="shared" si="16"/>
        <v>57.65</v>
      </c>
      <c r="H290" s="29">
        <f t="shared" si="17"/>
        <v>52.65</v>
      </c>
      <c r="I290" s="38">
        <f t="shared" si="18"/>
        <v>5.7722499999999996E-3</v>
      </c>
      <c r="J290" s="38">
        <f t="shared" si="19"/>
        <v>2.3276E-3</v>
      </c>
      <c r="K290" s="32">
        <f>K289+StepSize*L289</f>
        <v>905.54256979552088</v>
      </c>
      <c r="L290" s="33">
        <f>K290*Delta+I290*K290-J290*(DeathPayment-K290)</f>
        <v>-43.555803279914954</v>
      </c>
    </row>
    <row r="291" spans="1:12" x14ac:dyDescent="0.45">
      <c r="A291" s="11">
        <v>19.62</v>
      </c>
      <c r="B291" s="14">
        <v>5.8728000000000003E-4</v>
      </c>
      <c r="C291" s="15">
        <v>1.8595999999999999E-4</v>
      </c>
      <c r="F291" s="28">
        <v>2.66</v>
      </c>
      <c r="G291" s="29">
        <f t="shared" si="16"/>
        <v>57.66</v>
      </c>
      <c r="H291" s="29">
        <f t="shared" si="17"/>
        <v>52.66</v>
      </c>
      <c r="I291" s="38">
        <f t="shared" si="18"/>
        <v>5.7789E-3</v>
      </c>
      <c r="J291" s="38">
        <f t="shared" si="19"/>
        <v>2.3298400000000001E-3</v>
      </c>
      <c r="K291" s="32">
        <f>K290+StepSize*L290</f>
        <v>905.10701176272175</v>
      </c>
      <c r="L291" s="33">
        <f>K291*Delta+I291*K291-J291*(DeathPayment-K291)</f>
        <v>-43.694784678400708</v>
      </c>
    </row>
    <row r="292" spans="1:12" x14ac:dyDescent="0.45">
      <c r="A292" s="11">
        <v>19.63</v>
      </c>
      <c r="B292" s="14">
        <v>5.8721999999999995E-4</v>
      </c>
      <c r="C292" s="15">
        <v>1.8604E-4</v>
      </c>
      <c r="F292" s="28">
        <v>2.67</v>
      </c>
      <c r="G292" s="29">
        <f t="shared" si="16"/>
        <v>57.67</v>
      </c>
      <c r="H292" s="29">
        <f t="shared" si="17"/>
        <v>52.67</v>
      </c>
      <c r="I292" s="38">
        <f t="shared" si="18"/>
        <v>5.7855500000000004E-3</v>
      </c>
      <c r="J292" s="38">
        <f t="shared" si="19"/>
        <v>2.3320799999999998E-3</v>
      </c>
      <c r="K292" s="32">
        <f>K291+StepSize*L291</f>
        <v>904.6700639159377</v>
      </c>
      <c r="L292" s="33">
        <f>K292*Delta+I292*K292-J292*(DeathPayment-K292)</f>
        <v>-43.833885615370832</v>
      </c>
    </row>
    <row r="293" spans="1:12" x14ac:dyDescent="0.45">
      <c r="A293" s="11">
        <v>19.64</v>
      </c>
      <c r="B293" s="14">
        <v>5.8715999999999998E-4</v>
      </c>
      <c r="C293" s="15">
        <v>1.8611999999999999E-4</v>
      </c>
      <c r="F293" s="28">
        <v>2.68</v>
      </c>
      <c r="G293" s="29">
        <f t="shared" si="16"/>
        <v>57.68</v>
      </c>
      <c r="H293" s="29">
        <f t="shared" si="17"/>
        <v>52.68</v>
      </c>
      <c r="I293" s="38">
        <f t="shared" si="18"/>
        <v>5.7922E-3</v>
      </c>
      <c r="J293" s="38">
        <f t="shared" si="19"/>
        <v>2.33432E-3</v>
      </c>
      <c r="K293" s="32">
        <f>K292+StepSize*L292</f>
        <v>904.23172505978403</v>
      </c>
      <c r="L293" s="33">
        <f>K293*Delta+I293*K293-J293*(DeathPayment-K293)</f>
        <v>-43.973106224057034</v>
      </c>
    </row>
    <row r="294" spans="1:12" x14ac:dyDescent="0.45">
      <c r="A294" s="11">
        <v>19.649999999999999</v>
      </c>
      <c r="B294" s="14">
        <v>5.8710000000000001E-4</v>
      </c>
      <c r="C294" s="15">
        <v>1.862E-4</v>
      </c>
      <c r="F294" s="28">
        <v>2.69</v>
      </c>
      <c r="G294" s="29">
        <f t="shared" si="16"/>
        <v>57.69</v>
      </c>
      <c r="H294" s="29">
        <f t="shared" si="17"/>
        <v>52.69</v>
      </c>
      <c r="I294" s="38">
        <f t="shared" si="18"/>
        <v>5.7988500000000004E-3</v>
      </c>
      <c r="J294" s="38">
        <f t="shared" si="19"/>
        <v>2.3365600000000001E-3</v>
      </c>
      <c r="K294" s="32">
        <f>K293+StepSize*L293</f>
        <v>903.7919939975435</v>
      </c>
      <c r="L294" s="33">
        <f>K294*Delta+I294*K294-J294*(DeathPayment-K294)</f>
        <v>-44.112446637840677</v>
      </c>
    </row>
    <row r="295" spans="1:12" x14ac:dyDescent="0.45">
      <c r="A295" s="11">
        <v>19.66</v>
      </c>
      <c r="B295" s="14">
        <v>5.8704000000000004E-4</v>
      </c>
      <c r="C295" s="15">
        <v>1.8628000000000001E-4</v>
      </c>
      <c r="F295" s="28">
        <v>2.7</v>
      </c>
      <c r="G295" s="29">
        <f t="shared" si="16"/>
        <v>57.7</v>
      </c>
      <c r="H295" s="29">
        <f t="shared" si="17"/>
        <v>52.7</v>
      </c>
      <c r="I295" s="38">
        <f t="shared" si="18"/>
        <v>5.8054999999999999E-3</v>
      </c>
      <c r="J295" s="38">
        <f t="shared" si="19"/>
        <v>2.3387999999999998E-3</v>
      </c>
      <c r="K295" s="32">
        <f>K294+StepSize*L294</f>
        <v>903.35086953116513</v>
      </c>
      <c r="L295" s="33">
        <f>K295*Delta+I295*K295-J295*(DeathPayment-K295)</f>
        <v>-44.251906990252976</v>
      </c>
    </row>
    <row r="296" spans="1:12" x14ac:dyDescent="0.45">
      <c r="A296" s="11">
        <v>19.670000000000002</v>
      </c>
      <c r="B296" s="14">
        <v>5.8697999999999997E-4</v>
      </c>
      <c r="C296" s="15">
        <v>1.8636E-4</v>
      </c>
      <c r="F296" s="28">
        <v>2.71</v>
      </c>
      <c r="G296" s="29">
        <f t="shared" si="16"/>
        <v>57.71</v>
      </c>
      <c r="H296" s="29">
        <f t="shared" si="17"/>
        <v>52.71</v>
      </c>
      <c r="I296" s="38">
        <f t="shared" si="18"/>
        <v>5.8121500000000003E-3</v>
      </c>
      <c r="J296" s="38">
        <f t="shared" si="19"/>
        <v>2.34104E-3</v>
      </c>
      <c r="K296" s="32">
        <f>K295+StepSize*L295</f>
        <v>902.90835046126256</v>
      </c>
      <c r="L296" s="33">
        <f>K296*Delta+I296*K296-J296*(DeathPayment-K296)</f>
        <v>-44.391487414975344</v>
      </c>
    </row>
    <row r="297" spans="1:12" x14ac:dyDescent="0.45">
      <c r="A297" s="11">
        <v>19.68</v>
      </c>
      <c r="B297" s="14">
        <v>5.8692E-4</v>
      </c>
      <c r="C297" s="15">
        <v>1.8644000000000001E-4</v>
      </c>
      <c r="F297" s="28">
        <v>2.72</v>
      </c>
      <c r="G297" s="29">
        <f t="shared" si="16"/>
        <v>57.72</v>
      </c>
      <c r="H297" s="29">
        <f t="shared" si="17"/>
        <v>52.72</v>
      </c>
      <c r="I297" s="38">
        <f t="shared" si="18"/>
        <v>5.8187999999999998E-3</v>
      </c>
      <c r="J297" s="38">
        <f t="shared" si="19"/>
        <v>2.3432800000000001E-3</v>
      </c>
      <c r="K297" s="32">
        <f>K296+StepSize*L296</f>
        <v>902.4644355871128</v>
      </c>
      <c r="L297" s="33">
        <f>K297*Delta+I297*K297-J297*(DeathPayment-K297)</f>
        <v>-44.531188045839301</v>
      </c>
    </row>
    <row r="298" spans="1:12" x14ac:dyDescent="0.45">
      <c r="A298" s="11">
        <v>19.690000000000001</v>
      </c>
      <c r="B298" s="14">
        <v>5.8686000000000003E-4</v>
      </c>
      <c r="C298" s="15">
        <v>1.8652E-4</v>
      </c>
      <c r="F298" s="28">
        <v>2.73</v>
      </c>
      <c r="G298" s="29">
        <f t="shared" si="16"/>
        <v>57.73</v>
      </c>
      <c r="H298" s="29">
        <f t="shared" si="17"/>
        <v>52.73</v>
      </c>
      <c r="I298" s="38">
        <f t="shared" si="18"/>
        <v>5.8254500000000002E-3</v>
      </c>
      <c r="J298" s="38">
        <f t="shared" si="19"/>
        <v>2.3455199999999998E-3</v>
      </c>
      <c r="K298" s="32">
        <f>K297+StepSize*L297</f>
        <v>902.01912370665445</v>
      </c>
      <c r="L298" s="33">
        <f>K298*Delta+I298*K298-J298*(DeathPayment-K298)</f>
        <v>-44.671009016826815</v>
      </c>
    </row>
    <row r="299" spans="1:12" x14ac:dyDescent="0.45">
      <c r="A299" s="11">
        <v>19.7</v>
      </c>
      <c r="B299" s="14">
        <v>5.8679999999999995E-4</v>
      </c>
      <c r="C299" s="15">
        <v>1.8660000000000001E-4</v>
      </c>
      <c r="F299" s="28">
        <v>2.74</v>
      </c>
      <c r="G299" s="29">
        <f t="shared" si="16"/>
        <v>57.74</v>
      </c>
      <c r="H299" s="29">
        <f t="shared" si="17"/>
        <v>52.74</v>
      </c>
      <c r="I299" s="38">
        <f t="shared" si="18"/>
        <v>5.8320999999999998E-3</v>
      </c>
      <c r="J299" s="38">
        <f t="shared" si="19"/>
        <v>2.34776E-3</v>
      </c>
      <c r="K299" s="32">
        <f>K298+StepSize*L298</f>
        <v>901.57241361648619</v>
      </c>
      <c r="L299" s="33">
        <f>K299*Delta+I299*K299-J299*(DeathPayment-K299)</f>
        <v>-44.81095046207048</v>
      </c>
    </row>
    <row r="300" spans="1:12" x14ac:dyDescent="0.45">
      <c r="A300" s="11">
        <v>19.71</v>
      </c>
      <c r="B300" s="14">
        <v>5.8673999999999998E-4</v>
      </c>
      <c r="C300" s="15">
        <v>1.8667999999999999E-4</v>
      </c>
      <c r="F300" s="28">
        <v>2.75</v>
      </c>
      <c r="G300" s="29">
        <f t="shared" si="16"/>
        <v>57.75</v>
      </c>
      <c r="H300" s="29">
        <f t="shared" si="17"/>
        <v>52.75</v>
      </c>
      <c r="I300" s="38">
        <f t="shared" si="18"/>
        <v>5.8387500000000002E-3</v>
      </c>
      <c r="J300" s="38">
        <f t="shared" si="19"/>
        <v>2.3500000000000001E-3</v>
      </c>
      <c r="K300" s="32">
        <f>K299+StepSize*L299</f>
        <v>901.12430411186551</v>
      </c>
      <c r="L300" s="33">
        <f>K300*Delta+I300*K300-J300*(DeathPayment-K300)</f>
        <v>-44.951012515853677</v>
      </c>
    </row>
    <row r="301" spans="1:12" x14ac:dyDescent="0.45">
      <c r="A301" s="11">
        <v>19.72</v>
      </c>
      <c r="B301" s="14">
        <v>5.8668000000000001E-4</v>
      </c>
      <c r="C301" s="15">
        <v>1.8676000000000001E-4</v>
      </c>
      <c r="F301" s="28">
        <v>2.76</v>
      </c>
      <c r="G301" s="29">
        <f t="shared" si="16"/>
        <v>57.76</v>
      </c>
      <c r="H301" s="29">
        <f t="shared" si="17"/>
        <v>52.76</v>
      </c>
      <c r="I301" s="38">
        <f t="shared" si="18"/>
        <v>5.8453999999999997E-3</v>
      </c>
      <c r="J301" s="38">
        <f t="shared" si="19"/>
        <v>2.3522399999999998E-3</v>
      </c>
      <c r="K301" s="32">
        <f>K300+StepSize*L300</f>
        <v>900.67479398670696</v>
      </c>
      <c r="L301" s="33">
        <f>K301*Delta+I301*K301-J301*(DeathPayment-K301)</f>
        <v>-45.091195312610736</v>
      </c>
    </row>
    <row r="302" spans="1:12" x14ac:dyDescent="0.45">
      <c r="A302" s="11">
        <v>19.73</v>
      </c>
      <c r="B302" s="14">
        <v>5.8662000000000005E-4</v>
      </c>
      <c r="C302" s="15">
        <v>1.8683999999999999E-4</v>
      </c>
      <c r="F302" s="28">
        <v>2.77</v>
      </c>
      <c r="G302" s="29">
        <f t="shared" si="16"/>
        <v>57.77</v>
      </c>
      <c r="H302" s="29">
        <f t="shared" si="17"/>
        <v>52.77</v>
      </c>
      <c r="I302" s="38">
        <f t="shared" si="18"/>
        <v>5.8520500000000001E-3</v>
      </c>
      <c r="J302" s="38">
        <f t="shared" si="19"/>
        <v>2.3544799999999999E-3</v>
      </c>
      <c r="K302" s="32">
        <f>K301+StepSize*L301</f>
        <v>900.22388203358082</v>
      </c>
      <c r="L302" s="33">
        <f>K302*Delta+I302*K302-J302*(DeathPayment-K302)</f>
        <v>-45.231498986927122</v>
      </c>
    </row>
    <row r="303" spans="1:12" x14ac:dyDescent="0.45">
      <c r="A303" s="11">
        <v>19.739999999999998</v>
      </c>
      <c r="B303" s="14">
        <v>5.8655999999999997E-4</v>
      </c>
      <c r="C303" s="15">
        <v>1.8692000000000001E-4</v>
      </c>
      <c r="F303" s="28">
        <v>2.78</v>
      </c>
      <c r="G303" s="29">
        <f t="shared" si="16"/>
        <v>57.78</v>
      </c>
      <c r="H303" s="29">
        <f t="shared" si="17"/>
        <v>52.78</v>
      </c>
      <c r="I303" s="38">
        <f t="shared" si="18"/>
        <v>5.8586999999999997E-3</v>
      </c>
      <c r="J303" s="38">
        <f t="shared" si="19"/>
        <v>2.3567200000000001E-3</v>
      </c>
      <c r="K303" s="32">
        <f>K302+StepSize*L302</f>
        <v>899.77156704371157</v>
      </c>
      <c r="L303" s="33">
        <f>K303*Delta+I303*K303-J303*(DeathPayment-K303)</f>
        <v>-45.371923673539669</v>
      </c>
    </row>
    <row r="304" spans="1:12" x14ac:dyDescent="0.45">
      <c r="A304" s="11">
        <v>19.75</v>
      </c>
      <c r="B304" s="14">
        <v>5.865E-4</v>
      </c>
      <c r="C304" s="15">
        <v>1.8699999999999999E-4</v>
      </c>
      <c r="F304" s="28">
        <v>2.79</v>
      </c>
      <c r="G304" s="29">
        <f t="shared" si="16"/>
        <v>57.79</v>
      </c>
      <c r="H304" s="29">
        <f t="shared" si="17"/>
        <v>52.79</v>
      </c>
      <c r="I304" s="38">
        <f t="shared" si="18"/>
        <v>5.8653500000000001E-3</v>
      </c>
      <c r="J304" s="38">
        <f t="shared" si="19"/>
        <v>2.3589599999999998E-3</v>
      </c>
      <c r="K304" s="32">
        <f>K303+StepSize*L303</f>
        <v>899.31784780697615</v>
      </c>
      <c r="L304" s="33">
        <f>K304*Delta+I304*K304-J304*(DeathPayment-K304)</f>
        <v>-45.512469507336604</v>
      </c>
    </row>
    <row r="305" spans="1:12" x14ac:dyDescent="0.45">
      <c r="A305" s="11">
        <v>19.760000000000002</v>
      </c>
      <c r="B305" s="14">
        <v>5.8644000000000003E-4</v>
      </c>
      <c r="C305" s="15">
        <v>1.8708E-4</v>
      </c>
      <c r="F305" s="28">
        <v>2.8</v>
      </c>
      <c r="G305" s="29">
        <f t="shared" si="16"/>
        <v>57.8</v>
      </c>
      <c r="H305" s="29">
        <f t="shared" si="17"/>
        <v>52.8</v>
      </c>
      <c r="I305" s="38">
        <f t="shared" si="18"/>
        <v>5.8719999999999996E-3</v>
      </c>
      <c r="J305" s="38">
        <f t="shared" si="19"/>
        <v>2.3611999999999999E-3</v>
      </c>
      <c r="K305" s="32">
        <f>K304+StepSize*L304</f>
        <v>898.86272311190282</v>
      </c>
      <c r="L305" s="33">
        <f>K305*Delta+I305*K305-J305*(DeathPayment-K305)</f>
        <v>-45.653136623358023</v>
      </c>
    </row>
    <row r="306" spans="1:12" x14ac:dyDescent="0.45">
      <c r="A306" s="11">
        <v>19.77</v>
      </c>
      <c r="B306" s="14">
        <v>5.8637999999999995E-4</v>
      </c>
      <c r="C306" s="15">
        <v>1.8715999999999999E-4</v>
      </c>
      <c r="F306" s="28">
        <v>2.81</v>
      </c>
      <c r="G306" s="29">
        <f t="shared" si="16"/>
        <v>57.81</v>
      </c>
      <c r="H306" s="29">
        <f t="shared" si="17"/>
        <v>52.81</v>
      </c>
      <c r="I306" s="38">
        <f t="shared" si="18"/>
        <v>5.87865E-3</v>
      </c>
      <c r="J306" s="38">
        <f t="shared" si="19"/>
        <v>2.3634400000000001E-3</v>
      </c>
      <c r="K306" s="32">
        <f>K305+StepSize*L305</f>
        <v>898.40619174566928</v>
      </c>
      <c r="L306" s="33">
        <f>K306*Delta+I306*K306-J306*(DeathPayment-K306)</f>
        <v>-45.793925156795737</v>
      </c>
    </row>
    <row r="307" spans="1:12" x14ac:dyDescent="0.45">
      <c r="A307" s="11">
        <v>19.78</v>
      </c>
      <c r="B307" s="14">
        <v>5.8631999999999998E-4</v>
      </c>
      <c r="C307" s="15">
        <v>1.8724E-4</v>
      </c>
      <c r="F307" s="28">
        <v>2.82</v>
      </c>
      <c r="G307" s="29">
        <f t="shared" si="16"/>
        <v>57.82</v>
      </c>
      <c r="H307" s="29">
        <f t="shared" si="17"/>
        <v>52.82</v>
      </c>
      <c r="I307" s="38">
        <f t="shared" si="18"/>
        <v>5.8853000000000004E-3</v>
      </c>
      <c r="J307" s="38">
        <f t="shared" si="19"/>
        <v>2.3656800000000002E-3</v>
      </c>
      <c r="K307" s="32">
        <f>K306+StepSize*L306</f>
        <v>897.94825249410133</v>
      </c>
      <c r="L307" s="33">
        <f>K307*Delta+I307*K307-J307*(DeathPayment-K307)</f>
        <v>-45.934835242993699</v>
      </c>
    </row>
    <row r="308" spans="1:12" x14ac:dyDescent="0.45">
      <c r="A308" s="11">
        <v>19.79</v>
      </c>
      <c r="B308" s="14">
        <v>5.8626000000000001E-4</v>
      </c>
      <c r="C308" s="15">
        <v>1.8731999999999999E-4</v>
      </c>
      <c r="F308" s="28">
        <v>2.83</v>
      </c>
      <c r="G308" s="29">
        <f t="shared" si="16"/>
        <v>57.83</v>
      </c>
      <c r="H308" s="29">
        <f t="shared" si="17"/>
        <v>52.83</v>
      </c>
      <c r="I308" s="38">
        <f t="shared" si="18"/>
        <v>5.89195E-3</v>
      </c>
      <c r="J308" s="38">
        <f t="shared" si="19"/>
        <v>2.3679199999999999E-3</v>
      </c>
      <c r="K308" s="32">
        <f>K307+StepSize*L307</f>
        <v>897.48890414167136</v>
      </c>
      <c r="L308" s="33">
        <f>K308*Delta+I308*K308-J308*(DeathPayment-K308)</f>
        <v>-46.075867017448047</v>
      </c>
    </row>
    <row r="309" spans="1:12" x14ac:dyDescent="0.45">
      <c r="A309" s="11">
        <v>19.8</v>
      </c>
      <c r="B309" s="14">
        <v>5.8620000000000005E-4</v>
      </c>
      <c r="C309" s="15">
        <v>1.874E-4</v>
      </c>
      <c r="F309" s="28">
        <v>2.84</v>
      </c>
      <c r="G309" s="29">
        <f t="shared" si="16"/>
        <v>57.84</v>
      </c>
      <c r="H309" s="29">
        <f t="shared" si="17"/>
        <v>52.84</v>
      </c>
      <c r="I309" s="38">
        <f t="shared" si="18"/>
        <v>5.8986000000000004E-3</v>
      </c>
      <c r="J309" s="38">
        <f t="shared" si="19"/>
        <v>2.3701600000000001E-3</v>
      </c>
      <c r="K309" s="32">
        <f>K308+StepSize*L308</f>
        <v>897.02814547149683</v>
      </c>
      <c r="L309" s="33">
        <f>K309*Delta+I309*K309-J309*(DeathPayment-K309)</f>
        <v>-46.217020615807385</v>
      </c>
    </row>
    <row r="310" spans="1:12" x14ac:dyDescent="0.45">
      <c r="A310" s="11">
        <v>19.809999999999999</v>
      </c>
      <c r="B310" s="14">
        <v>5.8613999999999997E-4</v>
      </c>
      <c r="C310" s="15">
        <v>1.8747999999999999E-4</v>
      </c>
      <c r="F310" s="28">
        <v>2.85</v>
      </c>
      <c r="G310" s="29">
        <f t="shared" si="16"/>
        <v>57.85</v>
      </c>
      <c r="H310" s="29">
        <f t="shared" si="17"/>
        <v>52.85</v>
      </c>
      <c r="I310" s="38">
        <f t="shared" si="18"/>
        <v>5.9052499999999999E-3</v>
      </c>
      <c r="J310" s="38">
        <f t="shared" si="19"/>
        <v>2.3724000000000002E-3</v>
      </c>
      <c r="K310" s="32">
        <f>K309+StepSize*L309</f>
        <v>896.56597526533881</v>
      </c>
      <c r="L310" s="33">
        <f>K310*Delta+I310*K310-J310*(DeathPayment-K310)</f>
        <v>-46.358296173872915</v>
      </c>
    </row>
    <row r="311" spans="1:12" x14ac:dyDescent="0.45">
      <c r="A311" s="11">
        <v>19.82</v>
      </c>
      <c r="B311" s="14">
        <v>5.8608E-4</v>
      </c>
      <c r="C311" s="15">
        <v>1.8756E-4</v>
      </c>
      <c r="F311" s="28">
        <v>2.86</v>
      </c>
      <c r="G311" s="29">
        <f t="shared" si="16"/>
        <v>57.86</v>
      </c>
      <c r="H311" s="29">
        <f t="shared" si="17"/>
        <v>52.86</v>
      </c>
      <c r="I311" s="38">
        <f t="shared" si="18"/>
        <v>5.9119000000000003E-3</v>
      </c>
      <c r="J311" s="38">
        <f t="shared" si="19"/>
        <v>2.3746399999999999E-3</v>
      </c>
      <c r="K311" s="32">
        <f>K310+StepSize*L310</f>
        <v>896.10239230360003</v>
      </c>
      <c r="L311" s="33">
        <f>K311*Delta+I311*K311-J311*(DeathPayment-K311)</f>
        <v>-46.499693827598534</v>
      </c>
    </row>
    <row r="312" spans="1:12" x14ac:dyDescent="0.45">
      <c r="A312" s="11">
        <v>19.829999999999998</v>
      </c>
      <c r="B312" s="14">
        <v>5.8602000000000003E-4</v>
      </c>
      <c r="C312" s="15">
        <v>1.8764000000000001E-4</v>
      </c>
      <c r="F312" s="28">
        <v>2.87</v>
      </c>
      <c r="G312" s="29">
        <f t="shared" si="16"/>
        <v>57.87</v>
      </c>
      <c r="H312" s="29">
        <f t="shared" si="17"/>
        <v>52.87</v>
      </c>
      <c r="I312" s="38">
        <f t="shared" si="18"/>
        <v>5.9185499999999999E-3</v>
      </c>
      <c r="J312" s="38">
        <f t="shared" si="19"/>
        <v>2.3768800000000001E-3</v>
      </c>
      <c r="K312" s="32">
        <f>K311+StepSize*L311</f>
        <v>895.6373953653241</v>
      </c>
      <c r="L312" s="33">
        <f>K312*Delta+I312*K312-J312*(DeathPayment-K312)</f>
        <v>-46.641213713091261</v>
      </c>
    </row>
    <row r="313" spans="1:12" x14ac:dyDescent="0.45">
      <c r="A313" s="11">
        <v>19.84</v>
      </c>
      <c r="B313" s="14">
        <v>5.8595999999999995E-4</v>
      </c>
      <c r="C313" s="15">
        <v>1.8772E-4</v>
      </c>
      <c r="F313" s="28">
        <v>2.88</v>
      </c>
      <c r="G313" s="29">
        <f t="shared" si="16"/>
        <v>57.88</v>
      </c>
      <c r="H313" s="29">
        <f t="shared" si="17"/>
        <v>52.88</v>
      </c>
      <c r="I313" s="38">
        <f t="shared" si="18"/>
        <v>5.9252000000000003E-3</v>
      </c>
      <c r="J313" s="38">
        <f t="shared" si="19"/>
        <v>2.3791200000000002E-3</v>
      </c>
      <c r="K313" s="32">
        <f>K312+StepSize*L312</f>
        <v>895.17098322819322</v>
      </c>
      <c r="L313" s="33">
        <f>K313*Delta+I313*K313-J313*(DeathPayment-K313)</f>
        <v>-46.78285596661118</v>
      </c>
    </row>
    <row r="314" spans="1:12" x14ac:dyDescent="0.45">
      <c r="A314" s="11">
        <v>19.850000000000001</v>
      </c>
      <c r="B314" s="14">
        <v>5.8589999999999998E-4</v>
      </c>
      <c r="C314" s="15">
        <v>1.8780000000000001E-4</v>
      </c>
      <c r="F314" s="28">
        <v>2.89</v>
      </c>
      <c r="G314" s="29">
        <f t="shared" si="16"/>
        <v>57.89</v>
      </c>
      <c r="H314" s="29">
        <f t="shared" si="17"/>
        <v>52.89</v>
      </c>
      <c r="I314" s="38">
        <f t="shared" si="18"/>
        <v>5.9318499999999998E-3</v>
      </c>
      <c r="J314" s="38">
        <f t="shared" si="19"/>
        <v>2.3813599999999999E-3</v>
      </c>
      <c r="K314" s="32">
        <f>K313+StepSize*L313</f>
        <v>894.70315466852708</v>
      </c>
      <c r="L314" s="33">
        <f>K314*Delta+I314*K314-J314*(DeathPayment-K314)</f>
        <v>-46.924620724571653</v>
      </c>
    </row>
    <row r="315" spans="1:12" x14ac:dyDescent="0.45">
      <c r="A315" s="11">
        <v>19.86</v>
      </c>
      <c r="B315" s="14">
        <v>5.8584000000000002E-4</v>
      </c>
      <c r="C315" s="15">
        <v>1.8788E-4</v>
      </c>
      <c r="F315" s="28">
        <v>2.9</v>
      </c>
      <c r="G315" s="29">
        <f t="shared" si="16"/>
        <v>57.9</v>
      </c>
      <c r="H315" s="29">
        <f t="shared" si="17"/>
        <v>52.9</v>
      </c>
      <c r="I315" s="38">
        <f t="shared" si="18"/>
        <v>5.9385000000000002E-3</v>
      </c>
      <c r="J315" s="38">
        <f t="shared" si="19"/>
        <v>2.3836E-3</v>
      </c>
      <c r="K315" s="32">
        <f>K314+StepSize*L314</f>
        <v>894.23390846128132</v>
      </c>
      <c r="L315" s="33">
        <f>K315*Delta+I315*K315-J315*(DeathPayment-K315)</f>
        <v>-47.066508123539705</v>
      </c>
    </row>
    <row r="316" spans="1:12" x14ac:dyDescent="0.45">
      <c r="A316" s="11">
        <v>19.87</v>
      </c>
      <c r="B316" s="14">
        <v>5.8578000000000005E-4</v>
      </c>
      <c r="C316" s="15">
        <v>1.8796000000000001E-4</v>
      </c>
      <c r="F316" s="28">
        <v>2.91</v>
      </c>
      <c r="G316" s="29">
        <f t="shared" si="16"/>
        <v>57.91</v>
      </c>
      <c r="H316" s="29">
        <f t="shared" si="17"/>
        <v>52.91</v>
      </c>
      <c r="I316" s="38">
        <f t="shared" si="18"/>
        <v>5.9451499999999997E-3</v>
      </c>
      <c r="J316" s="38">
        <f t="shared" si="19"/>
        <v>2.3858400000000002E-3</v>
      </c>
      <c r="K316" s="32">
        <f>K315+StepSize*L315</f>
        <v>893.76324338004588</v>
      </c>
      <c r="L316" s="33">
        <f>K316*Delta+I316*K316-J316*(DeathPayment-K316)</f>
        <v>-47.208518300236008</v>
      </c>
    </row>
    <row r="317" spans="1:12" x14ac:dyDescent="0.45">
      <c r="A317" s="11">
        <v>19.88</v>
      </c>
      <c r="B317" s="14">
        <v>5.8571999999999997E-4</v>
      </c>
      <c r="C317" s="15">
        <v>1.8804E-4</v>
      </c>
      <c r="F317" s="28">
        <v>2.92</v>
      </c>
      <c r="G317" s="29">
        <f t="shared" si="16"/>
        <v>57.92</v>
      </c>
      <c r="H317" s="29">
        <f t="shared" si="17"/>
        <v>52.92</v>
      </c>
      <c r="I317" s="38">
        <f t="shared" si="18"/>
        <v>5.9518000000000001E-3</v>
      </c>
      <c r="J317" s="38">
        <f t="shared" si="19"/>
        <v>2.3880799999999999E-3</v>
      </c>
      <c r="K317" s="32">
        <f>K316+StepSize*L316</f>
        <v>893.2911581970435</v>
      </c>
      <c r="L317" s="33">
        <f>K317*Delta+I317*K317-J317*(DeathPayment-K317)</f>
        <v>-47.350651391535038</v>
      </c>
    </row>
    <row r="318" spans="1:12" x14ac:dyDescent="0.45">
      <c r="A318" s="11">
        <v>19.89</v>
      </c>
      <c r="B318" s="14">
        <v>5.8566E-4</v>
      </c>
      <c r="C318" s="15">
        <v>1.8812000000000001E-4</v>
      </c>
      <c r="F318" s="28">
        <v>2.93</v>
      </c>
      <c r="G318" s="29">
        <f t="shared" si="16"/>
        <v>57.93</v>
      </c>
      <c r="H318" s="29">
        <f t="shared" si="17"/>
        <v>52.93</v>
      </c>
      <c r="I318" s="38">
        <f t="shared" si="18"/>
        <v>5.9584499999999997E-3</v>
      </c>
      <c r="J318" s="38">
        <f t="shared" si="19"/>
        <v>2.39032E-3</v>
      </c>
      <c r="K318" s="32">
        <f>K317+StepSize*L317</f>
        <v>892.81765168312813</v>
      </c>
      <c r="L318" s="33">
        <f>K318*Delta+I318*K318-J318*(DeathPayment-K318)</f>
        <v>-47.492907534465459</v>
      </c>
    </row>
    <row r="319" spans="1:12" x14ac:dyDescent="0.45">
      <c r="A319" s="11">
        <v>19.899999999999999</v>
      </c>
      <c r="B319" s="14">
        <v>5.8560000000000003E-4</v>
      </c>
      <c r="C319" s="15">
        <v>1.8819999999999999E-4</v>
      </c>
      <c r="F319" s="28">
        <v>2.94</v>
      </c>
      <c r="G319" s="29">
        <f t="shared" si="16"/>
        <v>57.94</v>
      </c>
      <c r="H319" s="29">
        <f t="shared" si="17"/>
        <v>52.94</v>
      </c>
      <c r="I319" s="38">
        <f t="shared" si="18"/>
        <v>5.9651000000000001E-3</v>
      </c>
      <c r="J319" s="38">
        <f t="shared" si="19"/>
        <v>2.3925600000000002E-3</v>
      </c>
      <c r="K319" s="32">
        <f>K318+StepSize*L318</f>
        <v>892.34272260778346</v>
      </c>
      <c r="L319" s="33">
        <f>K319*Delta+I319*K319-J319*(DeathPayment-K319)</f>
        <v>-47.63528686621018</v>
      </c>
    </row>
    <row r="320" spans="1:12" x14ac:dyDescent="0.45">
      <c r="A320" s="11">
        <v>19.91</v>
      </c>
      <c r="B320" s="14">
        <v>5.8553999999999995E-4</v>
      </c>
      <c r="C320" s="15">
        <v>1.8828000000000001E-4</v>
      </c>
      <c r="F320" s="28">
        <v>2.95</v>
      </c>
      <c r="G320" s="29">
        <f t="shared" si="16"/>
        <v>57.95</v>
      </c>
      <c r="H320" s="29">
        <f t="shared" si="17"/>
        <v>52.95</v>
      </c>
      <c r="I320" s="38">
        <f t="shared" si="18"/>
        <v>5.9717499999999996E-3</v>
      </c>
      <c r="J320" s="38">
        <f t="shared" si="19"/>
        <v>2.3947999999999999E-3</v>
      </c>
      <c r="K320" s="32">
        <f>K319+StepSize*L319</f>
        <v>891.86636973912141</v>
      </c>
      <c r="L320" s="33">
        <f>K320*Delta+I320*K320-J320*(DeathPayment-K320)</f>
        <v>-47.777789524106481</v>
      </c>
    </row>
    <row r="321" spans="1:12" x14ac:dyDescent="0.45">
      <c r="A321" s="11">
        <v>19.920000000000002</v>
      </c>
      <c r="B321" s="14">
        <v>5.8547999999999998E-4</v>
      </c>
      <c r="C321" s="15">
        <v>1.8835999999999999E-4</v>
      </c>
      <c r="F321" s="28">
        <v>2.96</v>
      </c>
      <c r="G321" s="29">
        <f t="shared" si="16"/>
        <v>57.96</v>
      </c>
      <c r="H321" s="29">
        <f t="shared" si="17"/>
        <v>52.96</v>
      </c>
      <c r="I321" s="38">
        <f t="shared" si="18"/>
        <v>5.9784E-3</v>
      </c>
      <c r="J321" s="38">
        <f t="shared" si="19"/>
        <v>2.39704E-3</v>
      </c>
      <c r="K321" s="32">
        <f>K320+StepSize*L320</f>
        <v>891.38859184388036</v>
      </c>
      <c r="L321" s="33">
        <f>K321*Delta+I321*K321-J321*(DeathPayment-K321)</f>
        <v>-47.920415645646386</v>
      </c>
    </row>
    <row r="322" spans="1:12" x14ac:dyDescent="0.45">
      <c r="A322" s="11">
        <v>19.93</v>
      </c>
      <c r="B322" s="14">
        <v>5.8542000000000002E-4</v>
      </c>
      <c r="C322" s="15">
        <v>1.8844000000000001E-4</v>
      </c>
      <c r="F322" s="28">
        <v>2.97</v>
      </c>
      <c r="G322" s="29">
        <f t="shared" si="16"/>
        <v>57.97</v>
      </c>
      <c r="H322" s="29">
        <f t="shared" si="17"/>
        <v>52.97</v>
      </c>
      <c r="I322" s="38">
        <f t="shared" si="18"/>
        <v>5.9850499999999996E-3</v>
      </c>
      <c r="J322" s="38">
        <f t="shared" si="19"/>
        <v>2.3992800000000002E-3</v>
      </c>
      <c r="K322" s="32">
        <f>K321+StepSize*L321</f>
        <v>890.90938768742387</v>
      </c>
      <c r="L322" s="33">
        <f>K322*Delta+I322*K322-J322*(DeathPayment-K322)</f>
        <v>-48.063165368476632</v>
      </c>
    </row>
    <row r="323" spans="1:12" x14ac:dyDescent="0.45">
      <c r="A323" s="11">
        <v>19.940000000000001</v>
      </c>
      <c r="B323" s="14">
        <v>5.8536000000000005E-4</v>
      </c>
      <c r="C323" s="15">
        <v>1.8851999999999999E-4</v>
      </c>
      <c r="F323" s="28">
        <v>2.98</v>
      </c>
      <c r="G323" s="29">
        <f t="shared" si="16"/>
        <v>57.98</v>
      </c>
      <c r="H323" s="29">
        <f t="shared" si="17"/>
        <v>52.98</v>
      </c>
      <c r="I323" s="38">
        <f t="shared" si="18"/>
        <v>5.9917E-3</v>
      </c>
      <c r="J323" s="38">
        <f t="shared" si="19"/>
        <v>2.4015199999999999E-3</v>
      </c>
      <c r="K323" s="32">
        <f>K322+StepSize*L322</f>
        <v>890.42875603373909</v>
      </c>
      <c r="L323" s="33">
        <f>K323*Delta+I323*K323-J323*(DeathPayment-K323)</f>
        <v>-48.206038830399009</v>
      </c>
    </row>
    <row r="324" spans="1:12" x14ac:dyDescent="0.45">
      <c r="A324" s="11">
        <v>19.95</v>
      </c>
      <c r="B324" s="14">
        <v>5.8529999999999997E-4</v>
      </c>
      <c r="C324" s="15">
        <v>1.886E-4</v>
      </c>
      <c r="F324" s="28">
        <v>2.99</v>
      </c>
      <c r="G324" s="29">
        <f t="shared" si="16"/>
        <v>57.99</v>
      </c>
      <c r="H324" s="29">
        <f t="shared" si="17"/>
        <v>52.99</v>
      </c>
      <c r="I324" s="38">
        <f t="shared" si="18"/>
        <v>5.9983500000000004E-3</v>
      </c>
      <c r="J324" s="38">
        <f t="shared" si="19"/>
        <v>2.40376E-3</v>
      </c>
      <c r="K324" s="32">
        <f>K323+StepSize*L323</f>
        <v>889.94669564543506</v>
      </c>
      <c r="L324" s="33">
        <f>K324*Delta+I324*K324-J324*(DeathPayment-K324)</f>
        <v>-48.349036169370535</v>
      </c>
    </row>
    <row r="325" spans="1:12" x14ac:dyDescent="0.45">
      <c r="A325" s="11">
        <v>19.96</v>
      </c>
      <c r="B325" s="14">
        <v>5.8524E-4</v>
      </c>
      <c r="C325" s="15">
        <v>1.8867999999999999E-4</v>
      </c>
      <c r="F325" s="28">
        <v>3</v>
      </c>
      <c r="G325" s="29">
        <f t="shared" si="16"/>
        <v>58</v>
      </c>
      <c r="H325" s="29">
        <f t="shared" si="17"/>
        <v>53</v>
      </c>
      <c r="I325" s="38">
        <f t="shared" si="18"/>
        <v>6.0049999999999999E-3</v>
      </c>
      <c r="J325" s="38">
        <f t="shared" si="19"/>
        <v>2.4060000000000002E-3</v>
      </c>
      <c r="K325" s="32">
        <f>K324+StepSize*L324</f>
        <v>889.46320528374133</v>
      </c>
      <c r="L325" s="33">
        <f>K325*Delta+I325*K325-J325*(DeathPayment-K325)</f>
        <v>-48.492157523503536</v>
      </c>
    </row>
    <row r="326" spans="1:12" x14ac:dyDescent="0.45">
      <c r="A326" s="11">
        <v>19.97</v>
      </c>
      <c r="B326" s="14">
        <v>5.8518000000000003E-4</v>
      </c>
      <c r="C326" s="15">
        <v>1.8876E-4</v>
      </c>
      <c r="F326" s="28">
        <v>3.01</v>
      </c>
      <c r="G326" s="29">
        <f t="shared" si="16"/>
        <v>58.01</v>
      </c>
      <c r="H326" s="29">
        <f t="shared" si="17"/>
        <v>53.01</v>
      </c>
      <c r="I326" s="38">
        <f t="shared" si="18"/>
        <v>6.0124899999999997E-3</v>
      </c>
      <c r="J326" s="38">
        <f t="shared" si="19"/>
        <v>2.4084900000000001E-3</v>
      </c>
      <c r="K326" s="32">
        <f>K325+StepSize*L325</f>
        <v>888.9782837085063</v>
      </c>
      <c r="L326" s="33">
        <f>K326*Delta+I326*K326-J326*(DeathPayment-K326)</f>
        <v>-48.646934044736639</v>
      </c>
    </row>
    <row r="327" spans="1:12" x14ac:dyDescent="0.45">
      <c r="A327" s="11">
        <v>19.98</v>
      </c>
      <c r="B327" s="14">
        <v>5.8511999999999995E-4</v>
      </c>
      <c r="C327" s="15">
        <v>1.8883999999999999E-4</v>
      </c>
      <c r="F327" s="28">
        <v>3.02</v>
      </c>
      <c r="G327" s="29">
        <f t="shared" si="16"/>
        <v>58.02</v>
      </c>
      <c r="H327" s="29">
        <f t="shared" si="17"/>
        <v>53.02</v>
      </c>
      <c r="I327" s="38">
        <f t="shared" si="18"/>
        <v>6.0199800000000003E-3</v>
      </c>
      <c r="J327" s="38">
        <f t="shared" si="19"/>
        <v>2.4109800000000001E-3</v>
      </c>
      <c r="K327" s="32">
        <f>K326+StepSize*L326</f>
        <v>888.49181436805895</v>
      </c>
      <c r="L327" s="33">
        <f>K327*Delta+I327*K327-J327*(DeathPayment-K327)</f>
        <v>-48.801845229555127</v>
      </c>
    </row>
    <row r="328" spans="1:12" x14ac:dyDescent="0.45">
      <c r="A328" s="11">
        <v>19.989999999999998</v>
      </c>
      <c r="B328" s="14">
        <v>5.8505999999999999E-4</v>
      </c>
      <c r="C328" s="15">
        <v>1.8892E-4</v>
      </c>
      <c r="F328" s="28">
        <v>3.03</v>
      </c>
      <c r="G328" s="29">
        <f t="shared" si="16"/>
        <v>58.03</v>
      </c>
      <c r="H328" s="29">
        <f t="shared" si="17"/>
        <v>53.03</v>
      </c>
      <c r="I328" s="38">
        <f t="shared" si="18"/>
        <v>6.02747E-3</v>
      </c>
      <c r="J328" s="38">
        <f t="shared" si="19"/>
        <v>2.41347E-3</v>
      </c>
      <c r="K328" s="32">
        <f>K327+StepSize*L327</f>
        <v>888.00379591576336</v>
      </c>
      <c r="L328" s="33">
        <f>K328*Delta+I328*K328-J328*(DeathPayment-K328)</f>
        <v>-48.956891233055529</v>
      </c>
    </row>
    <row r="329" spans="1:12" x14ac:dyDescent="0.45">
      <c r="A329" s="11">
        <v>20</v>
      </c>
      <c r="B329" s="14">
        <v>5.8500000000000002E-4</v>
      </c>
      <c r="C329" s="15">
        <v>1.8900000000000001E-4</v>
      </c>
      <c r="F329" s="28">
        <v>3.04</v>
      </c>
      <c r="G329" s="29">
        <f t="shared" si="16"/>
        <v>58.04</v>
      </c>
      <c r="H329" s="29">
        <f t="shared" si="17"/>
        <v>53.04</v>
      </c>
      <c r="I329" s="38">
        <f t="shared" si="18"/>
        <v>6.0349599999999998E-3</v>
      </c>
      <c r="J329" s="38">
        <f t="shared" si="19"/>
        <v>2.41596E-3</v>
      </c>
      <c r="K329" s="32">
        <f>K328+StepSize*L328</f>
        <v>887.51422700343278</v>
      </c>
      <c r="L329" s="33">
        <f>K329*Delta+I329*K329-J329*(DeathPayment-K329)</f>
        <v>-49.112072210513446</v>
      </c>
    </row>
    <row r="330" spans="1:12" x14ac:dyDescent="0.45">
      <c r="A330" s="11">
        <v>20.010000000000002</v>
      </c>
      <c r="B330" s="14">
        <v>5.8494999999999999E-4</v>
      </c>
      <c r="C330" s="15">
        <v>1.8908E-4</v>
      </c>
      <c r="F330" s="28">
        <v>3.05</v>
      </c>
      <c r="G330" s="29">
        <f t="shared" si="16"/>
        <v>58.05</v>
      </c>
      <c r="H330" s="29">
        <f t="shared" si="17"/>
        <v>53.05</v>
      </c>
      <c r="I330" s="38">
        <f t="shared" si="18"/>
        <v>6.0424500000000004E-3</v>
      </c>
      <c r="J330" s="38">
        <f t="shared" si="19"/>
        <v>2.4184499999999999E-3</v>
      </c>
      <c r="K330" s="32">
        <f>K329+StepSize*L329</f>
        <v>887.02310628132761</v>
      </c>
      <c r="L330" s="33">
        <f>K330*Delta+I330*K330-J330*(DeathPayment-K330)</f>
        <v>-49.267388317383734</v>
      </c>
    </row>
    <row r="331" spans="1:12" x14ac:dyDescent="0.45">
      <c r="A331" s="11">
        <v>20.02</v>
      </c>
      <c r="B331" s="14">
        <v>5.8489999999999996E-4</v>
      </c>
      <c r="C331" s="15">
        <v>1.8916000000000001E-4</v>
      </c>
      <c r="F331" s="28">
        <v>3.06</v>
      </c>
      <c r="G331" s="29">
        <f t="shared" si="16"/>
        <v>58.06</v>
      </c>
      <c r="H331" s="29">
        <f t="shared" si="17"/>
        <v>53.06</v>
      </c>
      <c r="I331" s="38">
        <f t="shared" si="18"/>
        <v>6.0499400000000002E-3</v>
      </c>
      <c r="J331" s="38">
        <f t="shared" si="19"/>
        <v>2.4209399999999999E-3</v>
      </c>
      <c r="K331" s="32">
        <f>K330+StepSize*L330</f>
        <v>886.53043239815372</v>
      </c>
      <c r="L331" s="33">
        <f>K331*Delta+I331*K331-J331*(DeathPayment-K331)</f>
        <v>-49.422839709300675</v>
      </c>
    </row>
    <row r="332" spans="1:12" x14ac:dyDescent="0.45">
      <c r="A332" s="11">
        <v>20.03</v>
      </c>
      <c r="B332" s="14">
        <v>5.8485000000000004E-4</v>
      </c>
      <c r="C332" s="15">
        <v>1.8924E-4</v>
      </c>
      <c r="F332" s="28">
        <v>3.07</v>
      </c>
      <c r="G332" s="29">
        <f t="shared" si="16"/>
        <v>58.07</v>
      </c>
      <c r="H332" s="29">
        <f t="shared" si="17"/>
        <v>53.07</v>
      </c>
      <c r="I332" s="38">
        <f t="shared" si="18"/>
        <v>6.0574299999999999E-3</v>
      </c>
      <c r="J332" s="38">
        <f t="shared" si="19"/>
        <v>2.4234299999999999E-3</v>
      </c>
      <c r="K332" s="32">
        <f>K331+StepSize*L331</f>
        <v>886.0362040010607</v>
      </c>
      <c r="L332" s="33">
        <f>K332*Delta+I332*K332-J332*(DeathPayment-K332)</f>
        <v>-49.578426542078319</v>
      </c>
    </row>
    <row r="333" spans="1:12" x14ac:dyDescent="0.45">
      <c r="A333" s="11">
        <v>20.04</v>
      </c>
      <c r="B333" s="14">
        <v>5.8480000000000001E-4</v>
      </c>
      <c r="C333" s="15">
        <v>1.8932000000000001E-4</v>
      </c>
      <c r="F333" s="28">
        <v>3.08</v>
      </c>
      <c r="G333" s="29">
        <f t="shared" si="16"/>
        <v>58.08</v>
      </c>
      <c r="H333" s="29">
        <f t="shared" si="17"/>
        <v>53.08</v>
      </c>
      <c r="I333" s="38">
        <f t="shared" si="18"/>
        <v>6.0649199999999997E-3</v>
      </c>
      <c r="J333" s="38">
        <f t="shared" si="19"/>
        <v>2.4259199999999998E-3</v>
      </c>
      <c r="K333" s="32">
        <f>K332+StepSize*L332</f>
        <v>885.54041973563994</v>
      </c>
      <c r="L333" s="33">
        <f>K333*Delta+I333*K333-J333*(DeathPayment-K333)</f>
        <v>-49.734148971710582</v>
      </c>
    </row>
    <row r="334" spans="1:12" x14ac:dyDescent="0.45">
      <c r="A334" s="11">
        <v>20.05</v>
      </c>
      <c r="B334" s="14">
        <v>5.8474999999999998E-4</v>
      </c>
      <c r="C334" s="15">
        <v>1.894E-4</v>
      </c>
      <c r="F334" s="28">
        <v>3.09</v>
      </c>
      <c r="G334" s="29">
        <f t="shared" si="16"/>
        <v>58.09</v>
      </c>
      <c r="H334" s="29">
        <f t="shared" si="17"/>
        <v>53.09</v>
      </c>
      <c r="I334" s="38">
        <f t="shared" si="18"/>
        <v>6.0724100000000003E-3</v>
      </c>
      <c r="J334" s="38">
        <f t="shared" si="19"/>
        <v>2.4284100000000002E-3</v>
      </c>
      <c r="K334" s="32">
        <f>K333+StepSize*L333</f>
        <v>885.04307824592286</v>
      </c>
      <c r="L334" s="33">
        <f>K334*Delta+I334*K334-J334*(DeathPayment-K334)</f>
        <v>-49.890007154371588</v>
      </c>
    </row>
    <row r="335" spans="1:12" x14ac:dyDescent="0.45">
      <c r="A335" s="11">
        <v>20.059999999999999</v>
      </c>
      <c r="B335" s="14">
        <v>5.8469999999999996E-4</v>
      </c>
      <c r="C335" s="15">
        <v>1.8948000000000001E-4</v>
      </c>
      <c r="F335" s="28">
        <v>3.1</v>
      </c>
      <c r="G335" s="29">
        <f t="shared" si="16"/>
        <v>58.1</v>
      </c>
      <c r="H335" s="29">
        <f t="shared" si="17"/>
        <v>53.1</v>
      </c>
      <c r="I335" s="38">
        <f t="shared" si="18"/>
        <v>6.0799000000000001E-3</v>
      </c>
      <c r="J335" s="38">
        <f t="shared" si="19"/>
        <v>2.4309000000000002E-3</v>
      </c>
      <c r="K335" s="32">
        <f>K334+StepSize*L334</f>
        <v>884.54417817437911</v>
      </c>
      <c r="L335" s="33">
        <f>K335*Delta+I335*K335-J335*(DeathPayment-K335)</f>
        <v>-50.04600124641577</v>
      </c>
    </row>
    <row r="336" spans="1:12" x14ac:dyDescent="0.45">
      <c r="A336" s="11">
        <v>20.07</v>
      </c>
      <c r="B336" s="14">
        <v>5.8465000000000004E-4</v>
      </c>
      <c r="C336" s="15">
        <v>1.8955999999999999E-4</v>
      </c>
      <c r="F336" s="28">
        <v>3.11</v>
      </c>
      <c r="G336" s="29">
        <f t="shared" si="16"/>
        <v>58.11</v>
      </c>
      <c r="H336" s="29">
        <f t="shared" si="17"/>
        <v>53.11</v>
      </c>
      <c r="I336" s="38">
        <f t="shared" si="18"/>
        <v>6.0873899999999998E-3</v>
      </c>
      <c r="J336" s="38">
        <f t="shared" si="19"/>
        <v>2.4333900000000001E-3</v>
      </c>
      <c r="K336" s="32">
        <f>K335+StepSize*L335</f>
        <v>884.04371816191497</v>
      </c>
      <c r="L336" s="33">
        <f>K336*Delta+I336*K336-J336*(DeathPayment-K336)</f>
        <v>-50.202131404378136</v>
      </c>
    </row>
    <row r="337" spans="1:12" x14ac:dyDescent="0.45">
      <c r="A337" s="11">
        <v>20.079999999999998</v>
      </c>
      <c r="B337" s="14">
        <v>5.8460000000000001E-4</v>
      </c>
      <c r="C337" s="15">
        <v>1.8964000000000001E-4</v>
      </c>
      <c r="F337" s="28">
        <v>3.12</v>
      </c>
      <c r="G337" s="29">
        <f t="shared" si="16"/>
        <v>58.12</v>
      </c>
      <c r="H337" s="29">
        <f t="shared" si="17"/>
        <v>53.12</v>
      </c>
      <c r="I337" s="38">
        <f t="shared" si="18"/>
        <v>6.0948799999999996E-3</v>
      </c>
      <c r="J337" s="38">
        <f t="shared" si="19"/>
        <v>2.4358800000000001E-3</v>
      </c>
      <c r="K337" s="32">
        <f>K336+StepSize*L336</f>
        <v>883.54169684787121</v>
      </c>
      <c r="L337" s="33">
        <f>K337*Delta+I337*K337-J337*(DeathPayment-K337)</f>
        <v>-50.358397784974599</v>
      </c>
    </row>
    <row r="338" spans="1:12" x14ac:dyDescent="0.45">
      <c r="A338" s="11">
        <v>20.09</v>
      </c>
      <c r="B338" s="14">
        <v>5.8454999999999998E-4</v>
      </c>
      <c r="C338" s="15">
        <v>1.8971999999999999E-4</v>
      </c>
      <c r="F338" s="28">
        <v>3.13</v>
      </c>
      <c r="G338" s="29">
        <f t="shared" si="16"/>
        <v>58.13</v>
      </c>
      <c r="H338" s="29">
        <f t="shared" si="17"/>
        <v>53.13</v>
      </c>
      <c r="I338" s="38">
        <f t="shared" si="18"/>
        <v>6.1023700000000002E-3</v>
      </c>
      <c r="J338" s="38">
        <f t="shared" si="19"/>
        <v>2.43837E-3</v>
      </c>
      <c r="K338" s="32">
        <f>K337+StepSize*L337</f>
        <v>883.03811287002145</v>
      </c>
      <c r="L338" s="33">
        <f>K338*Delta+I338*K338-J338*(DeathPayment-K338)</f>
        <v>-50.514800545102005</v>
      </c>
    </row>
    <row r="339" spans="1:12" x14ac:dyDescent="0.45">
      <c r="A339" s="11">
        <v>20.100000000000001</v>
      </c>
      <c r="B339" s="14">
        <v>5.8449999999999995E-4</v>
      </c>
      <c r="C339" s="15">
        <v>1.8980000000000001E-4</v>
      </c>
      <c r="F339" s="28">
        <v>3.14</v>
      </c>
      <c r="G339" s="29">
        <f t="shared" si="16"/>
        <v>58.14</v>
      </c>
      <c r="H339" s="29">
        <f t="shared" si="17"/>
        <v>53.14</v>
      </c>
      <c r="I339" s="38">
        <f t="shared" si="18"/>
        <v>6.1098599999999999E-3</v>
      </c>
      <c r="J339" s="38">
        <f t="shared" si="19"/>
        <v>2.44086E-3</v>
      </c>
      <c r="K339" s="32">
        <f>K338+StepSize*L338</f>
        <v>882.53296486457043</v>
      </c>
      <c r="L339" s="33">
        <f>K339*Delta+I339*K339-J339*(DeathPayment-K339)</f>
        <v>-50.671339841838588</v>
      </c>
    </row>
    <row r="340" spans="1:12" x14ac:dyDescent="0.45">
      <c r="A340" s="11">
        <v>20.11</v>
      </c>
      <c r="B340" s="14">
        <v>5.8445000000000003E-4</v>
      </c>
      <c r="C340" s="15">
        <v>1.8987999999999999E-4</v>
      </c>
      <c r="F340" s="28">
        <v>3.15</v>
      </c>
      <c r="G340" s="29">
        <f t="shared" si="16"/>
        <v>58.15</v>
      </c>
      <c r="H340" s="29">
        <f t="shared" si="17"/>
        <v>53.15</v>
      </c>
      <c r="I340" s="38">
        <f t="shared" si="18"/>
        <v>6.1173499999999997E-3</v>
      </c>
      <c r="J340" s="38">
        <f t="shared" si="19"/>
        <v>2.4433499999999999E-3</v>
      </c>
      <c r="K340" s="32">
        <f>K339+StepSize*L339</f>
        <v>882.02625146615208</v>
      </c>
      <c r="L340" s="33">
        <f>K340*Delta+I340*K340-J340*(DeathPayment-K340)</f>
        <v>-50.828015832443953</v>
      </c>
    </row>
    <row r="341" spans="1:12" x14ac:dyDescent="0.45">
      <c r="A341" s="11">
        <v>20.12</v>
      </c>
      <c r="B341" s="14">
        <v>5.844E-4</v>
      </c>
      <c r="C341" s="15">
        <v>1.8996E-4</v>
      </c>
      <c r="F341" s="28">
        <v>3.16</v>
      </c>
      <c r="G341" s="29">
        <f t="shared" si="16"/>
        <v>58.16</v>
      </c>
      <c r="H341" s="29">
        <f t="shared" si="17"/>
        <v>53.16</v>
      </c>
      <c r="I341" s="38">
        <f t="shared" si="18"/>
        <v>6.1248400000000003E-3</v>
      </c>
      <c r="J341" s="38">
        <f t="shared" si="19"/>
        <v>2.4458399999999999E-3</v>
      </c>
      <c r="K341" s="32">
        <f>K340+StepSize*L340</f>
        <v>881.51797130782768</v>
      </c>
      <c r="L341" s="33">
        <f>K341*Delta+I341*K341-J341*(DeathPayment-K341)</f>
        <v>-50.984828674359491</v>
      </c>
    </row>
    <row r="342" spans="1:12" x14ac:dyDescent="0.45">
      <c r="A342" s="11">
        <v>20.13</v>
      </c>
      <c r="B342" s="14">
        <v>5.8434999999999997E-4</v>
      </c>
      <c r="C342" s="15">
        <v>1.9003999999999999E-4</v>
      </c>
      <c r="F342" s="28">
        <v>3.17</v>
      </c>
      <c r="G342" s="29">
        <f t="shared" si="16"/>
        <v>58.17</v>
      </c>
      <c r="H342" s="29">
        <f t="shared" si="17"/>
        <v>53.17</v>
      </c>
      <c r="I342" s="38">
        <f t="shared" si="18"/>
        <v>6.1323300000000001E-3</v>
      </c>
      <c r="J342" s="38">
        <f t="shared" si="19"/>
        <v>2.4483299999999999E-3</v>
      </c>
      <c r="K342" s="32">
        <f>K341+StepSize*L341</f>
        <v>881.00812302108409</v>
      </c>
      <c r="L342" s="33">
        <f>K342*Delta+I342*K342-J342*(DeathPayment-K342)</f>
        <v>-51.141778525208494</v>
      </c>
    </row>
    <row r="343" spans="1:12" x14ac:dyDescent="0.45">
      <c r="A343" s="11">
        <v>20.14</v>
      </c>
      <c r="B343" s="14">
        <v>5.8430000000000005E-4</v>
      </c>
      <c r="C343" s="15">
        <v>1.9012E-4</v>
      </c>
      <c r="F343" s="28">
        <v>3.18</v>
      </c>
      <c r="G343" s="29">
        <f t="shared" si="16"/>
        <v>58.18</v>
      </c>
      <c r="H343" s="29">
        <f t="shared" si="17"/>
        <v>53.18</v>
      </c>
      <c r="I343" s="38">
        <f t="shared" si="18"/>
        <v>6.1398199999999998E-3</v>
      </c>
      <c r="J343" s="38">
        <f t="shared" si="19"/>
        <v>2.4508199999999998E-3</v>
      </c>
      <c r="K343" s="32">
        <f>K342+StepSize*L342</f>
        <v>880.496705235832</v>
      </c>
      <c r="L343" s="33">
        <f>K343*Delta+I343*K343-J343*(DeathPayment-K343)</f>
        <v>-51.298865542796449</v>
      </c>
    </row>
    <row r="344" spans="1:12" x14ac:dyDescent="0.45">
      <c r="A344" s="11">
        <v>20.149999999999999</v>
      </c>
      <c r="B344" s="14">
        <v>5.8425000000000003E-4</v>
      </c>
      <c r="C344" s="15">
        <v>1.9019999999999999E-4</v>
      </c>
      <c r="F344" s="28">
        <v>3.19</v>
      </c>
      <c r="G344" s="29">
        <f t="shared" si="16"/>
        <v>58.19</v>
      </c>
      <c r="H344" s="29">
        <f t="shared" si="17"/>
        <v>53.19</v>
      </c>
      <c r="I344" s="38">
        <f t="shared" si="18"/>
        <v>6.1473099999999996E-3</v>
      </c>
      <c r="J344" s="38">
        <f t="shared" si="19"/>
        <v>2.4533100000000002E-3</v>
      </c>
      <c r="K344" s="32">
        <f>K343+StepSize*L343</f>
        <v>879.98371658040401</v>
      </c>
      <c r="L344" s="33">
        <f>K344*Delta+I344*K344-J344*(DeathPayment-K344)</f>
        <v>-51.456089885111268</v>
      </c>
    </row>
    <row r="345" spans="1:12" x14ac:dyDescent="0.45">
      <c r="A345" s="11">
        <v>20.16</v>
      </c>
      <c r="B345" s="14">
        <v>5.842E-4</v>
      </c>
      <c r="C345" s="15">
        <v>1.9028E-4</v>
      </c>
      <c r="F345" s="28">
        <v>3.2</v>
      </c>
      <c r="G345" s="29">
        <f t="shared" ref="G345:G408" si="20">ROUND(MaleAgeStart+F345,2)</f>
        <v>58.2</v>
      </c>
      <c r="H345" s="29">
        <f t="shared" ref="H345:H408" si="21">ROUND(FemaleAgeStart+F345,2)</f>
        <v>53.2</v>
      </c>
      <c r="I345" s="38">
        <f t="shared" ref="I345:I408" si="22">VLOOKUP(G345,muValues,2,FALSE)</f>
        <v>6.1548000000000002E-3</v>
      </c>
      <c r="J345" s="38">
        <f t="shared" ref="J345:J408" si="23">VLOOKUP(H345,muValues,3,FALSE)</f>
        <v>2.4558000000000002E-3</v>
      </c>
      <c r="K345" s="32">
        <f>K344+StepSize*L344</f>
        <v>879.46915568155293</v>
      </c>
      <c r="L345" s="33">
        <f>K345*Delta+I345*K345-J345*(DeathPayment-K345)</f>
        <v>-51.613451710323361</v>
      </c>
    </row>
    <row r="346" spans="1:12" x14ac:dyDescent="0.45">
      <c r="A346" s="11">
        <v>20.170000000000002</v>
      </c>
      <c r="B346" s="14">
        <v>5.8414999999999997E-4</v>
      </c>
      <c r="C346" s="15">
        <v>1.9035999999999999E-4</v>
      </c>
      <c r="F346" s="28">
        <v>3.21</v>
      </c>
      <c r="G346" s="29">
        <f t="shared" si="20"/>
        <v>58.21</v>
      </c>
      <c r="H346" s="29">
        <f t="shared" si="21"/>
        <v>53.21</v>
      </c>
      <c r="I346" s="38">
        <f t="shared" si="22"/>
        <v>6.16229E-3</v>
      </c>
      <c r="J346" s="38">
        <f t="shared" si="23"/>
        <v>2.4582900000000001E-3</v>
      </c>
      <c r="K346" s="32">
        <f>K345+StepSize*L345</f>
        <v>878.95302116444975</v>
      </c>
      <c r="L346" s="33">
        <f>K346*Delta+I346*K346-J346*(DeathPayment-K346)</f>
        <v>-51.770951176786085</v>
      </c>
    </row>
    <row r="347" spans="1:12" x14ac:dyDescent="0.45">
      <c r="A347" s="11">
        <v>20.18</v>
      </c>
      <c r="B347" s="14">
        <v>5.8410000000000005E-4</v>
      </c>
      <c r="C347" s="15">
        <v>1.9044E-4</v>
      </c>
      <c r="F347" s="28">
        <v>3.22</v>
      </c>
      <c r="G347" s="29">
        <f t="shared" si="20"/>
        <v>58.22</v>
      </c>
      <c r="H347" s="29">
        <f t="shared" si="21"/>
        <v>53.22</v>
      </c>
      <c r="I347" s="38">
        <f t="shared" si="22"/>
        <v>6.1697799999999997E-3</v>
      </c>
      <c r="J347" s="38">
        <f t="shared" si="23"/>
        <v>2.4607800000000001E-3</v>
      </c>
      <c r="K347" s="32">
        <f>K346+StepSize*L346</f>
        <v>878.43531165268189</v>
      </c>
      <c r="L347" s="33">
        <f>K347*Delta+I347*K347-J347*(DeathPayment-K347)</f>
        <v>-51.928588443035864</v>
      </c>
    </row>
    <row r="348" spans="1:12" x14ac:dyDescent="0.45">
      <c r="A348" s="11">
        <v>20.190000000000001</v>
      </c>
      <c r="B348" s="14">
        <v>5.8405000000000002E-4</v>
      </c>
      <c r="C348" s="15">
        <v>1.9052000000000001E-4</v>
      </c>
      <c r="F348" s="28">
        <v>3.23</v>
      </c>
      <c r="G348" s="29">
        <f t="shared" si="20"/>
        <v>58.23</v>
      </c>
      <c r="H348" s="29">
        <f t="shared" si="21"/>
        <v>53.23</v>
      </c>
      <c r="I348" s="38">
        <f t="shared" si="22"/>
        <v>6.1772700000000003E-3</v>
      </c>
      <c r="J348" s="38">
        <f t="shared" si="23"/>
        <v>2.46327E-3</v>
      </c>
      <c r="K348" s="32">
        <f>K347+StepSize*L347</f>
        <v>877.91602576825153</v>
      </c>
      <c r="L348" s="33">
        <f>K348*Delta+I348*K348-J348*(DeathPayment-K348)</f>
        <v>-52.086363667792384</v>
      </c>
    </row>
    <row r="349" spans="1:12" x14ac:dyDescent="0.45">
      <c r="A349" s="11">
        <v>20.2</v>
      </c>
      <c r="B349" s="14">
        <v>5.8399999999999999E-4</v>
      </c>
      <c r="C349" s="15">
        <v>1.906E-4</v>
      </c>
      <c r="F349" s="28">
        <v>3.24</v>
      </c>
      <c r="G349" s="29">
        <f t="shared" si="20"/>
        <v>58.24</v>
      </c>
      <c r="H349" s="29">
        <f t="shared" si="21"/>
        <v>53.24</v>
      </c>
      <c r="I349" s="38">
        <f t="shared" si="22"/>
        <v>6.1847600000000001E-3</v>
      </c>
      <c r="J349" s="38">
        <f t="shared" si="23"/>
        <v>2.46576E-3</v>
      </c>
      <c r="K349" s="32">
        <f>K348+StepSize*L348</f>
        <v>877.39516213157356</v>
      </c>
      <c r="L349" s="33">
        <f>K349*Delta+I349*K349-J349*(DeathPayment-K349)</f>
        <v>-52.244277009958893</v>
      </c>
    </row>
    <row r="350" spans="1:12" x14ac:dyDescent="0.45">
      <c r="A350" s="11">
        <v>20.21</v>
      </c>
      <c r="B350" s="14">
        <v>5.8394999999999996E-4</v>
      </c>
      <c r="C350" s="15">
        <v>1.9068000000000001E-4</v>
      </c>
      <c r="F350" s="28">
        <v>3.25</v>
      </c>
      <c r="G350" s="29">
        <f t="shared" si="20"/>
        <v>58.25</v>
      </c>
      <c r="H350" s="29">
        <f t="shared" si="21"/>
        <v>53.25</v>
      </c>
      <c r="I350" s="38">
        <f t="shared" si="22"/>
        <v>6.1922499999999998E-3</v>
      </c>
      <c r="J350" s="38">
        <f t="shared" si="23"/>
        <v>2.46825E-3</v>
      </c>
      <c r="K350" s="32">
        <f>K349+StepSize*L349</f>
        <v>876.87271936147397</v>
      </c>
      <c r="L350" s="33">
        <f>K350*Delta+I350*K350-J350*(DeathPayment-K350)</f>
        <v>-52.402328628622357</v>
      </c>
    </row>
    <row r="351" spans="1:12" x14ac:dyDescent="0.45">
      <c r="A351" s="11">
        <v>20.22</v>
      </c>
      <c r="B351" s="14">
        <v>5.8390000000000004E-4</v>
      </c>
      <c r="C351" s="15">
        <v>1.9076E-4</v>
      </c>
      <c r="F351" s="28">
        <v>3.26</v>
      </c>
      <c r="G351" s="29">
        <f t="shared" si="20"/>
        <v>58.26</v>
      </c>
      <c r="H351" s="29">
        <f t="shared" si="21"/>
        <v>53.26</v>
      </c>
      <c r="I351" s="38">
        <f t="shared" si="22"/>
        <v>6.1997399999999996E-3</v>
      </c>
      <c r="J351" s="38">
        <f t="shared" si="23"/>
        <v>2.4707399999999999E-3</v>
      </c>
      <c r="K351" s="32">
        <f>K350+StepSize*L350</f>
        <v>876.34869607518772</v>
      </c>
      <c r="L351" s="33">
        <f>K351*Delta+I351*K351-J351*(DeathPayment-K351)</f>
        <v>-52.560518683053758</v>
      </c>
    </row>
    <row r="352" spans="1:12" x14ac:dyDescent="0.45">
      <c r="A352" s="11">
        <v>20.23</v>
      </c>
      <c r="B352" s="14">
        <v>5.8385000000000002E-4</v>
      </c>
      <c r="C352" s="15">
        <v>1.9084000000000001E-4</v>
      </c>
      <c r="F352" s="28">
        <v>3.27</v>
      </c>
      <c r="G352" s="29">
        <f t="shared" si="20"/>
        <v>58.27</v>
      </c>
      <c r="H352" s="29">
        <f t="shared" si="21"/>
        <v>53.27</v>
      </c>
      <c r="I352" s="38">
        <f t="shared" si="22"/>
        <v>6.2072300000000002E-3</v>
      </c>
      <c r="J352" s="38">
        <f t="shared" si="23"/>
        <v>2.4732299999999999E-3</v>
      </c>
      <c r="K352" s="32">
        <f>K351+StepSize*L351</f>
        <v>875.82309088835723</v>
      </c>
      <c r="L352" s="33">
        <f>K352*Delta+I352*K352-J352*(DeathPayment-K352)</f>
        <v>-52.718847332708265</v>
      </c>
    </row>
    <row r="353" spans="1:12" x14ac:dyDescent="0.45">
      <c r="A353" s="11">
        <v>20.239999999999998</v>
      </c>
      <c r="B353" s="14">
        <v>5.8379999999999999E-4</v>
      </c>
      <c r="C353" s="15">
        <v>1.9091999999999999E-4</v>
      </c>
      <c r="F353" s="28">
        <v>3.28</v>
      </c>
      <c r="G353" s="29">
        <f t="shared" si="20"/>
        <v>58.28</v>
      </c>
      <c r="H353" s="29">
        <f t="shared" si="21"/>
        <v>53.28</v>
      </c>
      <c r="I353" s="38">
        <f t="shared" si="22"/>
        <v>6.21472E-3</v>
      </c>
      <c r="J353" s="38">
        <f t="shared" si="23"/>
        <v>2.4757199999999998E-3</v>
      </c>
      <c r="K353" s="32">
        <f>K352+StepSize*L352</f>
        <v>875.29590241503013</v>
      </c>
      <c r="L353" s="33">
        <f>K353*Delta+I353*K353-J353*(DeathPayment-K353)</f>
        <v>-52.877314737225504</v>
      </c>
    </row>
    <row r="354" spans="1:12" x14ac:dyDescent="0.45">
      <c r="A354" s="11">
        <v>20.25</v>
      </c>
      <c r="B354" s="14">
        <v>5.8374999999999996E-4</v>
      </c>
      <c r="C354" s="15">
        <v>1.9100000000000001E-4</v>
      </c>
      <c r="F354" s="28">
        <v>3.29</v>
      </c>
      <c r="G354" s="29">
        <f t="shared" si="20"/>
        <v>58.29</v>
      </c>
      <c r="H354" s="29">
        <f t="shared" si="21"/>
        <v>53.29</v>
      </c>
      <c r="I354" s="38">
        <f t="shared" si="22"/>
        <v>6.2222099999999997E-3</v>
      </c>
      <c r="J354" s="38">
        <f t="shared" si="23"/>
        <v>2.4782099999999998E-3</v>
      </c>
      <c r="K354" s="32">
        <f>K353+StepSize*L353</f>
        <v>874.76712926765788</v>
      </c>
      <c r="L354" s="33">
        <f>K354*Delta+I354*K354-J354*(DeathPayment-K354)</f>
        <v>-53.035921056429771</v>
      </c>
    </row>
    <row r="355" spans="1:12" x14ac:dyDescent="0.45">
      <c r="A355" s="11">
        <v>20.260000000000002</v>
      </c>
      <c r="B355" s="14">
        <v>5.8370000000000004E-4</v>
      </c>
      <c r="C355" s="15">
        <v>1.9107999999999999E-4</v>
      </c>
      <c r="F355" s="28">
        <v>3.3</v>
      </c>
      <c r="G355" s="29">
        <f t="shared" si="20"/>
        <v>58.3</v>
      </c>
      <c r="H355" s="29">
        <f t="shared" si="21"/>
        <v>53.3</v>
      </c>
      <c r="I355" s="38">
        <f t="shared" si="22"/>
        <v>6.2297000000000003E-3</v>
      </c>
      <c r="J355" s="38">
        <f t="shared" si="23"/>
        <v>2.4807000000000002E-3</v>
      </c>
      <c r="K355" s="32">
        <f>K354+StepSize*L354</f>
        <v>874.23677005709362</v>
      </c>
      <c r="L355" s="33">
        <f>K355*Delta+I355*K355-J355*(DeathPayment-K355)</f>
        <v>-53.19466645033026</v>
      </c>
    </row>
    <row r="356" spans="1:12" x14ac:dyDescent="0.45">
      <c r="A356" s="11">
        <v>20.27</v>
      </c>
      <c r="B356" s="14">
        <v>5.8365000000000001E-4</v>
      </c>
      <c r="C356" s="15">
        <v>1.9116000000000001E-4</v>
      </c>
      <c r="F356" s="28">
        <v>3.31</v>
      </c>
      <c r="G356" s="29">
        <f t="shared" si="20"/>
        <v>58.31</v>
      </c>
      <c r="H356" s="29">
        <f t="shared" si="21"/>
        <v>53.31</v>
      </c>
      <c r="I356" s="38">
        <f t="shared" si="22"/>
        <v>6.2371900000000001E-3</v>
      </c>
      <c r="J356" s="38">
        <f t="shared" si="23"/>
        <v>2.4831900000000001E-3</v>
      </c>
      <c r="K356" s="32">
        <f>K355+StepSize*L355</f>
        <v>873.70482339259036</v>
      </c>
      <c r="L356" s="33">
        <f>K356*Delta+I356*K356-J356*(DeathPayment-K356)</f>
        <v>-53.353551079121232</v>
      </c>
    </row>
    <row r="357" spans="1:12" x14ac:dyDescent="0.45">
      <c r="A357" s="11">
        <v>20.28</v>
      </c>
      <c r="B357" s="14">
        <v>5.8359999999999998E-4</v>
      </c>
      <c r="C357" s="15">
        <v>1.9123999999999999E-4</v>
      </c>
      <c r="F357" s="28">
        <v>3.32</v>
      </c>
      <c r="G357" s="29">
        <f t="shared" si="20"/>
        <v>58.32</v>
      </c>
      <c r="H357" s="29">
        <f t="shared" si="21"/>
        <v>53.32</v>
      </c>
      <c r="I357" s="38">
        <f t="shared" si="22"/>
        <v>6.2446799999999998E-3</v>
      </c>
      <c r="J357" s="38">
        <f t="shared" si="23"/>
        <v>2.4856800000000001E-3</v>
      </c>
      <c r="K357" s="32">
        <f>K356+StepSize*L356</f>
        <v>873.17128788179912</v>
      </c>
      <c r="L357" s="33">
        <f>K357*Delta+I357*K357-J357*(DeathPayment-K357)</f>
        <v>-53.5125751031824</v>
      </c>
    </row>
    <row r="358" spans="1:12" x14ac:dyDescent="0.45">
      <c r="A358" s="11">
        <v>20.29</v>
      </c>
      <c r="B358" s="14">
        <v>5.8354999999999995E-4</v>
      </c>
      <c r="C358" s="15">
        <v>1.9132E-4</v>
      </c>
      <c r="F358" s="28">
        <v>3.33</v>
      </c>
      <c r="G358" s="29">
        <f t="shared" si="20"/>
        <v>58.33</v>
      </c>
      <c r="H358" s="29">
        <f t="shared" si="21"/>
        <v>53.33</v>
      </c>
      <c r="I358" s="38">
        <f t="shared" si="22"/>
        <v>6.2521699999999996E-3</v>
      </c>
      <c r="J358" s="38">
        <f t="shared" si="23"/>
        <v>2.4881700000000001E-3</v>
      </c>
      <c r="K358" s="32">
        <f>K357+StepSize*L357</f>
        <v>872.63616213076727</v>
      </c>
      <c r="L358" s="33">
        <f>K358*Delta+I358*K358-J358*(DeathPayment-K358)</f>
        <v>-53.671738683079042</v>
      </c>
    </row>
    <row r="359" spans="1:12" x14ac:dyDescent="0.45">
      <c r="A359" s="11">
        <v>20.3</v>
      </c>
      <c r="B359" s="14">
        <v>5.8350000000000003E-4</v>
      </c>
      <c r="C359" s="15">
        <v>1.9139999999999999E-4</v>
      </c>
      <c r="F359" s="28">
        <v>3.34</v>
      </c>
      <c r="G359" s="29">
        <f t="shared" si="20"/>
        <v>58.34</v>
      </c>
      <c r="H359" s="29">
        <f t="shared" si="21"/>
        <v>53.34</v>
      </c>
      <c r="I359" s="38">
        <f t="shared" si="22"/>
        <v>6.2596600000000002E-3</v>
      </c>
      <c r="J359" s="38">
        <f t="shared" si="23"/>
        <v>2.49066E-3</v>
      </c>
      <c r="K359" s="32">
        <f>K358+StepSize*L358</f>
        <v>872.09944474393649</v>
      </c>
      <c r="L359" s="33">
        <f>K359*Delta+I359*K359-J359*(DeathPayment-K359)</f>
        <v>-53.831041979562201</v>
      </c>
    </row>
    <row r="360" spans="1:12" x14ac:dyDescent="0.45">
      <c r="A360" s="11">
        <v>20.309999999999999</v>
      </c>
      <c r="B360" s="14">
        <v>5.8345000000000001E-4</v>
      </c>
      <c r="C360" s="15">
        <v>1.9148E-4</v>
      </c>
      <c r="F360" s="28">
        <v>3.35</v>
      </c>
      <c r="G360" s="29">
        <f t="shared" si="20"/>
        <v>58.35</v>
      </c>
      <c r="H360" s="29">
        <f t="shared" si="21"/>
        <v>53.35</v>
      </c>
      <c r="I360" s="38">
        <f t="shared" si="22"/>
        <v>6.26715E-3</v>
      </c>
      <c r="J360" s="38">
        <f t="shared" si="23"/>
        <v>2.49315E-3</v>
      </c>
      <c r="K360" s="32">
        <f>K359+StepSize*L359</f>
        <v>871.56113432414088</v>
      </c>
      <c r="L360" s="33">
        <f>K360*Delta+I360*K360-J360*(DeathPayment-K360)</f>
        <v>-53.990485153569026</v>
      </c>
    </row>
    <row r="361" spans="1:12" x14ac:dyDescent="0.45">
      <c r="A361" s="11">
        <v>20.32</v>
      </c>
      <c r="B361" s="14">
        <v>5.8339999999999998E-4</v>
      </c>
      <c r="C361" s="15">
        <v>1.9155999999999999E-4</v>
      </c>
      <c r="F361" s="28">
        <v>3.36</v>
      </c>
      <c r="G361" s="29">
        <f t="shared" si="20"/>
        <v>58.36</v>
      </c>
      <c r="H361" s="29">
        <f t="shared" si="21"/>
        <v>53.36</v>
      </c>
      <c r="I361" s="38">
        <f t="shared" si="22"/>
        <v>6.2746399999999997E-3</v>
      </c>
      <c r="J361" s="38">
        <f t="shared" si="23"/>
        <v>2.4956399999999999E-3</v>
      </c>
      <c r="K361" s="32">
        <f>K360+StepSize*L360</f>
        <v>871.02122947260523</v>
      </c>
      <c r="L361" s="33">
        <f>K361*Delta+I361*K361-J361*(DeathPayment-K361)</f>
        <v>-54.150068366222882</v>
      </c>
    </row>
    <row r="362" spans="1:12" x14ac:dyDescent="0.45">
      <c r="A362" s="11">
        <v>20.329999999999998</v>
      </c>
      <c r="B362" s="14">
        <v>5.8334999999999995E-4</v>
      </c>
      <c r="C362" s="15">
        <v>1.9164E-4</v>
      </c>
      <c r="F362" s="28">
        <v>3.37</v>
      </c>
      <c r="G362" s="29">
        <f t="shared" si="20"/>
        <v>58.37</v>
      </c>
      <c r="H362" s="29">
        <f t="shared" si="21"/>
        <v>53.37</v>
      </c>
      <c r="I362" s="38">
        <f t="shared" si="22"/>
        <v>6.2821300000000004E-3</v>
      </c>
      <c r="J362" s="38">
        <f t="shared" si="23"/>
        <v>2.4981299999999999E-3</v>
      </c>
      <c r="K362" s="32">
        <f>K361+StepSize*L361</f>
        <v>870.47972878894302</v>
      </c>
      <c r="L362" s="33">
        <f>K362*Delta+I362*K362-J362*(DeathPayment-K362)</f>
        <v>-54.309791778833741</v>
      </c>
    </row>
    <row r="363" spans="1:12" x14ac:dyDescent="0.45">
      <c r="A363" s="11">
        <v>20.34</v>
      </c>
      <c r="B363" s="14">
        <v>5.8330000000000003E-4</v>
      </c>
      <c r="C363" s="15">
        <v>1.9171999999999999E-4</v>
      </c>
      <c r="F363" s="28">
        <v>3.38</v>
      </c>
      <c r="G363" s="29">
        <f t="shared" si="20"/>
        <v>58.38</v>
      </c>
      <c r="H363" s="29">
        <f t="shared" si="21"/>
        <v>53.38</v>
      </c>
      <c r="I363" s="38">
        <f t="shared" si="22"/>
        <v>6.2896200000000001E-3</v>
      </c>
      <c r="J363" s="38">
        <f t="shared" si="23"/>
        <v>2.5006199999999998E-3</v>
      </c>
      <c r="K363" s="32">
        <f>K362+StepSize*L362</f>
        <v>869.93663087115465</v>
      </c>
      <c r="L363" s="33">
        <f>K363*Delta+I363*K363-J363*(DeathPayment-K363)</f>
        <v>-54.46965555289826</v>
      </c>
    </row>
    <row r="364" spans="1:12" x14ac:dyDescent="0.45">
      <c r="A364" s="11">
        <v>20.350000000000001</v>
      </c>
      <c r="B364" s="14">
        <v>5.8325E-4</v>
      </c>
      <c r="C364" s="15">
        <v>1.918E-4</v>
      </c>
      <c r="F364" s="28">
        <v>3.39</v>
      </c>
      <c r="G364" s="29">
        <f t="shared" si="20"/>
        <v>58.39</v>
      </c>
      <c r="H364" s="29">
        <f t="shared" si="21"/>
        <v>53.39</v>
      </c>
      <c r="I364" s="38">
        <f t="shared" si="22"/>
        <v>6.2971099999999999E-3</v>
      </c>
      <c r="J364" s="38">
        <f t="shared" si="23"/>
        <v>2.5031099999999998E-3</v>
      </c>
      <c r="K364" s="32">
        <f>K363+StepSize*L363</f>
        <v>869.39193431562569</v>
      </c>
      <c r="L364" s="33">
        <f>K364*Delta+I364*K364-J364*(DeathPayment-K364)</f>
        <v>-54.629659850100069</v>
      </c>
    </row>
    <row r="365" spans="1:12" x14ac:dyDescent="0.45">
      <c r="A365" s="11">
        <v>20.36</v>
      </c>
      <c r="B365" s="14">
        <v>5.8319999999999997E-4</v>
      </c>
      <c r="C365" s="15">
        <v>1.9188000000000001E-4</v>
      </c>
      <c r="F365" s="28">
        <v>3.4</v>
      </c>
      <c r="G365" s="29">
        <f t="shared" si="20"/>
        <v>58.4</v>
      </c>
      <c r="H365" s="29">
        <f t="shared" si="21"/>
        <v>53.4</v>
      </c>
      <c r="I365" s="38">
        <f t="shared" si="22"/>
        <v>6.3045999999999996E-3</v>
      </c>
      <c r="J365" s="38">
        <f t="shared" si="23"/>
        <v>2.5056000000000002E-3</v>
      </c>
      <c r="K365" s="32">
        <f>K364+StepSize*L364</f>
        <v>868.84563771712465</v>
      </c>
      <c r="L365" s="33">
        <f>K365*Delta+I365*K365-J365*(DeathPayment-K365)</f>
        <v>-54.789804832310026</v>
      </c>
    </row>
    <row r="366" spans="1:12" x14ac:dyDescent="0.45">
      <c r="A366" s="11">
        <v>20.37</v>
      </c>
      <c r="B366" s="14">
        <v>5.8315000000000005E-4</v>
      </c>
      <c r="C366" s="15">
        <v>1.9196E-4</v>
      </c>
      <c r="F366" s="28">
        <v>3.41</v>
      </c>
      <c r="G366" s="29">
        <f t="shared" si="20"/>
        <v>58.41</v>
      </c>
      <c r="H366" s="29">
        <f t="shared" si="21"/>
        <v>53.41</v>
      </c>
      <c r="I366" s="38">
        <f t="shared" si="22"/>
        <v>6.3120900000000002E-3</v>
      </c>
      <c r="J366" s="38">
        <f t="shared" si="23"/>
        <v>2.5080900000000001E-3</v>
      </c>
      <c r="K366" s="32">
        <f>K365+StepSize*L365</f>
        <v>868.29773966880157</v>
      </c>
      <c r="L366" s="33">
        <f>K366*Delta+I366*K366-J366*(DeathPayment-K366)</f>
        <v>-54.950090661586387</v>
      </c>
    </row>
    <row r="367" spans="1:12" x14ac:dyDescent="0.45">
      <c r="A367" s="11">
        <v>20.38</v>
      </c>
      <c r="B367" s="14">
        <v>5.8310000000000002E-4</v>
      </c>
      <c r="C367" s="15">
        <v>1.9204000000000001E-4</v>
      </c>
      <c r="F367" s="28">
        <v>3.42</v>
      </c>
      <c r="G367" s="29">
        <f t="shared" si="20"/>
        <v>58.42</v>
      </c>
      <c r="H367" s="29">
        <f t="shared" si="21"/>
        <v>53.42</v>
      </c>
      <c r="I367" s="38">
        <f t="shared" si="22"/>
        <v>6.31958E-3</v>
      </c>
      <c r="J367" s="38">
        <f t="shared" si="23"/>
        <v>2.5105800000000001E-3</v>
      </c>
      <c r="K367" s="32">
        <f>K366+StepSize*L366</f>
        <v>867.74823876218568</v>
      </c>
      <c r="L367" s="33">
        <f>K367*Delta+I367*K367-J367*(DeathPayment-K367)</f>
        <v>-55.110517500175106</v>
      </c>
    </row>
    <row r="368" spans="1:12" x14ac:dyDescent="0.45">
      <c r="A368" s="11">
        <v>20.39</v>
      </c>
      <c r="B368" s="14">
        <v>5.8305E-4</v>
      </c>
      <c r="C368" s="15">
        <v>1.9212E-4</v>
      </c>
      <c r="F368" s="28">
        <v>3.43</v>
      </c>
      <c r="G368" s="29">
        <f t="shared" si="20"/>
        <v>58.43</v>
      </c>
      <c r="H368" s="29">
        <f t="shared" si="21"/>
        <v>53.43</v>
      </c>
      <c r="I368" s="38">
        <f t="shared" si="22"/>
        <v>6.3270699999999997E-3</v>
      </c>
      <c r="J368" s="38">
        <f t="shared" si="23"/>
        <v>2.5130700000000001E-3</v>
      </c>
      <c r="K368" s="32">
        <f>K367+StepSize*L367</f>
        <v>867.19713358718388</v>
      </c>
      <c r="L368" s="33">
        <f>K368*Delta+I368*K368-J368*(DeathPayment-K368)</f>
        <v>-55.271085510510076</v>
      </c>
    </row>
    <row r="369" spans="1:12" x14ac:dyDescent="0.45">
      <c r="A369" s="11">
        <v>20.399999999999999</v>
      </c>
      <c r="B369" s="14">
        <v>5.8299999999999997E-4</v>
      </c>
      <c r="C369" s="15">
        <v>1.9220000000000001E-4</v>
      </c>
      <c r="F369" s="28">
        <v>3.44</v>
      </c>
      <c r="G369" s="29">
        <f t="shared" si="20"/>
        <v>58.44</v>
      </c>
      <c r="H369" s="29">
        <f t="shared" si="21"/>
        <v>53.44</v>
      </c>
      <c r="I369" s="38">
        <f t="shared" si="22"/>
        <v>6.3345600000000004E-3</v>
      </c>
      <c r="J369" s="38">
        <f t="shared" si="23"/>
        <v>2.51556E-3</v>
      </c>
      <c r="K369" s="32">
        <f>K368+StepSize*L368</f>
        <v>866.64442273207874</v>
      </c>
      <c r="L369" s="33">
        <f>K369*Delta+I369*K369-J369*(DeathPayment-K369)</f>
        <v>-55.431794855213326</v>
      </c>
    </row>
    <row r="370" spans="1:12" x14ac:dyDescent="0.45">
      <c r="A370" s="11">
        <v>20.41</v>
      </c>
      <c r="B370" s="14">
        <v>5.8295000000000005E-4</v>
      </c>
      <c r="C370" s="15">
        <v>1.9228E-4</v>
      </c>
      <c r="F370" s="28">
        <v>3.45</v>
      </c>
      <c r="G370" s="29">
        <f t="shared" si="20"/>
        <v>58.45</v>
      </c>
      <c r="H370" s="29">
        <f t="shared" si="21"/>
        <v>53.45</v>
      </c>
      <c r="I370" s="38">
        <f t="shared" si="22"/>
        <v>6.3420500000000001E-3</v>
      </c>
      <c r="J370" s="38">
        <f t="shared" si="23"/>
        <v>2.51805E-3</v>
      </c>
      <c r="K370" s="32">
        <f>K369+StepSize*L369</f>
        <v>866.09010478352661</v>
      </c>
      <c r="L370" s="33">
        <f>K370*Delta+I370*K370-J370*(DeathPayment-K370)</f>
        <v>-55.592645697095151</v>
      </c>
    </row>
    <row r="371" spans="1:12" x14ac:dyDescent="0.45">
      <c r="A371" s="11">
        <v>20.420000000000002</v>
      </c>
      <c r="B371" s="14">
        <v>5.8290000000000002E-4</v>
      </c>
      <c r="C371" s="15">
        <v>1.9236000000000001E-4</v>
      </c>
      <c r="F371" s="28">
        <v>3.46</v>
      </c>
      <c r="G371" s="29">
        <f t="shared" si="20"/>
        <v>58.46</v>
      </c>
      <c r="H371" s="29">
        <f t="shared" si="21"/>
        <v>53.46</v>
      </c>
      <c r="I371" s="38">
        <f t="shared" si="22"/>
        <v>6.3495399999999999E-3</v>
      </c>
      <c r="J371" s="38">
        <f t="shared" si="23"/>
        <v>2.5205399999999999E-3</v>
      </c>
      <c r="K371" s="32">
        <f>K370+StepSize*L370</f>
        <v>865.53417832655566</v>
      </c>
      <c r="L371" s="33">
        <f>K371*Delta+I371*K371-J371*(DeathPayment-K371)</f>
        <v>-55.753638199154636</v>
      </c>
    </row>
    <row r="372" spans="1:12" x14ac:dyDescent="0.45">
      <c r="A372" s="11">
        <v>20.43</v>
      </c>
      <c r="B372" s="14">
        <v>5.8284999999999999E-4</v>
      </c>
      <c r="C372" s="15">
        <v>1.9243999999999999E-4</v>
      </c>
      <c r="F372" s="28">
        <v>3.47</v>
      </c>
      <c r="G372" s="29">
        <f t="shared" si="20"/>
        <v>58.47</v>
      </c>
      <c r="H372" s="29">
        <f t="shared" si="21"/>
        <v>53.47</v>
      </c>
      <c r="I372" s="38">
        <f t="shared" si="22"/>
        <v>6.3570299999999996E-3</v>
      </c>
      <c r="J372" s="38">
        <f t="shared" si="23"/>
        <v>2.5230299999999999E-3</v>
      </c>
      <c r="K372" s="32">
        <f>K371+StepSize*L371</f>
        <v>864.97664194456411</v>
      </c>
      <c r="L372" s="33">
        <f>K372*Delta+I372*K372-J372*(DeathPayment-K372)</f>
        <v>-55.914772524579533</v>
      </c>
    </row>
    <row r="373" spans="1:12" x14ac:dyDescent="0.45">
      <c r="A373" s="11">
        <v>20.440000000000001</v>
      </c>
      <c r="B373" s="14">
        <v>5.8279999999999996E-4</v>
      </c>
      <c r="C373" s="15">
        <v>1.9252000000000001E-4</v>
      </c>
      <c r="F373" s="28">
        <v>3.48</v>
      </c>
      <c r="G373" s="29">
        <f t="shared" si="20"/>
        <v>58.48</v>
      </c>
      <c r="H373" s="29">
        <f t="shared" si="21"/>
        <v>53.48</v>
      </c>
      <c r="I373" s="38">
        <f t="shared" si="22"/>
        <v>6.3645200000000002E-3</v>
      </c>
      <c r="J373" s="38">
        <f t="shared" si="23"/>
        <v>2.5255199999999998E-3</v>
      </c>
      <c r="K373" s="32">
        <f>K372+StepSize*L372</f>
        <v>864.41749421931831</v>
      </c>
      <c r="L373" s="33">
        <f>K373*Delta+I373*K373-J373*(DeathPayment-K373)</f>
        <v>-56.076048836746779</v>
      </c>
    </row>
    <row r="374" spans="1:12" x14ac:dyDescent="0.45">
      <c r="A374" s="11">
        <v>20.45</v>
      </c>
      <c r="B374" s="14">
        <v>5.8275000000000004E-4</v>
      </c>
      <c r="C374" s="15">
        <v>1.9259999999999999E-4</v>
      </c>
      <c r="F374" s="28">
        <v>3.49</v>
      </c>
      <c r="G374" s="29">
        <f t="shared" si="20"/>
        <v>58.49</v>
      </c>
      <c r="H374" s="29">
        <f t="shared" si="21"/>
        <v>53.49</v>
      </c>
      <c r="I374" s="38">
        <f t="shared" si="22"/>
        <v>6.37201E-3</v>
      </c>
      <c r="J374" s="38">
        <f t="shared" si="23"/>
        <v>2.5280099999999998E-3</v>
      </c>
      <c r="K374" s="32">
        <f>K373+StepSize*L373</f>
        <v>863.85673373095085</v>
      </c>
      <c r="L374" s="33">
        <f>K374*Delta+I374*K374-J374*(DeathPayment-K374)</f>
        <v>-56.237467299222601</v>
      </c>
    </row>
    <row r="375" spans="1:12" x14ac:dyDescent="0.45">
      <c r="A375" s="11">
        <v>20.46</v>
      </c>
      <c r="B375" s="14">
        <v>5.8270000000000001E-4</v>
      </c>
      <c r="C375" s="15">
        <v>1.9268000000000001E-4</v>
      </c>
      <c r="F375" s="28">
        <v>3.5</v>
      </c>
      <c r="G375" s="29">
        <f t="shared" si="20"/>
        <v>58.5</v>
      </c>
      <c r="H375" s="29">
        <f t="shared" si="21"/>
        <v>53.5</v>
      </c>
      <c r="I375" s="38">
        <f t="shared" si="22"/>
        <v>6.3794999999999998E-3</v>
      </c>
      <c r="J375" s="38">
        <f t="shared" si="23"/>
        <v>2.5305000000000002E-3</v>
      </c>
      <c r="K375" s="32">
        <f>K374+StepSize*L374</f>
        <v>863.29435905795867</v>
      </c>
      <c r="L375" s="33">
        <f>K375*Delta+I375*K375-J375*(DeathPayment-K375)</f>
        <v>-56.399028075762757</v>
      </c>
    </row>
    <row r="376" spans="1:12" x14ac:dyDescent="0.45">
      <c r="A376" s="11">
        <v>20.47</v>
      </c>
      <c r="B376" s="14">
        <v>5.8264999999999999E-4</v>
      </c>
      <c r="C376" s="15">
        <v>1.9275999999999999E-4</v>
      </c>
      <c r="F376" s="28">
        <v>3.51</v>
      </c>
      <c r="G376" s="29">
        <f t="shared" si="20"/>
        <v>58.51</v>
      </c>
      <c r="H376" s="29">
        <f t="shared" si="21"/>
        <v>53.51</v>
      </c>
      <c r="I376" s="38">
        <f t="shared" si="22"/>
        <v>6.3869900000000004E-3</v>
      </c>
      <c r="J376" s="38">
        <f t="shared" si="23"/>
        <v>2.5329900000000002E-3</v>
      </c>
      <c r="K376" s="32">
        <f>K375+StepSize*L375</f>
        <v>862.73036877720108</v>
      </c>
      <c r="L376" s="33">
        <f>K376*Delta+I376*K376-J376*(DeathPayment-K376)</f>
        <v>-56.560731330312791</v>
      </c>
    </row>
    <row r="377" spans="1:12" x14ac:dyDescent="0.45">
      <c r="A377" s="11">
        <v>20.48</v>
      </c>
      <c r="B377" s="14">
        <v>5.8259999999999996E-4</v>
      </c>
      <c r="C377" s="15">
        <v>1.9284E-4</v>
      </c>
      <c r="F377" s="28">
        <v>3.52</v>
      </c>
      <c r="G377" s="29">
        <f t="shared" si="20"/>
        <v>58.52</v>
      </c>
      <c r="H377" s="29">
        <f t="shared" si="21"/>
        <v>53.52</v>
      </c>
      <c r="I377" s="38">
        <f t="shared" si="22"/>
        <v>6.3944800000000001E-3</v>
      </c>
      <c r="J377" s="38">
        <f t="shared" si="23"/>
        <v>2.5354800000000001E-3</v>
      </c>
      <c r="K377" s="32">
        <f>K376+StepSize*L376</f>
        <v>862.164761463898</v>
      </c>
      <c r="L377" s="33">
        <f>K377*Delta+I377*K377-J377*(DeathPayment-K377)</f>
        <v>-56.72257722700823</v>
      </c>
    </row>
    <row r="378" spans="1:12" x14ac:dyDescent="0.45">
      <c r="A378" s="11">
        <v>20.49</v>
      </c>
      <c r="B378" s="14">
        <v>5.8255000000000004E-4</v>
      </c>
      <c r="C378" s="15">
        <v>1.9291999999999999E-4</v>
      </c>
      <c r="F378" s="28">
        <v>3.53</v>
      </c>
      <c r="G378" s="29">
        <f t="shared" si="20"/>
        <v>58.53</v>
      </c>
      <c r="H378" s="29">
        <f t="shared" si="21"/>
        <v>53.53</v>
      </c>
      <c r="I378" s="38">
        <f t="shared" si="22"/>
        <v>6.4019699999999999E-3</v>
      </c>
      <c r="J378" s="38">
        <f t="shared" si="23"/>
        <v>2.5379700000000001E-3</v>
      </c>
      <c r="K378" s="32">
        <f>K377+StepSize*L377</f>
        <v>861.59753569162797</v>
      </c>
      <c r="L378" s="33">
        <f>K378*Delta+I378*K378-J378*(DeathPayment-K378)</f>
        <v>-56.884565930174958</v>
      </c>
    </row>
    <row r="379" spans="1:12" x14ac:dyDescent="0.45">
      <c r="A379" s="11">
        <v>20.5</v>
      </c>
      <c r="B379" s="14">
        <v>5.8250000000000001E-4</v>
      </c>
      <c r="C379" s="15">
        <v>1.93E-4</v>
      </c>
      <c r="F379" s="28">
        <v>3.54</v>
      </c>
      <c r="G379" s="29">
        <f t="shared" si="20"/>
        <v>58.54</v>
      </c>
      <c r="H379" s="29">
        <f t="shared" si="21"/>
        <v>53.54</v>
      </c>
      <c r="I379" s="38">
        <f t="shared" si="22"/>
        <v>6.4094599999999996E-3</v>
      </c>
      <c r="J379" s="38">
        <f t="shared" si="23"/>
        <v>2.54046E-3</v>
      </c>
      <c r="K379" s="32">
        <f>K378+StepSize*L378</f>
        <v>861.02869003232627</v>
      </c>
      <c r="L379" s="33">
        <f>K379*Delta+I379*K379-J379*(DeathPayment-K379)</f>
        <v>-57.046697604329253</v>
      </c>
    </row>
    <row r="380" spans="1:12" x14ac:dyDescent="0.45">
      <c r="A380" s="11">
        <v>20.51</v>
      </c>
      <c r="B380" s="14">
        <v>5.8244999999999998E-4</v>
      </c>
      <c r="C380" s="15">
        <v>1.9307999999999999E-4</v>
      </c>
      <c r="F380" s="28">
        <v>3.55</v>
      </c>
      <c r="G380" s="29">
        <f t="shared" si="20"/>
        <v>58.55</v>
      </c>
      <c r="H380" s="29">
        <f t="shared" si="21"/>
        <v>53.55</v>
      </c>
      <c r="I380" s="38">
        <f t="shared" si="22"/>
        <v>6.4169500000000003E-3</v>
      </c>
      <c r="J380" s="38">
        <f t="shared" si="23"/>
        <v>2.54295E-3</v>
      </c>
      <c r="K380" s="32">
        <f>K379+StepSize*L379</f>
        <v>860.45822305628292</v>
      </c>
      <c r="L380" s="33">
        <f>K380*Delta+I380*K380-J380*(DeathPayment-K380)</f>
        <v>-57.208972414178163</v>
      </c>
    </row>
    <row r="381" spans="1:12" x14ac:dyDescent="0.45">
      <c r="A381" s="11">
        <v>20.52</v>
      </c>
      <c r="B381" s="14">
        <v>5.8239999999999995E-4</v>
      </c>
      <c r="C381" s="15">
        <v>1.9316E-4</v>
      </c>
      <c r="F381" s="28">
        <v>3.56</v>
      </c>
      <c r="G381" s="29">
        <f t="shared" si="20"/>
        <v>58.56</v>
      </c>
      <c r="H381" s="29">
        <f t="shared" si="21"/>
        <v>53.56</v>
      </c>
      <c r="I381" s="38">
        <f t="shared" si="22"/>
        <v>6.42444E-3</v>
      </c>
      <c r="J381" s="38">
        <f t="shared" si="23"/>
        <v>2.5454399999999999E-3</v>
      </c>
      <c r="K381" s="32">
        <f>K380+StepSize*L380</f>
        <v>859.88613333214118</v>
      </c>
      <c r="L381" s="33">
        <f>K381*Delta+I381*K381-J381*(DeathPayment-K381)</f>
        <v>-57.371390524619684</v>
      </c>
    </row>
    <row r="382" spans="1:12" x14ac:dyDescent="0.45">
      <c r="A382" s="11">
        <v>20.53</v>
      </c>
      <c r="B382" s="14">
        <v>5.8235000000000003E-4</v>
      </c>
      <c r="C382" s="15">
        <v>1.9324000000000001E-4</v>
      </c>
      <c r="F382" s="28">
        <v>3.57</v>
      </c>
      <c r="G382" s="29">
        <f t="shared" si="20"/>
        <v>58.57</v>
      </c>
      <c r="H382" s="29">
        <f t="shared" si="21"/>
        <v>53.57</v>
      </c>
      <c r="I382" s="38">
        <f t="shared" si="22"/>
        <v>6.4319299999999998E-3</v>
      </c>
      <c r="J382" s="38">
        <f t="shared" si="23"/>
        <v>2.5479299999999999E-3</v>
      </c>
      <c r="K382" s="32">
        <f>K381+StepSize*L381</f>
        <v>859.31241942689496</v>
      </c>
      <c r="L382" s="33">
        <f>K382*Delta+I382*K382-J382*(DeathPayment-K382)</f>
        <v>-57.533952100743022</v>
      </c>
    </row>
    <row r="383" spans="1:12" x14ac:dyDescent="0.45">
      <c r="A383" s="11">
        <v>20.54</v>
      </c>
      <c r="B383" s="14">
        <v>5.8230000000000001E-4</v>
      </c>
      <c r="C383" s="15">
        <v>1.9332E-4</v>
      </c>
      <c r="F383" s="28">
        <v>3.58</v>
      </c>
      <c r="G383" s="29">
        <f t="shared" si="20"/>
        <v>58.58</v>
      </c>
      <c r="H383" s="29">
        <f t="shared" si="21"/>
        <v>53.58</v>
      </c>
      <c r="I383" s="38">
        <f t="shared" si="22"/>
        <v>6.4394200000000004E-3</v>
      </c>
      <c r="J383" s="38">
        <f t="shared" si="23"/>
        <v>2.5504199999999999E-3</v>
      </c>
      <c r="K383" s="32">
        <f>K382+StepSize*L382</f>
        <v>858.73707990588753</v>
      </c>
      <c r="L383" s="33">
        <f>K383*Delta+I383*K383-J383*(DeathPayment-K383)</f>
        <v>-57.696657307828858</v>
      </c>
    </row>
    <row r="384" spans="1:12" x14ac:dyDescent="0.45">
      <c r="A384" s="11">
        <v>20.55</v>
      </c>
      <c r="B384" s="14">
        <v>5.8224999999999998E-4</v>
      </c>
      <c r="C384" s="15">
        <v>1.9340000000000001E-4</v>
      </c>
      <c r="F384" s="28">
        <v>3.59</v>
      </c>
      <c r="G384" s="29">
        <f t="shared" si="20"/>
        <v>58.59</v>
      </c>
      <c r="H384" s="29">
        <f t="shared" si="21"/>
        <v>53.59</v>
      </c>
      <c r="I384" s="38">
        <f t="shared" si="22"/>
        <v>6.4469100000000001E-3</v>
      </c>
      <c r="J384" s="38">
        <f t="shared" si="23"/>
        <v>2.5529099999999998E-3</v>
      </c>
      <c r="K384" s="32">
        <f>K383+StepSize*L383</f>
        <v>858.16011333280926</v>
      </c>
      <c r="L384" s="33">
        <f>K384*Delta+I384*K384-J384*(DeathPayment-K384)</f>
        <v>-57.859506311349435</v>
      </c>
    </row>
    <row r="385" spans="1:12" x14ac:dyDescent="0.45">
      <c r="A385" s="11">
        <v>20.56</v>
      </c>
      <c r="B385" s="14">
        <v>5.8219999999999995E-4</v>
      </c>
      <c r="C385" s="15">
        <v>1.9348E-4</v>
      </c>
      <c r="F385" s="28">
        <v>3.6</v>
      </c>
      <c r="G385" s="29">
        <f t="shared" si="20"/>
        <v>58.6</v>
      </c>
      <c r="H385" s="29">
        <f t="shared" si="21"/>
        <v>53.6</v>
      </c>
      <c r="I385" s="38">
        <f t="shared" si="22"/>
        <v>6.4543999999999999E-3</v>
      </c>
      <c r="J385" s="38">
        <f t="shared" si="23"/>
        <v>2.5554000000000002E-3</v>
      </c>
      <c r="K385" s="32">
        <f>K384+StepSize*L384</f>
        <v>857.58151826969572</v>
      </c>
      <c r="L385" s="33">
        <f>K385*Delta+I385*K385-J385*(DeathPayment-K385)</f>
        <v>-58.022499276969128</v>
      </c>
    </row>
    <row r="386" spans="1:12" x14ac:dyDescent="0.45">
      <c r="A386" s="11">
        <v>20.57</v>
      </c>
      <c r="B386" s="14">
        <v>5.8215000000000003E-4</v>
      </c>
      <c r="C386" s="15">
        <v>1.9356000000000001E-4</v>
      </c>
      <c r="F386" s="28">
        <v>3.61</v>
      </c>
      <c r="G386" s="29">
        <f t="shared" si="20"/>
        <v>58.61</v>
      </c>
      <c r="H386" s="29">
        <f t="shared" si="21"/>
        <v>53.61</v>
      </c>
      <c r="I386" s="38">
        <f t="shared" si="22"/>
        <v>6.4618899999999996E-3</v>
      </c>
      <c r="J386" s="38">
        <f t="shared" si="23"/>
        <v>2.5578900000000002E-3</v>
      </c>
      <c r="K386" s="32">
        <f>K385+StepSize*L385</f>
        <v>857.00129327692605</v>
      </c>
      <c r="L386" s="33">
        <f>K386*Delta+I386*K386-J386*(DeathPayment-K386)</f>
        <v>-58.185636370544216</v>
      </c>
    </row>
    <row r="387" spans="1:12" x14ac:dyDescent="0.45">
      <c r="A387" s="11">
        <v>20.58</v>
      </c>
      <c r="B387" s="14">
        <v>5.821E-4</v>
      </c>
      <c r="C387" s="15">
        <v>1.9364E-4</v>
      </c>
      <c r="F387" s="28">
        <v>3.62</v>
      </c>
      <c r="G387" s="29">
        <f t="shared" si="20"/>
        <v>58.62</v>
      </c>
      <c r="H387" s="29">
        <f t="shared" si="21"/>
        <v>53.62</v>
      </c>
      <c r="I387" s="38">
        <f t="shared" si="22"/>
        <v>6.4693800000000003E-3</v>
      </c>
      <c r="J387" s="38">
        <f t="shared" si="23"/>
        <v>2.5603800000000001E-3</v>
      </c>
      <c r="K387" s="32">
        <f>K386+StepSize*L386</f>
        <v>856.41943691322058</v>
      </c>
      <c r="L387" s="33">
        <f>K387*Delta+I387*K387-J387*(DeathPayment-K387)</f>
        <v>-58.348917758123534</v>
      </c>
    </row>
    <row r="388" spans="1:12" x14ac:dyDescent="0.45">
      <c r="A388" s="11">
        <v>20.59</v>
      </c>
      <c r="B388" s="14">
        <v>5.8204999999999997E-4</v>
      </c>
      <c r="C388" s="15">
        <v>1.9372000000000001E-4</v>
      </c>
      <c r="F388" s="28">
        <v>3.63</v>
      </c>
      <c r="G388" s="29">
        <f t="shared" si="20"/>
        <v>58.63</v>
      </c>
      <c r="H388" s="29">
        <f t="shared" si="21"/>
        <v>53.63</v>
      </c>
      <c r="I388" s="38">
        <f t="shared" si="22"/>
        <v>6.47687E-3</v>
      </c>
      <c r="J388" s="38">
        <f t="shared" si="23"/>
        <v>2.5628700000000001E-3</v>
      </c>
      <c r="K388" s="32">
        <f>K387+StepSize*L387</f>
        <v>855.83594773563937</v>
      </c>
      <c r="L388" s="33">
        <f>K388*Delta+I388*K388-J388*(DeathPayment-K388)</f>
        <v>-58.512343605948502</v>
      </c>
    </row>
    <row r="389" spans="1:12" x14ac:dyDescent="0.45">
      <c r="A389" s="11">
        <v>20.6</v>
      </c>
      <c r="B389" s="14">
        <v>5.8200000000000005E-4</v>
      </c>
      <c r="C389" s="15">
        <v>1.9379999999999999E-4</v>
      </c>
      <c r="F389" s="28">
        <v>3.64</v>
      </c>
      <c r="G389" s="29">
        <f t="shared" si="20"/>
        <v>58.64</v>
      </c>
      <c r="H389" s="29">
        <f t="shared" si="21"/>
        <v>53.64</v>
      </c>
      <c r="I389" s="38">
        <f t="shared" si="22"/>
        <v>6.4843599999999998E-3</v>
      </c>
      <c r="J389" s="38">
        <f t="shared" si="23"/>
        <v>2.56536E-3</v>
      </c>
      <c r="K389" s="32">
        <f>K388+StepSize*L388</f>
        <v>855.2508242995799</v>
      </c>
      <c r="L389" s="33">
        <f>K389*Delta+I389*K389-J389*(DeathPayment-K389)</f>
        <v>-58.675914080453438</v>
      </c>
    </row>
    <row r="390" spans="1:12" x14ac:dyDescent="0.45">
      <c r="A390" s="11">
        <v>20.61</v>
      </c>
      <c r="B390" s="14">
        <v>5.8195000000000002E-4</v>
      </c>
      <c r="C390" s="15">
        <v>1.9388000000000001E-4</v>
      </c>
      <c r="F390" s="28">
        <v>3.65</v>
      </c>
      <c r="G390" s="29">
        <f t="shared" si="20"/>
        <v>58.65</v>
      </c>
      <c r="H390" s="29">
        <f t="shared" si="21"/>
        <v>53.65</v>
      </c>
      <c r="I390" s="38">
        <f t="shared" si="22"/>
        <v>6.4918500000000004E-3</v>
      </c>
      <c r="J390" s="38">
        <f t="shared" si="23"/>
        <v>2.56785E-3</v>
      </c>
      <c r="K390" s="32">
        <f>K389+StepSize*L389</f>
        <v>854.66406515877532</v>
      </c>
      <c r="L390" s="33">
        <f>K390*Delta+I390*K390-J390*(DeathPayment-K390)</f>
        <v>-58.839629348265774</v>
      </c>
    </row>
    <row r="391" spans="1:12" x14ac:dyDescent="0.45">
      <c r="A391" s="11">
        <v>20.62</v>
      </c>
      <c r="B391" s="14">
        <v>5.819E-4</v>
      </c>
      <c r="C391" s="15">
        <v>1.9395999999999999E-4</v>
      </c>
      <c r="F391" s="28">
        <v>3.66</v>
      </c>
      <c r="G391" s="29">
        <f t="shared" si="20"/>
        <v>58.66</v>
      </c>
      <c r="H391" s="29">
        <f t="shared" si="21"/>
        <v>53.66</v>
      </c>
      <c r="I391" s="38">
        <f t="shared" si="22"/>
        <v>6.4993400000000002E-3</v>
      </c>
      <c r="J391" s="38">
        <f t="shared" si="23"/>
        <v>2.57034E-3</v>
      </c>
      <c r="K391" s="32">
        <f>K390+StepSize*L390</f>
        <v>854.07566886529264</v>
      </c>
      <c r="L391" s="33">
        <f>K391*Delta+I391*K391-J391*(DeathPayment-K391)</f>
        <v>-59.003489576206221</v>
      </c>
    </row>
    <row r="392" spans="1:12" x14ac:dyDescent="0.45">
      <c r="A392" s="11">
        <v>20.63</v>
      </c>
      <c r="B392" s="14">
        <v>5.8184999999999997E-4</v>
      </c>
      <c r="C392" s="15">
        <v>1.9404000000000001E-4</v>
      </c>
      <c r="F392" s="28">
        <v>3.67</v>
      </c>
      <c r="G392" s="29">
        <f t="shared" si="20"/>
        <v>58.67</v>
      </c>
      <c r="H392" s="29">
        <f t="shared" si="21"/>
        <v>53.67</v>
      </c>
      <c r="I392" s="38">
        <f t="shared" si="22"/>
        <v>6.5068299999999999E-3</v>
      </c>
      <c r="J392" s="38">
        <f t="shared" si="23"/>
        <v>2.5728299999999999E-3</v>
      </c>
      <c r="K392" s="32">
        <f>K391+StepSize*L391</f>
        <v>853.48563396953057</v>
      </c>
      <c r="L392" s="33">
        <f>K392*Delta+I392*K392-J392*(DeathPayment-K392)</f>
        <v>-59.16749493128917</v>
      </c>
    </row>
    <row r="393" spans="1:12" x14ac:dyDescent="0.45">
      <c r="A393" s="11">
        <v>20.64</v>
      </c>
      <c r="B393" s="14">
        <v>5.8180000000000005E-4</v>
      </c>
      <c r="C393" s="15">
        <v>1.9411999999999999E-4</v>
      </c>
      <c r="F393" s="28">
        <v>3.68</v>
      </c>
      <c r="G393" s="29">
        <f t="shared" si="20"/>
        <v>58.68</v>
      </c>
      <c r="H393" s="29">
        <f t="shared" si="21"/>
        <v>53.68</v>
      </c>
      <c r="I393" s="38">
        <f t="shared" si="22"/>
        <v>6.5143199999999997E-3</v>
      </c>
      <c r="J393" s="38">
        <f t="shared" si="23"/>
        <v>2.5753199999999999E-3</v>
      </c>
      <c r="K393" s="32">
        <f>K392+StepSize*L392</f>
        <v>852.89395902021772</v>
      </c>
      <c r="L393" s="33">
        <f>K393*Delta+I393*K393-J393*(DeathPayment-K393)</f>
        <v>-59.331645580722821</v>
      </c>
    </row>
    <row r="394" spans="1:12" x14ac:dyDescent="0.45">
      <c r="A394" s="11">
        <v>20.65</v>
      </c>
      <c r="B394" s="14">
        <v>5.8175000000000002E-4</v>
      </c>
      <c r="C394" s="15">
        <v>1.942E-4</v>
      </c>
      <c r="F394" s="28">
        <v>3.69</v>
      </c>
      <c r="G394" s="29">
        <f t="shared" si="20"/>
        <v>58.69</v>
      </c>
      <c r="H394" s="29">
        <f t="shared" si="21"/>
        <v>53.69</v>
      </c>
      <c r="I394" s="38">
        <f t="shared" si="22"/>
        <v>6.5218100000000003E-3</v>
      </c>
      <c r="J394" s="38">
        <f t="shared" si="23"/>
        <v>2.5778099999999998E-3</v>
      </c>
      <c r="K394" s="32">
        <f>K393+StepSize*L393</f>
        <v>852.30064256441051</v>
      </c>
      <c r="L394" s="33">
        <f>K394*Delta+I394*K394-J394*(DeathPayment-K394)</f>
        <v>-59.495941691909451</v>
      </c>
    </row>
    <row r="395" spans="1:12" x14ac:dyDescent="0.45">
      <c r="A395" s="11">
        <v>20.66</v>
      </c>
      <c r="B395" s="14">
        <v>5.8169999999999999E-4</v>
      </c>
      <c r="C395" s="15">
        <v>1.9427999999999999E-4</v>
      </c>
      <c r="F395" s="28">
        <v>3.7</v>
      </c>
      <c r="G395" s="29">
        <f t="shared" si="20"/>
        <v>58.7</v>
      </c>
      <c r="H395" s="29">
        <f t="shared" si="21"/>
        <v>53.7</v>
      </c>
      <c r="I395" s="38">
        <f t="shared" si="22"/>
        <v>6.5293E-3</v>
      </c>
      <c r="J395" s="38">
        <f t="shared" si="23"/>
        <v>2.5803000000000002E-3</v>
      </c>
      <c r="K395" s="32">
        <f>K394+StepSize*L394</f>
        <v>851.70568314749141</v>
      </c>
      <c r="L395" s="33">
        <f>K395*Delta+I395*K395-J395*(DeathPayment-K395)</f>
        <v>-59.660383432445656</v>
      </c>
    </row>
    <row r="396" spans="1:12" x14ac:dyDescent="0.45">
      <c r="A396" s="11">
        <v>20.67</v>
      </c>
      <c r="B396" s="14">
        <v>5.8164999999999996E-4</v>
      </c>
      <c r="C396" s="15">
        <v>1.9436E-4</v>
      </c>
      <c r="F396" s="28">
        <v>3.71</v>
      </c>
      <c r="G396" s="29">
        <f t="shared" si="20"/>
        <v>58.71</v>
      </c>
      <c r="H396" s="29">
        <f t="shared" si="21"/>
        <v>53.71</v>
      </c>
      <c r="I396" s="38">
        <f t="shared" si="22"/>
        <v>6.5367899999999998E-3</v>
      </c>
      <c r="J396" s="38">
        <f t="shared" si="23"/>
        <v>2.5827900000000002E-3</v>
      </c>
      <c r="K396" s="32">
        <f>K395+StepSize*L395</f>
        <v>851.10907931316694</v>
      </c>
      <c r="L396" s="33">
        <f>K396*Delta+I396*K396-J396*(DeathPayment-K396)</f>
        <v>-59.824970970122578</v>
      </c>
    </row>
    <row r="397" spans="1:12" x14ac:dyDescent="0.45">
      <c r="A397" s="11">
        <v>20.68</v>
      </c>
      <c r="B397" s="14">
        <v>5.8160000000000004E-4</v>
      </c>
      <c r="C397" s="15">
        <v>1.9443999999999999E-4</v>
      </c>
      <c r="F397" s="28">
        <v>3.72</v>
      </c>
      <c r="G397" s="29">
        <f t="shared" si="20"/>
        <v>58.72</v>
      </c>
      <c r="H397" s="29">
        <f t="shared" si="21"/>
        <v>53.72</v>
      </c>
      <c r="I397" s="38">
        <f t="shared" si="22"/>
        <v>6.5442800000000004E-3</v>
      </c>
      <c r="J397" s="38">
        <f t="shared" si="23"/>
        <v>2.5852800000000001E-3</v>
      </c>
      <c r="K397" s="32">
        <f>K396+StepSize*L396</f>
        <v>850.51082960346571</v>
      </c>
      <c r="L397" s="33">
        <f>K397*Delta+I397*K397-J397*(DeathPayment-K397)</f>
        <v>-59.989704472926121</v>
      </c>
    </row>
    <row r="398" spans="1:12" x14ac:dyDescent="0.45">
      <c r="A398" s="11">
        <v>20.69</v>
      </c>
      <c r="B398" s="14">
        <v>5.8155000000000001E-4</v>
      </c>
      <c r="C398" s="15">
        <v>1.9452E-4</v>
      </c>
      <c r="F398" s="28">
        <v>3.73</v>
      </c>
      <c r="G398" s="29">
        <f t="shared" si="20"/>
        <v>58.73</v>
      </c>
      <c r="H398" s="29">
        <f t="shared" si="21"/>
        <v>53.73</v>
      </c>
      <c r="I398" s="38">
        <f t="shared" si="22"/>
        <v>6.5517700000000002E-3</v>
      </c>
      <c r="J398" s="38">
        <f t="shared" si="23"/>
        <v>2.5877700000000001E-3</v>
      </c>
      <c r="K398" s="32">
        <f>K397+StepSize*L397</f>
        <v>849.91093255873648</v>
      </c>
      <c r="L398" s="33">
        <f>K398*Delta+I398*K398-J398*(DeathPayment-K398)</f>
        <v>-60.154584109037359</v>
      </c>
    </row>
    <row r="399" spans="1:12" x14ac:dyDescent="0.45">
      <c r="A399" s="11">
        <v>20.7</v>
      </c>
      <c r="B399" s="14">
        <v>5.8149999999999999E-4</v>
      </c>
      <c r="C399" s="15">
        <v>1.9459999999999999E-4</v>
      </c>
      <c r="F399" s="28">
        <v>3.74</v>
      </c>
      <c r="G399" s="29">
        <f t="shared" si="20"/>
        <v>58.74</v>
      </c>
      <c r="H399" s="29">
        <f t="shared" si="21"/>
        <v>53.74</v>
      </c>
      <c r="I399" s="38">
        <f t="shared" si="22"/>
        <v>6.5592599999999999E-3</v>
      </c>
      <c r="J399" s="38">
        <f t="shared" si="23"/>
        <v>2.59026E-3</v>
      </c>
      <c r="K399" s="32">
        <f>K398+StepSize*L398</f>
        <v>849.30938671764613</v>
      </c>
      <c r="L399" s="33">
        <f>K399*Delta+I399*K399-J399*(DeathPayment-K399)</f>
        <v>-60.319610046832508</v>
      </c>
    </row>
    <row r="400" spans="1:12" x14ac:dyDescent="0.45">
      <c r="A400" s="11">
        <v>20.71</v>
      </c>
      <c r="B400" s="14">
        <v>5.8144999999999996E-4</v>
      </c>
      <c r="C400" s="15">
        <v>1.9468E-4</v>
      </c>
      <c r="F400" s="28">
        <v>3.75</v>
      </c>
      <c r="G400" s="29">
        <f t="shared" si="20"/>
        <v>58.75</v>
      </c>
      <c r="H400" s="29">
        <f t="shared" si="21"/>
        <v>53.75</v>
      </c>
      <c r="I400" s="38">
        <f t="shared" si="22"/>
        <v>6.5667499999999997E-3</v>
      </c>
      <c r="J400" s="38">
        <f t="shared" si="23"/>
        <v>2.59275E-3</v>
      </c>
      <c r="K400" s="32">
        <f>K399+StepSize*L399</f>
        <v>848.70619061717775</v>
      </c>
      <c r="L400" s="33">
        <f>K400*Delta+I400*K400-J400*(DeathPayment-K400)</f>
        <v>-60.48478245488343</v>
      </c>
    </row>
    <row r="401" spans="1:12" x14ac:dyDescent="0.45">
      <c r="A401" s="11">
        <v>20.72</v>
      </c>
      <c r="B401" s="14">
        <v>5.8140000000000004E-4</v>
      </c>
      <c r="C401" s="15">
        <v>1.9476000000000001E-4</v>
      </c>
      <c r="F401" s="28">
        <v>3.76</v>
      </c>
      <c r="G401" s="29">
        <f t="shared" si="20"/>
        <v>58.76</v>
      </c>
      <c r="H401" s="29">
        <f t="shared" si="21"/>
        <v>53.76</v>
      </c>
      <c r="I401" s="38">
        <f t="shared" si="22"/>
        <v>6.5742400000000003E-3</v>
      </c>
      <c r="J401" s="38">
        <f t="shared" si="23"/>
        <v>2.59524E-3</v>
      </c>
      <c r="K401" s="32">
        <f>K400+StepSize*L400</f>
        <v>848.10134279262888</v>
      </c>
      <c r="L401" s="33">
        <f>K401*Delta+I401*K401-J401*(DeathPayment-K401)</f>
        <v>-60.650101501957678</v>
      </c>
    </row>
    <row r="402" spans="1:12" x14ac:dyDescent="0.45">
      <c r="A402" s="11">
        <v>20.73</v>
      </c>
      <c r="B402" s="14">
        <v>5.8135000000000001E-4</v>
      </c>
      <c r="C402" s="15">
        <v>1.9484E-4</v>
      </c>
      <c r="F402" s="28">
        <v>3.77</v>
      </c>
      <c r="G402" s="29">
        <f t="shared" si="20"/>
        <v>58.77</v>
      </c>
      <c r="H402" s="29">
        <f t="shared" si="21"/>
        <v>53.77</v>
      </c>
      <c r="I402" s="38">
        <f t="shared" si="22"/>
        <v>6.58173E-3</v>
      </c>
      <c r="J402" s="38">
        <f t="shared" si="23"/>
        <v>2.5977299999999999E-3</v>
      </c>
      <c r="K402" s="32">
        <f>K401+StepSize*L401</f>
        <v>847.49484177760928</v>
      </c>
      <c r="L402" s="33">
        <f>K402*Delta+I402*K402-J402*(DeathPayment-K402)</f>
        <v>-60.815567357018864</v>
      </c>
    </row>
    <row r="403" spans="1:12" x14ac:dyDescent="0.45">
      <c r="A403" s="11">
        <v>20.74</v>
      </c>
      <c r="B403" s="14">
        <v>5.8129999999999998E-4</v>
      </c>
      <c r="C403" s="15">
        <v>1.9492000000000001E-4</v>
      </c>
      <c r="F403" s="28">
        <v>3.78</v>
      </c>
      <c r="G403" s="29">
        <f t="shared" si="20"/>
        <v>58.78</v>
      </c>
      <c r="H403" s="29">
        <f t="shared" si="21"/>
        <v>53.78</v>
      </c>
      <c r="I403" s="38">
        <f t="shared" si="22"/>
        <v>6.5892199999999998E-3</v>
      </c>
      <c r="J403" s="38">
        <f t="shared" si="23"/>
        <v>2.6002199999999999E-3</v>
      </c>
      <c r="K403" s="32">
        <f>K402+StepSize*L402</f>
        <v>846.88668610403909</v>
      </c>
      <c r="L403" s="33">
        <f>K403*Delta+I403*K403-J403*(DeathPayment-K403)</f>
        <v>-60.981180189226862</v>
      </c>
    </row>
    <row r="404" spans="1:12" x14ac:dyDescent="0.45">
      <c r="A404" s="11">
        <v>20.75</v>
      </c>
      <c r="B404" s="14">
        <v>5.8124999999999995E-4</v>
      </c>
      <c r="C404" s="15">
        <v>1.95E-4</v>
      </c>
      <c r="F404" s="28">
        <v>3.79</v>
      </c>
      <c r="G404" s="29">
        <f t="shared" si="20"/>
        <v>58.79</v>
      </c>
      <c r="H404" s="29">
        <f t="shared" si="21"/>
        <v>53.79</v>
      </c>
      <c r="I404" s="38">
        <f t="shared" si="22"/>
        <v>6.5967100000000004E-3</v>
      </c>
      <c r="J404" s="38">
        <f t="shared" si="23"/>
        <v>2.6027099999999998E-3</v>
      </c>
      <c r="K404" s="32">
        <f>K403+StepSize*L403</f>
        <v>846.27687430214678</v>
      </c>
      <c r="L404" s="33">
        <f>K404*Delta+I404*K404-J404*(DeathPayment-K404)</f>
        <v>-61.146940167938027</v>
      </c>
    </row>
    <row r="405" spans="1:12" x14ac:dyDescent="0.45">
      <c r="A405" s="11">
        <v>20.76</v>
      </c>
      <c r="B405" s="14">
        <v>5.8120000000000003E-4</v>
      </c>
      <c r="C405" s="15">
        <v>1.9508000000000001E-4</v>
      </c>
      <c r="F405" s="28">
        <v>3.8</v>
      </c>
      <c r="G405" s="29">
        <f t="shared" si="20"/>
        <v>58.8</v>
      </c>
      <c r="H405" s="29">
        <f t="shared" si="21"/>
        <v>53.8</v>
      </c>
      <c r="I405" s="38">
        <f t="shared" si="22"/>
        <v>6.6042000000000002E-3</v>
      </c>
      <c r="J405" s="38">
        <f t="shared" si="23"/>
        <v>2.6051999999999998E-3</v>
      </c>
      <c r="K405" s="32">
        <f>K404+StepSize*L404</f>
        <v>845.66540490046737</v>
      </c>
      <c r="L405" s="33">
        <f>K405*Delta+I405*K405-J405*(DeathPayment-K405)</f>
        <v>-61.312847462705463</v>
      </c>
    </row>
    <row r="406" spans="1:12" x14ac:dyDescent="0.45">
      <c r="A406" s="11">
        <v>20.77</v>
      </c>
      <c r="B406" s="14">
        <v>5.8115E-4</v>
      </c>
      <c r="C406" s="15">
        <v>1.9515999999999999E-4</v>
      </c>
      <c r="F406" s="28">
        <v>3.81</v>
      </c>
      <c r="G406" s="29">
        <f t="shared" si="20"/>
        <v>58.81</v>
      </c>
      <c r="H406" s="29">
        <f t="shared" si="21"/>
        <v>53.81</v>
      </c>
      <c r="I406" s="38">
        <f t="shared" si="22"/>
        <v>6.6116899999999999E-3</v>
      </c>
      <c r="J406" s="38">
        <f t="shared" si="23"/>
        <v>2.6076900000000002E-3</v>
      </c>
      <c r="K406" s="32">
        <f>K405+StepSize*L405</f>
        <v>845.05227642584032</v>
      </c>
      <c r="L406" s="33">
        <f>K406*Delta+I406*K406-J406*(DeathPayment-K406)</f>
        <v>-61.478902243279308</v>
      </c>
    </row>
    <row r="407" spans="1:12" x14ac:dyDescent="0.45">
      <c r="A407" s="11">
        <v>20.78</v>
      </c>
      <c r="B407" s="14">
        <v>5.8109999999999998E-4</v>
      </c>
      <c r="C407" s="15">
        <v>1.9524000000000001E-4</v>
      </c>
      <c r="F407" s="28">
        <v>3.82</v>
      </c>
      <c r="G407" s="29">
        <f t="shared" si="20"/>
        <v>58.82</v>
      </c>
      <c r="H407" s="29">
        <f t="shared" si="21"/>
        <v>53.82</v>
      </c>
      <c r="I407" s="38">
        <f t="shared" si="22"/>
        <v>6.6191799999999997E-3</v>
      </c>
      <c r="J407" s="38">
        <f t="shared" si="23"/>
        <v>2.6101800000000001E-3</v>
      </c>
      <c r="K407" s="32">
        <f>K406+StepSize*L406</f>
        <v>844.43748740340754</v>
      </c>
      <c r="L407" s="33">
        <f>K407*Delta+I407*K407-J407*(DeathPayment-K407)</f>
        <v>-61.645104679606888</v>
      </c>
    </row>
    <row r="408" spans="1:12" x14ac:dyDescent="0.45">
      <c r="A408" s="11">
        <v>20.79</v>
      </c>
      <c r="B408" s="14">
        <v>5.8104999999999995E-4</v>
      </c>
      <c r="C408" s="15">
        <v>1.9531999999999999E-4</v>
      </c>
      <c r="F408" s="28">
        <v>3.83</v>
      </c>
      <c r="G408" s="29">
        <f t="shared" si="20"/>
        <v>58.83</v>
      </c>
      <c r="H408" s="29">
        <f t="shared" si="21"/>
        <v>53.83</v>
      </c>
      <c r="I408" s="38">
        <f t="shared" si="22"/>
        <v>6.6266700000000003E-3</v>
      </c>
      <c r="J408" s="38">
        <f t="shared" si="23"/>
        <v>2.6126700000000001E-3</v>
      </c>
      <c r="K408" s="32">
        <f>K407+StepSize*L407</f>
        <v>843.82103635661144</v>
      </c>
      <c r="L408" s="33">
        <f>K408*Delta+I408*K408-J408*(DeathPayment-K408)</f>
        <v>-61.811454941833063</v>
      </c>
    </row>
    <row r="409" spans="1:12" x14ac:dyDescent="0.45">
      <c r="A409" s="11">
        <v>20.8</v>
      </c>
      <c r="B409" s="14">
        <v>5.8100000000000003E-4</v>
      </c>
      <c r="C409" s="15">
        <v>1.9540000000000001E-4</v>
      </c>
      <c r="F409" s="28">
        <v>3.84</v>
      </c>
      <c r="G409" s="29">
        <f t="shared" ref="G409:G472" si="24">ROUND(MaleAgeStart+F409,2)</f>
        <v>58.84</v>
      </c>
      <c r="H409" s="29">
        <f t="shared" ref="H409:H472" si="25">ROUND(FemaleAgeStart+F409,2)</f>
        <v>53.84</v>
      </c>
      <c r="I409" s="38">
        <f t="shared" ref="I409:I472" si="26">VLOOKUP(G409,muValues,2,FALSE)</f>
        <v>6.6341600000000001E-3</v>
      </c>
      <c r="J409" s="38">
        <f t="shared" ref="J409:J472" si="27">VLOOKUP(H409,muValues,3,FALSE)</f>
        <v>2.6151600000000001E-3</v>
      </c>
      <c r="K409" s="32">
        <f>K408+StepSize*L408</f>
        <v>843.20292180719309</v>
      </c>
      <c r="L409" s="33">
        <f>K409*Delta+I409*K409-J409*(DeathPayment-K409)</f>
        <v>-61.977953200300391</v>
      </c>
    </row>
    <row r="410" spans="1:12" x14ac:dyDescent="0.45">
      <c r="A410" s="11">
        <v>20.81</v>
      </c>
      <c r="B410" s="14">
        <v>5.8095E-4</v>
      </c>
      <c r="C410" s="15">
        <v>1.9547999999999999E-4</v>
      </c>
      <c r="F410" s="28">
        <v>3.85</v>
      </c>
      <c r="G410" s="29">
        <f t="shared" si="24"/>
        <v>58.85</v>
      </c>
      <c r="H410" s="29">
        <f t="shared" si="25"/>
        <v>53.85</v>
      </c>
      <c r="I410" s="38">
        <f t="shared" si="26"/>
        <v>6.6416499999999998E-3</v>
      </c>
      <c r="J410" s="38">
        <f t="shared" si="27"/>
        <v>2.61765E-3</v>
      </c>
      <c r="K410" s="32">
        <f>K409+StepSize*L409</f>
        <v>842.58314227519008</v>
      </c>
      <c r="L410" s="33">
        <f>K410*Delta+I410*K410-J410*(DeathPayment-K410)</f>
        <v>-62.14459962554939</v>
      </c>
    </row>
    <row r="411" spans="1:12" x14ac:dyDescent="0.45">
      <c r="A411" s="11">
        <v>20.82</v>
      </c>
      <c r="B411" s="14">
        <v>5.8089999999999997E-4</v>
      </c>
      <c r="C411" s="15">
        <v>1.9556E-4</v>
      </c>
      <c r="F411" s="28">
        <v>3.86</v>
      </c>
      <c r="G411" s="29">
        <f t="shared" si="24"/>
        <v>58.86</v>
      </c>
      <c r="H411" s="29">
        <f t="shared" si="25"/>
        <v>53.86</v>
      </c>
      <c r="I411" s="38">
        <f t="shared" si="26"/>
        <v>6.6491400000000004E-3</v>
      </c>
      <c r="J411" s="38">
        <f t="shared" si="27"/>
        <v>2.62014E-3</v>
      </c>
      <c r="K411" s="32">
        <f>K410+StepSize*L410</f>
        <v>841.9616962789346</v>
      </c>
      <c r="L411" s="33">
        <f>K411*Delta+I411*K411-J411*(DeathPayment-K411)</f>
        <v>-62.31139438831886</v>
      </c>
    </row>
    <row r="412" spans="1:12" x14ac:dyDescent="0.45">
      <c r="A412" s="11">
        <v>20.83</v>
      </c>
      <c r="B412" s="14">
        <v>5.8085000000000005E-4</v>
      </c>
      <c r="C412" s="15">
        <v>1.9563999999999999E-4</v>
      </c>
      <c r="F412" s="28">
        <v>3.87</v>
      </c>
      <c r="G412" s="29">
        <f t="shared" si="24"/>
        <v>58.87</v>
      </c>
      <c r="H412" s="29">
        <f t="shared" si="25"/>
        <v>53.87</v>
      </c>
      <c r="I412" s="38">
        <f t="shared" si="26"/>
        <v>6.6566300000000002E-3</v>
      </c>
      <c r="J412" s="38">
        <f t="shared" si="27"/>
        <v>2.6226299999999999E-3</v>
      </c>
      <c r="K412" s="32">
        <f>K411+StepSize*L411</f>
        <v>841.33858233505146</v>
      </c>
      <c r="L412" s="33">
        <f>K412*Delta+I412*K412-J412*(DeathPayment-K412)</f>
        <v>-62.478337659546028</v>
      </c>
    </row>
    <row r="413" spans="1:12" x14ac:dyDescent="0.45">
      <c r="A413" s="11">
        <v>20.84</v>
      </c>
      <c r="B413" s="14">
        <v>5.8080000000000002E-4</v>
      </c>
      <c r="C413" s="15">
        <v>1.9572E-4</v>
      </c>
      <c r="F413" s="28">
        <v>3.88</v>
      </c>
      <c r="G413" s="29">
        <f t="shared" si="24"/>
        <v>58.88</v>
      </c>
      <c r="H413" s="29">
        <f t="shared" si="25"/>
        <v>53.88</v>
      </c>
      <c r="I413" s="38">
        <f t="shared" si="26"/>
        <v>6.6641199999999999E-3</v>
      </c>
      <c r="J413" s="38">
        <f t="shared" si="27"/>
        <v>2.6251199999999999E-3</v>
      </c>
      <c r="K413" s="32">
        <f>K412+StepSize*L412</f>
        <v>840.71379895845598</v>
      </c>
      <c r="L413" s="33">
        <f>K413*Delta+I413*K413-J413*(DeathPayment-K413)</f>
        <v>-62.645429610366847</v>
      </c>
    </row>
    <row r="414" spans="1:12" x14ac:dyDescent="0.45">
      <c r="A414" s="11">
        <v>20.85</v>
      </c>
      <c r="B414" s="14">
        <v>5.8074999999999999E-4</v>
      </c>
      <c r="C414" s="15">
        <v>1.9579999999999999E-4</v>
      </c>
      <c r="F414" s="28">
        <v>3.89</v>
      </c>
      <c r="G414" s="29">
        <f t="shared" si="24"/>
        <v>58.89</v>
      </c>
      <c r="H414" s="29">
        <f t="shared" si="25"/>
        <v>53.89</v>
      </c>
      <c r="I414" s="38">
        <f t="shared" si="26"/>
        <v>6.6716099999999997E-3</v>
      </c>
      <c r="J414" s="38">
        <f t="shared" si="27"/>
        <v>2.6276099999999998E-3</v>
      </c>
      <c r="K414" s="32">
        <f>K413+StepSize*L413</f>
        <v>840.08734466235228</v>
      </c>
      <c r="L414" s="33">
        <f>K414*Delta+I414*K414-J414*(DeathPayment-K414)</f>
        <v>-62.812670412116276</v>
      </c>
    </row>
    <row r="415" spans="1:12" x14ac:dyDescent="0.45">
      <c r="A415" s="11">
        <v>20.86</v>
      </c>
      <c r="B415" s="14">
        <v>5.8069999999999997E-4</v>
      </c>
      <c r="C415" s="15">
        <v>1.9588E-4</v>
      </c>
      <c r="F415" s="28">
        <v>3.9</v>
      </c>
      <c r="G415" s="29">
        <f t="shared" si="24"/>
        <v>58.9</v>
      </c>
      <c r="H415" s="29">
        <f t="shared" si="25"/>
        <v>53.9</v>
      </c>
      <c r="I415" s="38">
        <f t="shared" si="26"/>
        <v>6.6791000000000003E-3</v>
      </c>
      <c r="J415" s="38">
        <f t="shared" si="27"/>
        <v>2.6300999999999998E-3</v>
      </c>
      <c r="K415" s="32">
        <f>K414+StepSize*L414</f>
        <v>839.45921795823108</v>
      </c>
      <c r="L415" s="33">
        <f>K415*Delta+I415*K415-J415*(DeathPayment-K415)</f>
        <v>-62.980060236328441</v>
      </c>
    </row>
    <row r="416" spans="1:12" x14ac:dyDescent="0.45">
      <c r="A416" s="11">
        <v>20.87</v>
      </c>
      <c r="B416" s="14">
        <v>5.8065000000000005E-4</v>
      </c>
      <c r="C416" s="15">
        <v>1.9595999999999999E-4</v>
      </c>
      <c r="F416" s="28">
        <v>3.91</v>
      </c>
      <c r="G416" s="29">
        <f t="shared" si="24"/>
        <v>58.91</v>
      </c>
      <c r="H416" s="29">
        <f t="shared" si="25"/>
        <v>53.91</v>
      </c>
      <c r="I416" s="38">
        <f t="shared" si="26"/>
        <v>6.6865900000000001E-3</v>
      </c>
      <c r="J416" s="38">
        <f t="shared" si="27"/>
        <v>2.6325900000000002E-3</v>
      </c>
      <c r="K416" s="32">
        <f>K415+StepSize*L415</f>
        <v>838.8294173558678</v>
      </c>
      <c r="L416" s="33">
        <f>K416*Delta+I416*K416-J416*(DeathPayment-K416)</f>
        <v>-63.147599254736917</v>
      </c>
    </row>
    <row r="417" spans="1:12" x14ac:dyDescent="0.45">
      <c r="A417" s="11">
        <v>20.88</v>
      </c>
      <c r="B417" s="14">
        <v>5.8060000000000002E-4</v>
      </c>
      <c r="C417" s="15">
        <v>1.9604E-4</v>
      </c>
      <c r="F417" s="28">
        <v>3.92</v>
      </c>
      <c r="G417" s="29">
        <f t="shared" si="24"/>
        <v>58.92</v>
      </c>
      <c r="H417" s="29">
        <f t="shared" si="25"/>
        <v>53.92</v>
      </c>
      <c r="I417" s="38">
        <f t="shared" si="26"/>
        <v>6.6940799999999998E-3</v>
      </c>
      <c r="J417" s="38">
        <f t="shared" si="27"/>
        <v>2.6350800000000001E-3</v>
      </c>
      <c r="K417" s="32">
        <f>K416+StepSize*L416</f>
        <v>838.19794136332041</v>
      </c>
      <c r="L417" s="33">
        <f>K417*Delta+I417*K417-J417*(DeathPayment-K417)</f>
        <v>-63.315287639274999</v>
      </c>
    </row>
    <row r="418" spans="1:12" x14ac:dyDescent="0.45">
      <c r="A418" s="11">
        <v>20.89</v>
      </c>
      <c r="B418" s="14">
        <v>5.8054999999999999E-4</v>
      </c>
      <c r="C418" s="15">
        <v>1.9612000000000001E-4</v>
      </c>
      <c r="F418" s="28">
        <v>3.93</v>
      </c>
      <c r="G418" s="29">
        <f t="shared" si="24"/>
        <v>58.93</v>
      </c>
      <c r="H418" s="29">
        <f t="shared" si="25"/>
        <v>53.93</v>
      </c>
      <c r="I418" s="38">
        <f t="shared" si="26"/>
        <v>6.7015699999999996E-3</v>
      </c>
      <c r="J418" s="38">
        <f t="shared" si="27"/>
        <v>2.6375700000000001E-3</v>
      </c>
      <c r="K418" s="32">
        <f>K417+StepSize*L417</f>
        <v>837.56478848692768</v>
      </c>
      <c r="L418" s="33">
        <f>K418*Delta+I418*K418-J418*(DeathPayment-K418)</f>
        <v>-63.483125562076026</v>
      </c>
    </row>
    <row r="419" spans="1:12" x14ac:dyDescent="0.45">
      <c r="A419" s="11">
        <v>20.9</v>
      </c>
      <c r="B419" s="14">
        <v>5.8049999999999996E-4</v>
      </c>
      <c r="C419" s="15">
        <v>1.962E-4</v>
      </c>
      <c r="F419" s="28">
        <v>3.94</v>
      </c>
      <c r="G419" s="29">
        <f t="shared" si="24"/>
        <v>58.94</v>
      </c>
      <c r="H419" s="29">
        <f t="shared" si="25"/>
        <v>53.94</v>
      </c>
      <c r="I419" s="38">
        <f t="shared" si="26"/>
        <v>6.7090600000000002E-3</v>
      </c>
      <c r="J419" s="38">
        <f t="shared" si="27"/>
        <v>2.6400600000000001E-3</v>
      </c>
      <c r="K419" s="32">
        <f>K418+StepSize*L418</f>
        <v>836.92995723130696</v>
      </c>
      <c r="L419" s="33">
        <f>K419*Delta+I419*K419-J419*(DeathPayment-K419)</f>
        <v>-63.651113195473371</v>
      </c>
    </row>
    <row r="420" spans="1:12" x14ac:dyDescent="0.45">
      <c r="A420" s="11">
        <v>20.91</v>
      </c>
      <c r="B420" s="14">
        <v>5.8045000000000004E-4</v>
      </c>
      <c r="C420" s="15">
        <v>1.9628000000000001E-4</v>
      </c>
      <c r="F420" s="28">
        <v>3.95</v>
      </c>
      <c r="G420" s="29">
        <f t="shared" si="24"/>
        <v>58.95</v>
      </c>
      <c r="H420" s="29">
        <f t="shared" si="25"/>
        <v>53.95</v>
      </c>
      <c r="I420" s="38">
        <f t="shared" si="26"/>
        <v>6.71655E-3</v>
      </c>
      <c r="J420" s="38">
        <f t="shared" si="27"/>
        <v>2.64255E-3</v>
      </c>
      <c r="K420" s="32">
        <f>K419+StepSize*L419</f>
        <v>836.2934460993522</v>
      </c>
      <c r="L420" s="33">
        <f>K420*Delta+I420*K420-J420*(DeathPayment-K420)</f>
        <v>-63.81925071200105</v>
      </c>
    </row>
    <row r="421" spans="1:12" x14ac:dyDescent="0.45">
      <c r="A421" s="11">
        <v>20.92</v>
      </c>
      <c r="B421" s="14">
        <v>5.8040000000000001E-4</v>
      </c>
      <c r="C421" s="15">
        <v>1.9636E-4</v>
      </c>
      <c r="F421" s="28">
        <v>3.96</v>
      </c>
      <c r="G421" s="29">
        <f t="shared" si="24"/>
        <v>58.96</v>
      </c>
      <c r="H421" s="29">
        <f t="shared" si="25"/>
        <v>53.96</v>
      </c>
      <c r="I421" s="38">
        <f t="shared" si="26"/>
        <v>6.7240399999999997E-3</v>
      </c>
      <c r="J421" s="38">
        <f t="shared" si="27"/>
        <v>2.64504E-3</v>
      </c>
      <c r="K421" s="32">
        <f>K420+StepSize*L420</f>
        <v>835.65525359223216</v>
      </c>
      <c r="L421" s="33">
        <f>K421*Delta+I421*K421-J421*(DeathPayment-K421)</f>
        <v>-63.987538284393665</v>
      </c>
    </row>
    <row r="422" spans="1:12" x14ac:dyDescent="0.45">
      <c r="A422" s="11">
        <v>20.93</v>
      </c>
      <c r="B422" s="14">
        <v>5.8034999999999998E-4</v>
      </c>
      <c r="C422" s="15">
        <v>1.9644000000000001E-4</v>
      </c>
      <c r="F422" s="28">
        <v>3.97</v>
      </c>
      <c r="G422" s="29">
        <f t="shared" si="24"/>
        <v>58.97</v>
      </c>
      <c r="H422" s="29">
        <f t="shared" si="25"/>
        <v>53.97</v>
      </c>
      <c r="I422" s="38">
        <f t="shared" si="26"/>
        <v>6.7315300000000003E-3</v>
      </c>
      <c r="J422" s="38">
        <f t="shared" si="27"/>
        <v>2.6475299999999999E-3</v>
      </c>
      <c r="K422" s="32">
        <f>K421+StepSize*L421</f>
        <v>835.01537820938825</v>
      </c>
      <c r="L422" s="33">
        <f>K422*Delta+I422*K422-J422*(DeathPayment-K422)</f>
        <v>-64.155976085586815</v>
      </c>
    </row>
    <row r="423" spans="1:12" x14ac:dyDescent="0.45">
      <c r="A423" s="11">
        <v>20.94</v>
      </c>
      <c r="B423" s="14">
        <v>5.8029999999999996E-4</v>
      </c>
      <c r="C423" s="15">
        <v>1.9652E-4</v>
      </c>
      <c r="F423" s="28">
        <v>3.98</v>
      </c>
      <c r="G423" s="29">
        <f t="shared" si="24"/>
        <v>58.98</v>
      </c>
      <c r="H423" s="29">
        <f t="shared" si="25"/>
        <v>53.98</v>
      </c>
      <c r="I423" s="38">
        <f t="shared" si="26"/>
        <v>6.7390200000000001E-3</v>
      </c>
      <c r="J423" s="38">
        <f t="shared" si="27"/>
        <v>2.6500199999999999E-3</v>
      </c>
      <c r="K423" s="32">
        <f>K422+StepSize*L422</f>
        <v>834.37381844853235</v>
      </c>
      <c r="L423" s="33">
        <f>K423*Delta+I423*K423-J423*(DeathPayment-K423)</f>
        <v>-64.324564288717312</v>
      </c>
    </row>
    <row r="424" spans="1:12" x14ac:dyDescent="0.45">
      <c r="A424" s="11">
        <v>20.95</v>
      </c>
      <c r="B424" s="14">
        <v>5.8025000000000004E-4</v>
      </c>
      <c r="C424" s="15">
        <v>1.9660000000000001E-4</v>
      </c>
      <c r="F424" s="28">
        <v>3.99</v>
      </c>
      <c r="G424" s="29">
        <f t="shared" si="24"/>
        <v>58.99</v>
      </c>
      <c r="H424" s="29">
        <f t="shared" si="25"/>
        <v>53.99</v>
      </c>
      <c r="I424" s="38">
        <f t="shared" si="26"/>
        <v>6.7465099999999998E-3</v>
      </c>
      <c r="J424" s="38">
        <f t="shared" si="27"/>
        <v>2.6525099999999999E-3</v>
      </c>
      <c r="K424" s="32">
        <f>K423+StepSize*L423</f>
        <v>833.73057280564512</v>
      </c>
      <c r="L424" s="33">
        <f>K424*Delta+I424*K424-J424*(DeathPayment-K424)</f>
        <v>-64.493303067123421</v>
      </c>
    </row>
    <row r="425" spans="1:12" x14ac:dyDescent="0.45">
      <c r="A425" s="11">
        <v>20.96</v>
      </c>
      <c r="B425" s="14">
        <v>5.8020000000000001E-4</v>
      </c>
      <c r="C425" s="15">
        <v>1.9667999999999999E-4</v>
      </c>
      <c r="F425" s="28">
        <v>4</v>
      </c>
      <c r="G425" s="29">
        <f t="shared" si="24"/>
        <v>59</v>
      </c>
      <c r="H425" s="29">
        <f t="shared" si="25"/>
        <v>54</v>
      </c>
      <c r="I425" s="38">
        <f t="shared" si="26"/>
        <v>6.7539999999999996E-3</v>
      </c>
      <c r="J425" s="38">
        <f t="shared" si="27"/>
        <v>2.6549999999999998E-3</v>
      </c>
      <c r="K425" s="32">
        <f>K424+StepSize*L424</f>
        <v>833.08563977497386</v>
      </c>
      <c r="L425" s="33">
        <f>K425*Delta+I425*K425-J425*(DeathPayment-K425)</f>
        <v>-64.6621925943451</v>
      </c>
    </row>
    <row r="426" spans="1:12" x14ac:dyDescent="0.45">
      <c r="A426" s="11">
        <v>20.97</v>
      </c>
      <c r="B426" s="14">
        <v>5.8014999999999998E-4</v>
      </c>
      <c r="C426" s="15">
        <v>1.9676000000000001E-4</v>
      </c>
      <c r="F426" s="28">
        <v>4.01</v>
      </c>
      <c r="G426" s="29">
        <f t="shared" si="24"/>
        <v>59.01</v>
      </c>
      <c r="H426" s="29">
        <f t="shared" si="25"/>
        <v>54.01</v>
      </c>
      <c r="I426" s="38">
        <f t="shared" si="26"/>
        <v>6.7623900000000001E-3</v>
      </c>
      <c r="J426" s="38">
        <f t="shared" si="27"/>
        <v>2.65775E-3</v>
      </c>
      <c r="K426" s="32">
        <f>K425+StepSize*L425</f>
        <v>832.43901784903039</v>
      </c>
      <c r="L426" s="33">
        <f>K426*Delta+I426*K426-J426*(DeathPayment-K426)</f>
        <v>-64.84326741486359</v>
      </c>
    </row>
    <row r="427" spans="1:12" x14ac:dyDescent="0.45">
      <c r="A427" s="11">
        <v>20.98</v>
      </c>
      <c r="B427" s="14">
        <v>5.8009999999999995E-4</v>
      </c>
      <c r="C427" s="15">
        <v>1.9683999999999999E-4</v>
      </c>
      <c r="F427" s="28">
        <v>4.0199999999999996</v>
      </c>
      <c r="G427" s="29">
        <f t="shared" si="24"/>
        <v>59.02</v>
      </c>
      <c r="H427" s="29">
        <f t="shared" si="25"/>
        <v>54.02</v>
      </c>
      <c r="I427" s="38">
        <f t="shared" si="26"/>
        <v>6.7707799999999997E-3</v>
      </c>
      <c r="J427" s="38">
        <f t="shared" si="27"/>
        <v>2.6605000000000001E-3</v>
      </c>
      <c r="K427" s="32">
        <f>K426+StepSize*L426</f>
        <v>831.79058517488181</v>
      </c>
      <c r="L427" s="33">
        <f>K427*Delta+I427*K427-J427*(DeathPayment-K427)</f>
        <v>-65.02450467430009</v>
      </c>
    </row>
    <row r="428" spans="1:12" x14ac:dyDescent="0.45">
      <c r="A428" s="11">
        <v>20.99</v>
      </c>
      <c r="B428" s="14">
        <v>5.8005000000000003E-4</v>
      </c>
      <c r="C428" s="15">
        <v>1.9692000000000001E-4</v>
      </c>
      <c r="F428" s="28">
        <v>4.03</v>
      </c>
      <c r="G428" s="29">
        <f t="shared" si="24"/>
        <v>59.03</v>
      </c>
      <c r="H428" s="29">
        <f t="shared" si="25"/>
        <v>54.03</v>
      </c>
      <c r="I428" s="38">
        <f t="shared" si="26"/>
        <v>6.7791700000000002E-3</v>
      </c>
      <c r="J428" s="38">
        <f t="shared" si="27"/>
        <v>2.6632499999999998E-3</v>
      </c>
      <c r="K428" s="32">
        <f>K427+StepSize*L427</f>
        <v>831.14034012813886</v>
      </c>
      <c r="L428" s="33">
        <f>K428*Delta+I428*K428-J428*(DeathPayment-K428)</f>
        <v>-65.20590456598481</v>
      </c>
    </row>
    <row r="429" spans="1:12" x14ac:dyDescent="0.45">
      <c r="A429" s="11">
        <v>21</v>
      </c>
      <c r="B429" s="14">
        <v>5.8E-4</v>
      </c>
      <c r="C429" s="15">
        <v>1.9699999999999999E-4</v>
      </c>
      <c r="F429" s="28">
        <v>4.04</v>
      </c>
      <c r="G429" s="29">
        <f t="shared" si="24"/>
        <v>59.04</v>
      </c>
      <c r="H429" s="29">
        <f t="shared" si="25"/>
        <v>54.04</v>
      </c>
      <c r="I429" s="38">
        <f t="shared" si="26"/>
        <v>6.7875599999999998E-3</v>
      </c>
      <c r="J429" s="38">
        <f t="shared" si="27"/>
        <v>2.666E-3</v>
      </c>
      <c r="K429" s="32">
        <f>K428+StepSize*L428</f>
        <v>830.48828108247903</v>
      </c>
      <c r="L429" s="33">
        <f>K429*Delta+I429*K429-J429*(DeathPayment-K429)</f>
        <v>-65.387467283478571</v>
      </c>
    </row>
    <row r="430" spans="1:12" x14ac:dyDescent="0.45">
      <c r="A430" s="11">
        <v>21.01</v>
      </c>
      <c r="B430" s="14">
        <v>5.7994000000000003E-4</v>
      </c>
      <c r="C430" s="15">
        <v>1.9709999999999999E-4</v>
      </c>
      <c r="F430" s="28">
        <v>4.05</v>
      </c>
      <c r="G430" s="29">
        <f t="shared" si="24"/>
        <v>59.05</v>
      </c>
      <c r="H430" s="29">
        <f t="shared" si="25"/>
        <v>54.05</v>
      </c>
      <c r="I430" s="38">
        <f t="shared" si="26"/>
        <v>6.7959500000000003E-3</v>
      </c>
      <c r="J430" s="38">
        <f t="shared" si="27"/>
        <v>2.6687500000000001E-3</v>
      </c>
      <c r="K430" s="32">
        <f>K429+StepSize*L429</f>
        <v>829.8344064096442</v>
      </c>
      <c r="L430" s="33">
        <f>K430*Delta+I430*K430-J430*(DeathPayment-K430)</f>
        <v>-65.569193020572882</v>
      </c>
    </row>
    <row r="431" spans="1:12" x14ac:dyDescent="0.45">
      <c r="A431" s="11">
        <v>21.02</v>
      </c>
      <c r="B431" s="14">
        <v>5.7987999999999996E-4</v>
      </c>
      <c r="C431" s="15">
        <v>1.972E-4</v>
      </c>
      <c r="F431" s="28">
        <v>4.0599999999999996</v>
      </c>
      <c r="G431" s="29">
        <f t="shared" si="24"/>
        <v>59.06</v>
      </c>
      <c r="H431" s="29">
        <f t="shared" si="25"/>
        <v>54.06</v>
      </c>
      <c r="I431" s="38">
        <f t="shared" si="26"/>
        <v>6.8043399999999999E-3</v>
      </c>
      <c r="J431" s="38">
        <f t="shared" si="27"/>
        <v>2.6714999999999998E-3</v>
      </c>
      <c r="K431" s="32">
        <f>K430+StepSize*L430</f>
        <v>829.17871447943844</v>
      </c>
      <c r="L431" s="33">
        <f>K431*Delta+I431*K431-J431*(DeathPayment-K431)</f>
        <v>-65.751081971290304</v>
      </c>
    </row>
    <row r="432" spans="1:12" x14ac:dyDescent="0.45">
      <c r="A432" s="11">
        <v>21.03</v>
      </c>
      <c r="B432" s="14">
        <v>5.7981999999999999E-4</v>
      </c>
      <c r="C432" s="15">
        <v>1.973E-4</v>
      </c>
      <c r="F432" s="28">
        <v>4.07</v>
      </c>
      <c r="G432" s="29">
        <f t="shared" si="24"/>
        <v>59.07</v>
      </c>
      <c r="H432" s="29">
        <f t="shared" si="25"/>
        <v>54.07</v>
      </c>
      <c r="I432" s="38">
        <f t="shared" si="26"/>
        <v>6.8127300000000003E-3</v>
      </c>
      <c r="J432" s="38">
        <f t="shared" si="27"/>
        <v>2.67425E-3</v>
      </c>
      <c r="K432" s="32">
        <f>K431+StepSize*L431</f>
        <v>828.52120365972553</v>
      </c>
      <c r="L432" s="33">
        <f>K432*Delta+I432*K432-J432*(DeathPayment-K432)</f>
        <v>-65.933134329884794</v>
      </c>
    </row>
    <row r="433" spans="1:12" x14ac:dyDescent="0.45">
      <c r="A433" s="11">
        <v>21.04</v>
      </c>
      <c r="B433" s="14">
        <v>5.7976000000000002E-4</v>
      </c>
      <c r="C433" s="15">
        <v>1.974E-4</v>
      </c>
      <c r="F433" s="28">
        <v>4.08</v>
      </c>
      <c r="G433" s="29">
        <f t="shared" si="24"/>
        <v>59.08</v>
      </c>
      <c r="H433" s="29">
        <f t="shared" si="25"/>
        <v>54.08</v>
      </c>
      <c r="I433" s="38">
        <f t="shared" si="26"/>
        <v>6.82112E-3</v>
      </c>
      <c r="J433" s="38">
        <f t="shared" si="27"/>
        <v>2.6770000000000001E-3</v>
      </c>
      <c r="K433" s="32">
        <f>K432+StepSize*L432</f>
        <v>827.86187231642668</v>
      </c>
      <c r="L433" s="33">
        <f>K433*Delta+I433*K433-J433*(DeathPayment-K433)</f>
        <v>-66.115350290842002</v>
      </c>
    </row>
    <row r="434" spans="1:12" x14ac:dyDescent="0.45">
      <c r="A434" s="11">
        <v>21.05</v>
      </c>
      <c r="B434" s="14">
        <v>5.7970000000000005E-4</v>
      </c>
      <c r="C434" s="15">
        <v>1.975E-4</v>
      </c>
      <c r="F434" s="28">
        <v>4.09</v>
      </c>
      <c r="G434" s="29">
        <f t="shared" si="24"/>
        <v>59.09</v>
      </c>
      <c r="H434" s="29">
        <f t="shared" si="25"/>
        <v>54.09</v>
      </c>
      <c r="I434" s="38">
        <f t="shared" si="26"/>
        <v>6.8295099999999996E-3</v>
      </c>
      <c r="J434" s="38">
        <f t="shared" si="27"/>
        <v>2.6797499999999998E-3</v>
      </c>
      <c r="K434" s="32">
        <f>K433+StepSize*L433</f>
        <v>827.20071881351828</v>
      </c>
      <c r="L434" s="33">
        <f>K434*Delta+I434*K434-J434*(DeathPayment-K434)</f>
        <v>-66.297730048879487</v>
      </c>
    </row>
    <row r="435" spans="1:12" x14ac:dyDescent="0.45">
      <c r="A435" s="11">
        <v>21.06</v>
      </c>
      <c r="B435" s="14">
        <v>5.7963999999999997E-4</v>
      </c>
      <c r="C435" s="15">
        <v>1.9760000000000001E-4</v>
      </c>
      <c r="F435" s="28">
        <v>4.0999999999999996</v>
      </c>
      <c r="G435" s="29">
        <f t="shared" si="24"/>
        <v>59.1</v>
      </c>
      <c r="H435" s="29">
        <f t="shared" si="25"/>
        <v>54.1</v>
      </c>
      <c r="I435" s="38">
        <f t="shared" si="26"/>
        <v>6.8379000000000001E-3</v>
      </c>
      <c r="J435" s="38">
        <f t="shared" si="27"/>
        <v>2.6825E-3</v>
      </c>
      <c r="K435" s="32">
        <f>K434+StepSize*L434</f>
        <v>826.53774151302946</v>
      </c>
      <c r="L435" s="33">
        <f>K435*Delta+I435*K435-J435*(DeathPayment-K435)</f>
        <v>-66.480273798947081</v>
      </c>
    </row>
    <row r="436" spans="1:12" x14ac:dyDescent="0.45">
      <c r="A436" s="11">
        <v>21.07</v>
      </c>
      <c r="B436" s="14">
        <v>5.7958E-4</v>
      </c>
      <c r="C436" s="15">
        <v>1.9770000000000001E-4</v>
      </c>
      <c r="F436" s="28">
        <v>4.1100000000000003</v>
      </c>
      <c r="G436" s="29">
        <f t="shared" si="24"/>
        <v>59.11</v>
      </c>
      <c r="H436" s="29">
        <f t="shared" si="25"/>
        <v>54.11</v>
      </c>
      <c r="I436" s="38">
        <f t="shared" si="26"/>
        <v>6.8462899999999997E-3</v>
      </c>
      <c r="J436" s="38">
        <f t="shared" si="27"/>
        <v>2.6852500000000001E-3</v>
      </c>
      <c r="K436" s="32">
        <f>K435+StepSize*L435</f>
        <v>825.87293877503998</v>
      </c>
      <c r="L436" s="33">
        <f>K436*Delta+I436*K436-J436*(DeathPayment-K436)</f>
        <v>-66.662981736227252</v>
      </c>
    </row>
    <row r="437" spans="1:12" x14ac:dyDescent="0.45">
      <c r="A437" s="11">
        <v>21.08</v>
      </c>
      <c r="B437" s="14">
        <v>5.7952000000000004E-4</v>
      </c>
      <c r="C437" s="15">
        <v>1.9780000000000001E-4</v>
      </c>
      <c r="F437" s="28">
        <v>4.12</v>
      </c>
      <c r="G437" s="29">
        <f t="shared" si="24"/>
        <v>59.12</v>
      </c>
      <c r="H437" s="29">
        <f t="shared" si="25"/>
        <v>54.12</v>
      </c>
      <c r="I437" s="38">
        <f t="shared" si="26"/>
        <v>6.8546800000000001E-3</v>
      </c>
      <c r="J437" s="38">
        <f t="shared" si="27"/>
        <v>2.6879999999999999E-3</v>
      </c>
      <c r="K437" s="32">
        <f>K436+StepSize*L436</f>
        <v>825.20630895767772</v>
      </c>
      <c r="L437" s="33">
        <f>K437*Delta+I437*K437-J437*(DeathPayment-K437)</f>
        <v>-66.845854056135167</v>
      </c>
    </row>
    <row r="438" spans="1:12" x14ac:dyDescent="0.45">
      <c r="A438" s="11">
        <v>21.09</v>
      </c>
      <c r="B438" s="14">
        <v>5.7945999999999996E-4</v>
      </c>
      <c r="C438" s="15">
        <v>1.9790000000000001E-4</v>
      </c>
      <c r="F438" s="28">
        <v>4.13</v>
      </c>
      <c r="G438" s="29">
        <f t="shared" si="24"/>
        <v>59.13</v>
      </c>
      <c r="H438" s="29">
        <f t="shared" si="25"/>
        <v>54.13</v>
      </c>
      <c r="I438" s="38">
        <f t="shared" si="26"/>
        <v>6.8630699999999998E-3</v>
      </c>
      <c r="J438" s="38">
        <f t="shared" si="27"/>
        <v>2.69075E-3</v>
      </c>
      <c r="K438" s="32">
        <f>K437+StepSize*L437</f>
        <v>824.53785041711637</v>
      </c>
      <c r="L438" s="33">
        <f>K438*Delta+I438*K438-J438*(DeathPayment-K438)</f>
        <v>-67.028890954319309</v>
      </c>
    </row>
    <row r="439" spans="1:12" x14ac:dyDescent="0.45">
      <c r="A439" s="11">
        <v>21.1</v>
      </c>
      <c r="B439" s="14">
        <v>5.7939999999999999E-4</v>
      </c>
      <c r="C439" s="15">
        <v>1.9799999999999999E-4</v>
      </c>
      <c r="F439" s="28">
        <v>4.1399999999999997</v>
      </c>
      <c r="G439" s="29">
        <f t="shared" si="24"/>
        <v>59.14</v>
      </c>
      <c r="H439" s="29">
        <f t="shared" si="25"/>
        <v>54.14</v>
      </c>
      <c r="I439" s="38">
        <f t="shared" si="26"/>
        <v>6.8714600000000002E-3</v>
      </c>
      <c r="J439" s="38">
        <f t="shared" si="27"/>
        <v>2.6935000000000001E-3</v>
      </c>
      <c r="K439" s="32">
        <f>K438+StepSize*L438</f>
        <v>823.86756150757321</v>
      </c>
      <c r="L439" s="33">
        <f>K439*Delta+I439*K439-J439*(DeathPayment-K439)</f>
        <v>-67.212092626661558</v>
      </c>
    </row>
    <row r="440" spans="1:12" x14ac:dyDescent="0.45">
      <c r="A440" s="11">
        <v>21.11</v>
      </c>
      <c r="B440" s="14">
        <v>5.7934000000000002E-4</v>
      </c>
      <c r="C440" s="15">
        <v>1.9809999999999999E-4</v>
      </c>
      <c r="F440" s="28">
        <v>4.1500000000000004</v>
      </c>
      <c r="G440" s="29">
        <f t="shared" si="24"/>
        <v>59.15</v>
      </c>
      <c r="H440" s="29">
        <f t="shared" si="25"/>
        <v>54.15</v>
      </c>
      <c r="I440" s="38">
        <f t="shared" si="26"/>
        <v>6.8798499999999999E-3</v>
      </c>
      <c r="J440" s="38">
        <f t="shared" si="27"/>
        <v>2.6962499999999999E-3</v>
      </c>
      <c r="K440" s="32">
        <f>K439+StepSize*L439</f>
        <v>823.19544058130657</v>
      </c>
      <c r="L440" s="33">
        <f>K440*Delta+I440*K440-J440*(DeathPayment-K440)</f>
        <v>-67.395459269277467</v>
      </c>
    </row>
    <row r="441" spans="1:12" x14ac:dyDescent="0.45">
      <c r="A441" s="11">
        <v>21.12</v>
      </c>
      <c r="B441" s="14">
        <v>5.7928000000000005E-4</v>
      </c>
      <c r="C441" s="15">
        <v>1.9819999999999999E-4</v>
      </c>
      <c r="F441" s="28">
        <v>4.16</v>
      </c>
      <c r="G441" s="29">
        <f t="shared" si="24"/>
        <v>59.16</v>
      </c>
      <c r="H441" s="29">
        <f t="shared" si="25"/>
        <v>54.16</v>
      </c>
      <c r="I441" s="38">
        <f t="shared" si="26"/>
        <v>6.8882400000000003E-3</v>
      </c>
      <c r="J441" s="38">
        <f t="shared" si="27"/>
        <v>2.699E-3</v>
      </c>
      <c r="K441" s="32">
        <f>K440+StepSize*L440</f>
        <v>822.52148598861379</v>
      </c>
      <c r="L441" s="33">
        <f>K441*Delta+I441*K441-J441*(DeathPayment-K441)</f>
        <v>-67.578991078516822</v>
      </c>
    </row>
    <row r="442" spans="1:12" x14ac:dyDescent="0.45">
      <c r="A442" s="11">
        <v>21.13</v>
      </c>
      <c r="B442" s="14">
        <v>5.7921999999999997E-4</v>
      </c>
      <c r="C442" s="15">
        <v>1.983E-4</v>
      </c>
      <c r="F442" s="28">
        <v>4.17</v>
      </c>
      <c r="G442" s="29">
        <f t="shared" si="24"/>
        <v>59.17</v>
      </c>
      <c r="H442" s="29">
        <f t="shared" si="25"/>
        <v>54.17</v>
      </c>
      <c r="I442" s="38">
        <f t="shared" si="26"/>
        <v>6.8966299999999999E-3</v>
      </c>
      <c r="J442" s="38">
        <f t="shared" si="27"/>
        <v>2.7017500000000002E-3</v>
      </c>
      <c r="K442" s="32">
        <f>K441+StepSize*L441</f>
        <v>821.84569607782862</v>
      </c>
      <c r="L442" s="33">
        <f>K442*Delta+I442*K442-J442*(DeathPayment-K442)</f>
        <v>-67.762688250963635</v>
      </c>
    </row>
    <row r="443" spans="1:12" x14ac:dyDescent="0.45">
      <c r="A443" s="11">
        <v>21.14</v>
      </c>
      <c r="B443" s="14">
        <v>5.7916E-4</v>
      </c>
      <c r="C443" s="15">
        <v>1.984E-4</v>
      </c>
      <c r="F443" s="28">
        <v>4.18</v>
      </c>
      <c r="G443" s="29">
        <f t="shared" si="24"/>
        <v>59.18</v>
      </c>
      <c r="H443" s="29">
        <f t="shared" si="25"/>
        <v>54.18</v>
      </c>
      <c r="I443" s="38">
        <f t="shared" si="26"/>
        <v>6.9050200000000004E-3</v>
      </c>
      <c r="J443" s="38">
        <f t="shared" si="27"/>
        <v>2.7044999999999999E-3</v>
      </c>
      <c r="K443" s="32">
        <f>K442+StepSize*L442</f>
        <v>821.16806919531894</v>
      </c>
      <c r="L443" s="33">
        <f>K443*Delta+I443*K443-J443*(DeathPayment-K443)</f>
        <v>-67.946550983436566</v>
      </c>
    </row>
    <row r="444" spans="1:12" x14ac:dyDescent="0.45">
      <c r="A444" s="11">
        <v>21.15</v>
      </c>
      <c r="B444" s="14">
        <v>5.7910000000000004E-4</v>
      </c>
      <c r="C444" s="15">
        <v>1.985E-4</v>
      </c>
      <c r="F444" s="28">
        <v>4.1900000000000004</v>
      </c>
      <c r="G444" s="29">
        <f t="shared" si="24"/>
        <v>59.19</v>
      </c>
      <c r="H444" s="29">
        <f t="shared" si="25"/>
        <v>54.19</v>
      </c>
      <c r="I444" s="38">
        <f t="shared" si="26"/>
        <v>6.91341E-3</v>
      </c>
      <c r="J444" s="38">
        <f t="shared" si="27"/>
        <v>2.70725E-3</v>
      </c>
      <c r="K444" s="32">
        <f>K443+StepSize*L443</f>
        <v>820.48860368548458</v>
      </c>
      <c r="L444" s="33">
        <f>K444*Delta+I444*K444-J444*(DeathPayment-K444)</f>
        <v>-68.130579472989339</v>
      </c>
    </row>
    <row r="445" spans="1:12" x14ac:dyDescent="0.45">
      <c r="A445" s="11">
        <v>21.16</v>
      </c>
      <c r="B445" s="14">
        <v>5.7903999999999996E-4</v>
      </c>
      <c r="C445" s="15">
        <v>1.986E-4</v>
      </c>
      <c r="F445" s="28">
        <v>4.2</v>
      </c>
      <c r="G445" s="29">
        <f t="shared" si="24"/>
        <v>59.2</v>
      </c>
      <c r="H445" s="29">
        <f t="shared" si="25"/>
        <v>54.2</v>
      </c>
      <c r="I445" s="38">
        <f t="shared" si="26"/>
        <v>6.9217999999999997E-3</v>
      </c>
      <c r="J445" s="38">
        <f t="shared" si="27"/>
        <v>2.7100000000000002E-3</v>
      </c>
      <c r="K445" s="32">
        <f>K444+StepSize*L444</f>
        <v>819.80729789075474</v>
      </c>
      <c r="L445" s="33">
        <f>K445*Delta+I445*K445-J445*(DeathPayment-K445)</f>
        <v>-68.314773916910866</v>
      </c>
    </row>
    <row r="446" spans="1:12" x14ac:dyDescent="0.45">
      <c r="A446" s="11">
        <v>21.17</v>
      </c>
      <c r="B446" s="14">
        <v>5.7897999999999999E-4</v>
      </c>
      <c r="C446" s="15">
        <v>1.9870000000000001E-4</v>
      </c>
      <c r="F446" s="28">
        <v>4.21</v>
      </c>
      <c r="G446" s="29">
        <f t="shared" si="24"/>
        <v>59.21</v>
      </c>
      <c r="H446" s="29">
        <f t="shared" si="25"/>
        <v>54.21</v>
      </c>
      <c r="I446" s="38">
        <f t="shared" si="26"/>
        <v>6.9301900000000001E-3</v>
      </c>
      <c r="J446" s="38">
        <f t="shared" si="27"/>
        <v>2.7127499999999999E-3</v>
      </c>
      <c r="K446" s="32">
        <f>K445+StepSize*L445</f>
        <v>819.12415015158558</v>
      </c>
      <c r="L446" s="33">
        <f>K446*Delta+I446*K446-J446*(DeathPayment-K446)</f>
        <v>-68.499134512725632</v>
      </c>
    </row>
    <row r="447" spans="1:12" x14ac:dyDescent="0.45">
      <c r="A447" s="11">
        <v>21.18</v>
      </c>
      <c r="B447" s="14">
        <v>5.7892000000000002E-4</v>
      </c>
      <c r="C447" s="15">
        <v>1.9880000000000001E-4</v>
      </c>
      <c r="F447" s="28">
        <v>4.22</v>
      </c>
      <c r="G447" s="29">
        <f t="shared" si="24"/>
        <v>59.22</v>
      </c>
      <c r="H447" s="29">
        <f t="shared" si="25"/>
        <v>54.22</v>
      </c>
      <c r="I447" s="38">
        <f t="shared" si="26"/>
        <v>6.9385799999999997E-3</v>
      </c>
      <c r="J447" s="38">
        <f t="shared" si="27"/>
        <v>2.7155E-3</v>
      </c>
      <c r="K447" s="32">
        <f>K446+StepSize*L446</f>
        <v>818.43915880645829</v>
      </c>
      <c r="L447" s="33">
        <f>K447*Delta+I447*K447-J447*(DeathPayment-K447)</f>
        <v>-68.683661458194038</v>
      </c>
    </row>
    <row r="448" spans="1:12" x14ac:dyDescent="0.45">
      <c r="A448" s="11">
        <v>21.19</v>
      </c>
      <c r="B448" s="14">
        <v>5.7886000000000005E-4</v>
      </c>
      <c r="C448" s="15">
        <v>1.9890000000000001E-4</v>
      </c>
      <c r="F448" s="28">
        <v>4.2300000000000004</v>
      </c>
      <c r="G448" s="29">
        <f t="shared" si="24"/>
        <v>59.23</v>
      </c>
      <c r="H448" s="29">
        <f t="shared" si="25"/>
        <v>54.23</v>
      </c>
      <c r="I448" s="38">
        <f t="shared" si="26"/>
        <v>6.9469700000000002E-3</v>
      </c>
      <c r="J448" s="38">
        <f t="shared" si="27"/>
        <v>2.7182500000000002E-3</v>
      </c>
      <c r="K448" s="32">
        <f>K447+StepSize*L447</f>
        <v>817.75232219187637</v>
      </c>
      <c r="L448" s="33">
        <f>K448*Delta+I448*K448-J448*(DeathPayment-K448)</f>
        <v>-68.868354951312611</v>
      </c>
    </row>
    <row r="449" spans="1:12" x14ac:dyDescent="0.45">
      <c r="A449" s="11">
        <v>21.2</v>
      </c>
      <c r="B449" s="14">
        <v>5.7879999999999997E-4</v>
      </c>
      <c r="C449" s="15">
        <v>1.9900000000000001E-4</v>
      </c>
      <c r="F449" s="28">
        <v>4.24</v>
      </c>
      <c r="G449" s="29">
        <f t="shared" si="24"/>
        <v>59.24</v>
      </c>
      <c r="H449" s="29">
        <f t="shared" si="25"/>
        <v>54.24</v>
      </c>
      <c r="I449" s="38">
        <f t="shared" si="26"/>
        <v>6.9553599999999998E-3</v>
      </c>
      <c r="J449" s="38">
        <f t="shared" si="27"/>
        <v>2.7209999999999999E-3</v>
      </c>
      <c r="K449" s="32">
        <f>K448+StepSize*L448</f>
        <v>817.06363864236323</v>
      </c>
      <c r="L449" s="33">
        <f>K449*Delta+I449*K449-J449*(DeathPayment-K449)</f>
        <v>-69.053215190314333</v>
      </c>
    </row>
    <row r="450" spans="1:12" x14ac:dyDescent="0.45">
      <c r="A450" s="11">
        <v>21.21</v>
      </c>
      <c r="B450" s="14">
        <v>5.7874000000000001E-4</v>
      </c>
      <c r="C450" s="15">
        <v>1.9909999999999999E-4</v>
      </c>
      <c r="F450" s="28">
        <v>4.25</v>
      </c>
      <c r="G450" s="29">
        <f t="shared" si="24"/>
        <v>59.25</v>
      </c>
      <c r="H450" s="29">
        <f t="shared" si="25"/>
        <v>54.25</v>
      </c>
      <c r="I450" s="38">
        <f t="shared" si="26"/>
        <v>6.9637500000000003E-3</v>
      </c>
      <c r="J450" s="38">
        <f t="shared" si="27"/>
        <v>2.72375E-3</v>
      </c>
      <c r="K450" s="32">
        <f>K449+StepSize*L449</f>
        <v>816.37310649046003</v>
      </c>
      <c r="L450" s="33">
        <f>K450*Delta+I450*K450-J450*(DeathPayment-K450)</f>
        <v>-69.238242373669081</v>
      </c>
    </row>
    <row r="451" spans="1:12" x14ac:dyDescent="0.45">
      <c r="A451" s="11">
        <v>21.22</v>
      </c>
      <c r="B451" s="14">
        <v>5.7868000000000004E-4</v>
      </c>
      <c r="C451" s="15">
        <v>1.9919999999999999E-4</v>
      </c>
      <c r="F451" s="28">
        <v>4.26</v>
      </c>
      <c r="G451" s="29">
        <f t="shared" si="24"/>
        <v>59.26</v>
      </c>
      <c r="H451" s="29">
        <f t="shared" si="25"/>
        <v>54.26</v>
      </c>
      <c r="I451" s="38">
        <f t="shared" si="26"/>
        <v>6.9721399999999999E-3</v>
      </c>
      <c r="J451" s="38">
        <f t="shared" si="27"/>
        <v>2.7265000000000002E-3</v>
      </c>
      <c r="K451" s="32">
        <f>K450+StepSize*L450</f>
        <v>815.68072406672331</v>
      </c>
      <c r="L451" s="33">
        <f>K451*Delta+I451*K451-J451*(DeathPayment-K451)</f>
        <v>-69.423436700083656</v>
      </c>
    </row>
    <row r="452" spans="1:12" x14ac:dyDescent="0.45">
      <c r="A452" s="11">
        <v>21.23</v>
      </c>
      <c r="B452" s="14">
        <v>5.7861999999999996E-4</v>
      </c>
      <c r="C452" s="15">
        <v>1.9929999999999999E-4</v>
      </c>
      <c r="F452" s="28">
        <v>4.2699999999999996</v>
      </c>
      <c r="G452" s="29">
        <f t="shared" si="24"/>
        <v>59.27</v>
      </c>
      <c r="H452" s="29">
        <f t="shared" si="25"/>
        <v>54.27</v>
      </c>
      <c r="I452" s="38">
        <f t="shared" si="26"/>
        <v>6.9805300000000004E-3</v>
      </c>
      <c r="J452" s="38">
        <f t="shared" si="27"/>
        <v>2.7292499999999999E-3</v>
      </c>
      <c r="K452" s="32">
        <f>K451+StepSize*L451</f>
        <v>814.98648969972248</v>
      </c>
      <c r="L452" s="33">
        <f>K452*Delta+I452*K452-J452*(DeathPayment-K452)</f>
        <v>-69.608798368502377</v>
      </c>
    </row>
    <row r="453" spans="1:12" x14ac:dyDescent="0.45">
      <c r="A453" s="11">
        <v>21.24</v>
      </c>
      <c r="B453" s="14">
        <v>5.7855999999999999E-4</v>
      </c>
      <c r="C453" s="15">
        <v>1.994E-4</v>
      </c>
      <c r="F453" s="28">
        <v>4.28</v>
      </c>
      <c r="G453" s="29">
        <f t="shared" si="24"/>
        <v>59.28</v>
      </c>
      <c r="H453" s="29">
        <f t="shared" si="25"/>
        <v>54.28</v>
      </c>
      <c r="I453" s="38">
        <f t="shared" si="26"/>
        <v>6.98892E-3</v>
      </c>
      <c r="J453" s="38">
        <f t="shared" si="27"/>
        <v>2.7320000000000001E-3</v>
      </c>
      <c r="K453" s="32">
        <f>K452+StepSize*L452</f>
        <v>814.29040171603742</v>
      </c>
      <c r="L453" s="33">
        <f>K453*Delta+I453*K453-J453*(DeathPayment-K453)</f>
        <v>-69.794327578107229</v>
      </c>
    </row>
    <row r="454" spans="1:12" x14ac:dyDescent="0.45">
      <c r="A454" s="11">
        <v>21.25</v>
      </c>
      <c r="B454" s="14">
        <v>5.7850000000000002E-4</v>
      </c>
      <c r="C454" s="15">
        <v>1.995E-4</v>
      </c>
      <c r="F454" s="28">
        <v>4.29</v>
      </c>
      <c r="G454" s="29">
        <f t="shared" si="24"/>
        <v>59.29</v>
      </c>
      <c r="H454" s="29">
        <f t="shared" si="25"/>
        <v>54.29</v>
      </c>
      <c r="I454" s="38">
        <f t="shared" si="26"/>
        <v>6.9973099999999996E-3</v>
      </c>
      <c r="J454" s="38">
        <f t="shared" si="27"/>
        <v>2.7347500000000002E-3</v>
      </c>
      <c r="K454" s="32">
        <f>K453+StepSize*L453</f>
        <v>813.59245844025634</v>
      </c>
      <c r="L454" s="33">
        <f>K454*Delta+I454*K454-J454*(DeathPayment-K454)</f>
        <v>-69.980024528318168</v>
      </c>
    </row>
    <row r="455" spans="1:12" x14ac:dyDescent="0.45">
      <c r="A455" s="11">
        <v>21.26</v>
      </c>
      <c r="B455" s="14">
        <v>5.7844000000000005E-4</v>
      </c>
      <c r="C455" s="15">
        <v>1.996E-4</v>
      </c>
      <c r="F455" s="28">
        <v>4.3</v>
      </c>
      <c r="G455" s="29">
        <f t="shared" si="24"/>
        <v>59.3</v>
      </c>
      <c r="H455" s="29">
        <f t="shared" si="25"/>
        <v>54.3</v>
      </c>
      <c r="I455" s="38">
        <f t="shared" si="26"/>
        <v>7.0057000000000001E-3</v>
      </c>
      <c r="J455" s="38">
        <f t="shared" si="27"/>
        <v>2.7374999999999999E-3</v>
      </c>
      <c r="K455" s="32">
        <f>K454+StepSize*L454</f>
        <v>812.89265819497314</v>
      </c>
      <c r="L455" s="33">
        <f>K455*Delta+I455*K455-J455*(DeathPayment-K455)</f>
        <v>-70.165889418793441</v>
      </c>
    </row>
    <row r="456" spans="1:12" x14ac:dyDescent="0.45">
      <c r="A456" s="11">
        <v>21.27</v>
      </c>
      <c r="B456" s="14">
        <v>5.7837999999999997E-4</v>
      </c>
      <c r="C456" s="15">
        <v>1.997E-4</v>
      </c>
      <c r="F456" s="28">
        <v>4.3099999999999996</v>
      </c>
      <c r="G456" s="29">
        <f t="shared" si="24"/>
        <v>59.31</v>
      </c>
      <c r="H456" s="29">
        <f t="shared" si="25"/>
        <v>54.31</v>
      </c>
      <c r="I456" s="38">
        <f t="shared" si="26"/>
        <v>7.0140899999999997E-3</v>
      </c>
      <c r="J456" s="38">
        <f t="shared" si="27"/>
        <v>2.7402500000000001E-3</v>
      </c>
      <c r="K456" s="32">
        <f>K455+StepSize*L455</f>
        <v>812.19099930078517</v>
      </c>
      <c r="L456" s="33">
        <f>K456*Delta+I456*K456-J456*(DeathPayment-K456)</f>
        <v>-70.351922449429964</v>
      </c>
    </row>
    <row r="457" spans="1:12" x14ac:dyDescent="0.45">
      <c r="A457" s="11">
        <v>21.28</v>
      </c>
      <c r="B457" s="14">
        <v>5.7832000000000001E-4</v>
      </c>
      <c r="C457" s="15">
        <v>1.998E-4</v>
      </c>
      <c r="F457" s="28">
        <v>4.32</v>
      </c>
      <c r="G457" s="29">
        <f t="shared" si="24"/>
        <v>59.32</v>
      </c>
      <c r="H457" s="29">
        <f t="shared" si="25"/>
        <v>54.32</v>
      </c>
      <c r="I457" s="38">
        <f t="shared" si="26"/>
        <v>7.0224800000000002E-3</v>
      </c>
      <c r="J457" s="38">
        <f t="shared" si="27"/>
        <v>2.7430000000000002E-3</v>
      </c>
      <c r="K457" s="32">
        <f>K456+StepSize*L456</f>
        <v>811.48748007629092</v>
      </c>
      <c r="L457" s="33">
        <f>K457*Delta+I457*K457-J457*(DeathPayment-K457)</f>
        <v>-70.538123820363609</v>
      </c>
    </row>
    <row r="458" spans="1:12" x14ac:dyDescent="0.45">
      <c r="A458" s="11">
        <v>21.29</v>
      </c>
      <c r="B458" s="14">
        <v>5.7826000000000004E-4</v>
      </c>
      <c r="C458" s="15">
        <v>1.9990000000000001E-4</v>
      </c>
      <c r="F458" s="28">
        <v>4.33</v>
      </c>
      <c r="G458" s="29">
        <f t="shared" si="24"/>
        <v>59.33</v>
      </c>
      <c r="H458" s="29">
        <f t="shared" si="25"/>
        <v>54.33</v>
      </c>
      <c r="I458" s="38">
        <f t="shared" si="26"/>
        <v>7.0308699999999998E-3</v>
      </c>
      <c r="J458" s="38">
        <f t="shared" si="27"/>
        <v>2.7457499999999999E-3</v>
      </c>
      <c r="K458" s="32">
        <f>K457+StepSize*L457</f>
        <v>810.78209883808734</v>
      </c>
      <c r="L458" s="33">
        <f>K458*Delta+I458*K458-J458*(DeathPayment-K458)</f>
        <v>-70.724493731969332</v>
      </c>
    </row>
    <row r="459" spans="1:12" x14ac:dyDescent="0.45">
      <c r="A459" s="11">
        <v>21.3</v>
      </c>
      <c r="B459" s="14">
        <v>5.7819999999999996E-4</v>
      </c>
      <c r="C459" s="15">
        <v>2.0000000000000001E-4</v>
      </c>
      <c r="F459" s="28">
        <v>4.34</v>
      </c>
      <c r="G459" s="29">
        <f t="shared" si="24"/>
        <v>59.34</v>
      </c>
      <c r="H459" s="29">
        <f t="shared" si="25"/>
        <v>54.34</v>
      </c>
      <c r="I459" s="38">
        <f t="shared" si="26"/>
        <v>7.0392600000000003E-3</v>
      </c>
      <c r="J459" s="38">
        <f t="shared" si="27"/>
        <v>2.7485000000000001E-3</v>
      </c>
      <c r="K459" s="32">
        <f>K458+StepSize*L458</f>
        <v>810.07485390076761</v>
      </c>
      <c r="L459" s="33">
        <f>K459*Delta+I459*K459-J459*(DeathPayment-K459)</f>
        <v>-70.91103238486177</v>
      </c>
    </row>
    <row r="460" spans="1:12" x14ac:dyDescent="0.45">
      <c r="A460" s="11">
        <v>21.31</v>
      </c>
      <c r="B460" s="14">
        <v>5.7813999999999999E-4</v>
      </c>
      <c r="C460" s="15">
        <v>2.0010000000000001E-4</v>
      </c>
      <c r="F460" s="28">
        <v>4.3499999999999996</v>
      </c>
      <c r="G460" s="29">
        <f t="shared" si="24"/>
        <v>59.35</v>
      </c>
      <c r="H460" s="29">
        <f t="shared" si="25"/>
        <v>54.35</v>
      </c>
      <c r="I460" s="38">
        <f t="shared" si="26"/>
        <v>7.0476499999999999E-3</v>
      </c>
      <c r="J460" s="38">
        <f t="shared" si="27"/>
        <v>2.7512499999999998E-3</v>
      </c>
      <c r="K460" s="32">
        <f>K459+StepSize*L459</f>
        <v>809.36574357691904</v>
      </c>
      <c r="L460" s="33">
        <f>K460*Delta+I460*K460-J460*(DeathPayment-K460)</f>
        <v>-71.097739979895337</v>
      </c>
    </row>
    <row r="461" spans="1:12" x14ac:dyDescent="0.45">
      <c r="A461" s="11">
        <v>21.32</v>
      </c>
      <c r="B461" s="14">
        <v>5.7808000000000002E-4</v>
      </c>
      <c r="C461" s="15">
        <v>2.0019999999999999E-4</v>
      </c>
      <c r="F461" s="28">
        <v>4.3600000000000003</v>
      </c>
      <c r="G461" s="29">
        <f t="shared" si="24"/>
        <v>59.36</v>
      </c>
      <c r="H461" s="29">
        <f t="shared" si="25"/>
        <v>54.36</v>
      </c>
      <c r="I461" s="38">
        <f t="shared" si="26"/>
        <v>7.0560400000000004E-3</v>
      </c>
      <c r="J461" s="38">
        <f t="shared" si="27"/>
        <v>2.7539999999999999E-3</v>
      </c>
      <c r="K461" s="32">
        <f>K460+StepSize*L460</f>
        <v>808.65476617712011</v>
      </c>
      <c r="L461" s="33">
        <f>K461*Delta+I461*K461-J461*(DeathPayment-K461)</f>
        <v>-71.284616718164642</v>
      </c>
    </row>
    <row r="462" spans="1:12" x14ac:dyDescent="0.45">
      <c r="A462" s="11">
        <v>21.33</v>
      </c>
      <c r="B462" s="14">
        <v>5.7802000000000005E-4</v>
      </c>
      <c r="C462" s="15">
        <v>2.0029999999999999E-4</v>
      </c>
      <c r="F462" s="28">
        <v>4.37</v>
      </c>
      <c r="G462" s="29">
        <f t="shared" si="24"/>
        <v>59.37</v>
      </c>
      <c r="H462" s="29">
        <f t="shared" si="25"/>
        <v>54.37</v>
      </c>
      <c r="I462" s="38">
        <f t="shared" si="26"/>
        <v>7.06443E-3</v>
      </c>
      <c r="J462" s="38">
        <f t="shared" si="27"/>
        <v>2.7567500000000001E-3</v>
      </c>
      <c r="K462" s="32">
        <f>K461+StepSize*L461</f>
        <v>807.94192000993849</v>
      </c>
      <c r="L462" s="33">
        <f>K462*Delta+I462*K462-J462*(DeathPayment-K462)</f>
        <v>-71.471662801004712</v>
      </c>
    </row>
    <row r="463" spans="1:12" x14ac:dyDescent="0.45">
      <c r="A463" s="11">
        <v>21.34</v>
      </c>
      <c r="B463" s="14">
        <v>5.7795999999999998E-4</v>
      </c>
      <c r="C463" s="15">
        <v>2.0039999999999999E-4</v>
      </c>
      <c r="F463" s="28">
        <v>4.38</v>
      </c>
      <c r="G463" s="29">
        <f t="shared" si="24"/>
        <v>59.38</v>
      </c>
      <c r="H463" s="29">
        <f t="shared" si="25"/>
        <v>54.38</v>
      </c>
      <c r="I463" s="38">
        <f t="shared" si="26"/>
        <v>7.0728199999999996E-3</v>
      </c>
      <c r="J463" s="38">
        <f t="shared" si="27"/>
        <v>2.7594999999999998E-3</v>
      </c>
      <c r="K463" s="32">
        <f>K462+StepSize*L462</f>
        <v>807.22720338192846</v>
      </c>
      <c r="L463" s="33">
        <f>K463*Delta+I463*K463-J463*(DeathPayment-K463)</f>
        <v>-71.658878429991347</v>
      </c>
    </row>
    <row r="464" spans="1:12" x14ac:dyDescent="0.45">
      <c r="A464" s="11">
        <v>21.35</v>
      </c>
      <c r="B464" s="14">
        <v>5.7790000000000001E-4</v>
      </c>
      <c r="C464" s="15">
        <v>2.0049999999999999E-4</v>
      </c>
      <c r="F464" s="28">
        <v>4.3899999999999997</v>
      </c>
      <c r="G464" s="29">
        <f t="shared" si="24"/>
        <v>59.39</v>
      </c>
      <c r="H464" s="29">
        <f t="shared" si="25"/>
        <v>54.39</v>
      </c>
      <c r="I464" s="38">
        <f t="shared" si="26"/>
        <v>7.0812100000000001E-3</v>
      </c>
      <c r="J464" s="38">
        <f t="shared" si="27"/>
        <v>2.7622499999999999E-3</v>
      </c>
      <c r="K464" s="32">
        <f>K463+StepSize*L463</f>
        <v>806.51061459762855</v>
      </c>
      <c r="L464" s="33">
        <f>K464*Delta+I464*K464-J464*(DeathPayment-K464)</f>
        <v>-71.846263806941494</v>
      </c>
    </row>
    <row r="465" spans="1:12" x14ac:dyDescent="0.45">
      <c r="A465" s="11">
        <v>21.36</v>
      </c>
      <c r="B465" s="14">
        <v>5.7784000000000004E-4</v>
      </c>
      <c r="C465" s="15">
        <v>2.006E-4</v>
      </c>
      <c r="F465" s="28">
        <v>4.4000000000000004</v>
      </c>
      <c r="G465" s="29">
        <f t="shared" si="24"/>
        <v>59.4</v>
      </c>
      <c r="H465" s="29">
        <f t="shared" si="25"/>
        <v>54.4</v>
      </c>
      <c r="I465" s="38">
        <f t="shared" si="26"/>
        <v>7.0895999999999997E-3</v>
      </c>
      <c r="J465" s="38">
        <f t="shared" si="27"/>
        <v>2.7650000000000001E-3</v>
      </c>
      <c r="K465" s="32">
        <f>K464+StepSize*L464</f>
        <v>805.79215195955908</v>
      </c>
      <c r="L465" s="33">
        <f>K465*Delta+I465*K465-J465*(DeathPayment-K465)</f>
        <v>-72.033819133913426</v>
      </c>
    </row>
    <row r="466" spans="1:12" x14ac:dyDescent="0.45">
      <c r="A466" s="11">
        <v>21.37</v>
      </c>
      <c r="B466" s="14">
        <v>5.7777999999999996E-4</v>
      </c>
      <c r="C466" s="15">
        <v>2.007E-4</v>
      </c>
      <c r="F466" s="28">
        <v>4.41</v>
      </c>
      <c r="G466" s="29">
        <f t="shared" si="24"/>
        <v>59.41</v>
      </c>
      <c r="H466" s="29">
        <f t="shared" si="25"/>
        <v>54.41</v>
      </c>
      <c r="I466" s="38">
        <f t="shared" si="26"/>
        <v>7.0979900000000002E-3</v>
      </c>
      <c r="J466" s="38">
        <f t="shared" si="27"/>
        <v>2.7677499999999998E-3</v>
      </c>
      <c r="K466" s="32">
        <f>K465+StepSize*L465</f>
        <v>805.07181376821995</v>
      </c>
      <c r="L466" s="33">
        <f>K466*Delta+I466*K466-J466*(DeathPayment-K466)</f>
        <v>-72.221544613207115</v>
      </c>
    </row>
    <row r="467" spans="1:12" x14ac:dyDescent="0.45">
      <c r="A467" s="11">
        <v>21.38</v>
      </c>
      <c r="B467" s="14">
        <v>5.7771999999999999E-4</v>
      </c>
      <c r="C467" s="15">
        <v>2.008E-4</v>
      </c>
      <c r="F467" s="28">
        <v>4.42</v>
      </c>
      <c r="G467" s="29">
        <f t="shared" si="24"/>
        <v>59.42</v>
      </c>
      <c r="H467" s="29">
        <f t="shared" si="25"/>
        <v>54.42</v>
      </c>
      <c r="I467" s="38">
        <f t="shared" si="26"/>
        <v>7.1063799999999998E-3</v>
      </c>
      <c r="J467" s="38">
        <f t="shared" si="27"/>
        <v>2.7705E-3</v>
      </c>
      <c r="K467" s="32">
        <f>K466+StepSize*L466</f>
        <v>804.3495983220879</v>
      </c>
      <c r="L467" s="33">
        <f>K467*Delta+I467*K467-J467*(DeathPayment-K467)</f>
        <v>-72.409440447364645</v>
      </c>
    </row>
    <row r="468" spans="1:12" x14ac:dyDescent="0.45">
      <c r="A468" s="11">
        <v>21.39</v>
      </c>
      <c r="B468" s="14">
        <v>5.7766000000000002E-4</v>
      </c>
      <c r="C468" s="15">
        <v>2.009E-4</v>
      </c>
      <c r="F468" s="28">
        <v>4.43</v>
      </c>
      <c r="G468" s="29">
        <f t="shared" si="24"/>
        <v>59.43</v>
      </c>
      <c r="H468" s="29">
        <f t="shared" si="25"/>
        <v>54.43</v>
      </c>
      <c r="I468" s="38">
        <f t="shared" si="26"/>
        <v>7.1147700000000003E-3</v>
      </c>
      <c r="J468" s="38">
        <f t="shared" si="27"/>
        <v>2.7732500000000001E-3</v>
      </c>
      <c r="K468" s="32">
        <f>K467+StepSize*L467</f>
        <v>803.62550391761431</v>
      </c>
      <c r="L468" s="33">
        <f>K468*Delta+I468*K468-J468*(DeathPayment-K468)</f>
        <v>-72.597506839170279</v>
      </c>
    </row>
    <row r="469" spans="1:12" x14ac:dyDescent="0.45">
      <c r="A469" s="11">
        <v>21.4</v>
      </c>
      <c r="B469" s="14">
        <v>5.7760000000000005E-4</v>
      </c>
      <c r="C469" s="15">
        <v>2.0100000000000001E-4</v>
      </c>
      <c r="F469" s="28">
        <v>4.4400000000000004</v>
      </c>
      <c r="G469" s="29">
        <f t="shared" si="24"/>
        <v>59.44</v>
      </c>
      <c r="H469" s="29">
        <f t="shared" si="25"/>
        <v>54.44</v>
      </c>
      <c r="I469" s="38">
        <f t="shared" si="26"/>
        <v>7.1231599999999999E-3</v>
      </c>
      <c r="J469" s="38">
        <f t="shared" si="27"/>
        <v>2.7759999999999998E-3</v>
      </c>
      <c r="K469" s="32">
        <f>K468+StepSize*L468</f>
        <v>802.89952884922263</v>
      </c>
      <c r="L469" s="33">
        <f>K469*Delta+I469*K469-J469*(DeathPayment-K469)</f>
        <v>-72.785743991651074</v>
      </c>
    </row>
    <row r="470" spans="1:12" x14ac:dyDescent="0.45">
      <c r="A470" s="11">
        <v>21.41</v>
      </c>
      <c r="B470" s="14">
        <v>5.7753999999999998E-4</v>
      </c>
      <c r="C470" s="15">
        <v>2.0110000000000001E-4</v>
      </c>
      <c r="F470" s="28">
        <v>4.45</v>
      </c>
      <c r="G470" s="29">
        <f t="shared" si="24"/>
        <v>59.45</v>
      </c>
      <c r="H470" s="29">
        <f t="shared" si="25"/>
        <v>54.45</v>
      </c>
      <c r="I470" s="38">
        <f t="shared" si="26"/>
        <v>7.1315500000000004E-3</v>
      </c>
      <c r="J470" s="38">
        <f t="shared" si="27"/>
        <v>2.77875E-3</v>
      </c>
      <c r="K470" s="32">
        <f>K469+StepSize*L469</f>
        <v>802.1716714093061</v>
      </c>
      <c r="L470" s="33">
        <f>K470*Delta+I470*K470-J470*(DeathPayment-K470)</f>
        <v>-72.974152108076908</v>
      </c>
    </row>
    <row r="471" spans="1:12" x14ac:dyDescent="0.45">
      <c r="A471" s="11">
        <v>21.42</v>
      </c>
      <c r="B471" s="14">
        <v>5.7748000000000001E-4</v>
      </c>
      <c r="C471" s="15">
        <v>2.0120000000000001E-4</v>
      </c>
      <c r="F471" s="28">
        <v>4.46</v>
      </c>
      <c r="G471" s="29">
        <f t="shared" si="24"/>
        <v>59.46</v>
      </c>
      <c r="H471" s="29">
        <f t="shared" si="25"/>
        <v>54.46</v>
      </c>
      <c r="I471" s="38">
        <f t="shared" si="26"/>
        <v>7.13994E-3</v>
      </c>
      <c r="J471" s="38">
        <f t="shared" si="27"/>
        <v>2.7815000000000001E-3</v>
      </c>
      <c r="K471" s="32">
        <f>K470+StepSize*L470</f>
        <v>801.44192988822533</v>
      </c>
      <c r="L471" s="33">
        <f>K471*Delta+I471*K471-J471*(DeathPayment-K471)</f>
        <v>-73.162731391961017</v>
      </c>
    </row>
    <row r="472" spans="1:12" x14ac:dyDescent="0.45">
      <c r="A472" s="11">
        <v>21.43</v>
      </c>
      <c r="B472" s="14">
        <v>5.7742000000000004E-4</v>
      </c>
      <c r="C472" s="15">
        <v>2.0129999999999999E-4</v>
      </c>
      <c r="F472" s="28">
        <v>4.47</v>
      </c>
      <c r="G472" s="29">
        <f t="shared" si="24"/>
        <v>59.47</v>
      </c>
      <c r="H472" s="29">
        <f t="shared" si="25"/>
        <v>54.47</v>
      </c>
      <c r="I472" s="38">
        <f t="shared" si="26"/>
        <v>7.1483299999999996E-3</v>
      </c>
      <c r="J472" s="38">
        <f t="shared" si="27"/>
        <v>2.7842499999999998E-3</v>
      </c>
      <c r="K472" s="32">
        <f>K471+StepSize*L471</f>
        <v>800.71030257430573</v>
      </c>
      <c r="L472" s="33">
        <f>K472*Delta+I472*K472-J472*(DeathPayment-K472)</f>
        <v>-73.351482047060131</v>
      </c>
    </row>
    <row r="473" spans="1:12" x14ac:dyDescent="0.45">
      <c r="A473" s="11">
        <v>21.44</v>
      </c>
      <c r="B473" s="14">
        <v>5.7735999999999996E-4</v>
      </c>
      <c r="C473" s="15">
        <v>2.0139999999999999E-4</v>
      </c>
      <c r="F473" s="28">
        <v>4.4800000000000004</v>
      </c>
      <c r="G473" s="29">
        <f t="shared" ref="G473:G536" si="28">ROUND(MaleAgeStart+F473,2)</f>
        <v>59.48</v>
      </c>
      <c r="H473" s="29">
        <f t="shared" ref="H473:H536" si="29">ROUND(FemaleAgeStart+F473,2)</f>
        <v>54.48</v>
      </c>
      <c r="I473" s="38">
        <f t="shared" ref="I473:I536" si="30">VLOOKUP(G473,muValues,2,FALSE)</f>
        <v>7.1567200000000001E-3</v>
      </c>
      <c r="J473" s="38">
        <f t="shared" ref="J473:J536" si="31">VLOOKUP(H473,muValues,3,FALSE)</f>
        <v>2.787E-3</v>
      </c>
      <c r="K473" s="32">
        <f>K472+StepSize*L472</f>
        <v>799.97678775383508</v>
      </c>
      <c r="L473" s="33">
        <f>K473*Delta+I473*K473-J473*(DeathPayment-K473)</f>
        <v>-73.540404277374989</v>
      </c>
    </row>
    <row r="474" spans="1:12" x14ac:dyDescent="0.45">
      <c r="A474" s="11">
        <v>21.45</v>
      </c>
      <c r="B474" s="14">
        <v>5.7729999999999999E-4</v>
      </c>
      <c r="C474" s="15">
        <v>2.0149999999999999E-4</v>
      </c>
      <c r="F474" s="28">
        <v>4.49</v>
      </c>
      <c r="G474" s="29">
        <f t="shared" si="28"/>
        <v>59.49</v>
      </c>
      <c r="H474" s="29">
        <f t="shared" si="29"/>
        <v>54.49</v>
      </c>
      <c r="I474" s="38">
        <f t="shared" si="30"/>
        <v>7.1651099999999997E-3</v>
      </c>
      <c r="J474" s="38">
        <f t="shared" si="31"/>
        <v>2.7897500000000001E-3</v>
      </c>
      <c r="K474" s="32">
        <f>K473+StepSize*L473</f>
        <v>799.2413837110613</v>
      </c>
      <c r="L474" s="33">
        <f>K474*Delta+I474*K474-J474*(DeathPayment-K474)</f>
        <v>-73.729498287150378</v>
      </c>
    </row>
    <row r="475" spans="1:12" x14ac:dyDescent="0.45">
      <c r="A475" s="11">
        <v>21.46</v>
      </c>
      <c r="B475" s="14">
        <v>5.7724000000000002E-4</v>
      </c>
      <c r="C475" s="15">
        <v>2.0159999999999999E-4</v>
      </c>
      <c r="F475" s="28">
        <v>4.5</v>
      </c>
      <c r="G475" s="29">
        <f t="shared" si="28"/>
        <v>59.5</v>
      </c>
      <c r="H475" s="29">
        <f t="shared" si="29"/>
        <v>54.5</v>
      </c>
      <c r="I475" s="38">
        <f t="shared" si="30"/>
        <v>7.1735000000000002E-3</v>
      </c>
      <c r="J475" s="38">
        <f t="shared" si="31"/>
        <v>2.7924999999999998E-3</v>
      </c>
      <c r="K475" s="32">
        <f>K474+StepSize*L474</f>
        <v>798.5040887281898</v>
      </c>
      <c r="L475" s="33">
        <f>K475*Delta+I475*K475-J475*(DeathPayment-K475)</f>
        <v>-73.91876428087572</v>
      </c>
    </row>
    <row r="476" spans="1:12" x14ac:dyDescent="0.45">
      <c r="A476" s="11">
        <v>21.47</v>
      </c>
      <c r="B476" s="14">
        <v>5.7718000000000005E-4</v>
      </c>
      <c r="C476" s="15">
        <v>2.017E-4</v>
      </c>
      <c r="F476" s="28">
        <v>4.51</v>
      </c>
      <c r="G476" s="29">
        <f t="shared" si="28"/>
        <v>59.51</v>
      </c>
      <c r="H476" s="29">
        <f t="shared" si="29"/>
        <v>54.51</v>
      </c>
      <c r="I476" s="38">
        <f t="shared" si="30"/>
        <v>7.1818899999999998E-3</v>
      </c>
      <c r="J476" s="38">
        <f t="shared" si="31"/>
        <v>2.79525E-3</v>
      </c>
      <c r="K476" s="32">
        <f>K475+StepSize*L475</f>
        <v>797.7649010853811</v>
      </c>
      <c r="L476" s="33">
        <f>K476*Delta+I476*K476-J476*(DeathPayment-K476)</f>
        <v>-74.108202463285295</v>
      </c>
    </row>
    <row r="477" spans="1:12" x14ac:dyDescent="0.45">
      <c r="A477" s="11">
        <v>21.48</v>
      </c>
      <c r="B477" s="14">
        <v>5.7711999999999998E-4</v>
      </c>
      <c r="C477" s="15">
        <v>2.018E-4</v>
      </c>
      <c r="F477" s="28">
        <v>4.5199999999999996</v>
      </c>
      <c r="G477" s="29">
        <f t="shared" si="28"/>
        <v>59.52</v>
      </c>
      <c r="H477" s="29">
        <f t="shared" si="29"/>
        <v>54.52</v>
      </c>
      <c r="I477" s="38">
        <f t="shared" si="30"/>
        <v>7.1902800000000003E-3</v>
      </c>
      <c r="J477" s="38">
        <f t="shared" si="31"/>
        <v>2.7980000000000001E-3</v>
      </c>
      <c r="K477" s="32">
        <f>K476+StepSize*L476</f>
        <v>797.02381906074822</v>
      </c>
      <c r="L477" s="33">
        <f>K477*Delta+I477*K477-J477*(DeathPayment-K477)</f>
        <v>-74.297813039358402</v>
      </c>
    </row>
    <row r="478" spans="1:12" x14ac:dyDescent="0.45">
      <c r="A478" s="11">
        <v>21.49</v>
      </c>
      <c r="B478" s="14">
        <v>5.7706000000000001E-4</v>
      </c>
      <c r="C478" s="15">
        <v>2.019E-4</v>
      </c>
      <c r="F478" s="28">
        <v>4.53</v>
      </c>
      <c r="G478" s="29">
        <f t="shared" si="28"/>
        <v>59.53</v>
      </c>
      <c r="H478" s="29">
        <f t="shared" si="29"/>
        <v>54.53</v>
      </c>
      <c r="I478" s="38">
        <f t="shared" si="30"/>
        <v>7.1986699999999999E-3</v>
      </c>
      <c r="J478" s="38">
        <f t="shared" si="31"/>
        <v>2.8007499999999999E-3</v>
      </c>
      <c r="K478" s="32">
        <f>K477+StepSize*L477</f>
        <v>796.28084093035466</v>
      </c>
      <c r="L478" s="33">
        <f>K478*Delta+I478*K478-J478*(DeathPayment-K478)</f>
        <v>-74.48759621431995</v>
      </c>
    </row>
    <row r="479" spans="1:12" x14ac:dyDescent="0.45">
      <c r="A479" s="11">
        <v>21.5</v>
      </c>
      <c r="B479" s="14">
        <v>5.7700000000000004E-4</v>
      </c>
      <c r="C479" s="15">
        <v>2.02E-4</v>
      </c>
      <c r="F479" s="28">
        <v>4.54</v>
      </c>
      <c r="G479" s="29">
        <f t="shared" si="28"/>
        <v>59.54</v>
      </c>
      <c r="H479" s="29">
        <f t="shared" si="29"/>
        <v>54.54</v>
      </c>
      <c r="I479" s="38">
        <f t="shared" si="30"/>
        <v>7.2070600000000004E-3</v>
      </c>
      <c r="J479" s="38">
        <f t="shared" si="31"/>
        <v>2.8035E-3</v>
      </c>
      <c r="K479" s="32">
        <f>K478+StepSize*L478</f>
        <v>795.53596496821149</v>
      </c>
      <c r="L479" s="33">
        <f>K479*Delta+I479*K479-J479*(DeathPayment-K479)</f>
        <v>-74.677552193640508</v>
      </c>
    </row>
    <row r="480" spans="1:12" x14ac:dyDescent="0.45">
      <c r="A480" s="11">
        <v>21.51</v>
      </c>
      <c r="B480" s="14">
        <v>5.7693999999999996E-4</v>
      </c>
      <c r="C480" s="15">
        <v>2.0210000000000001E-4</v>
      </c>
      <c r="F480" s="28">
        <v>4.55</v>
      </c>
      <c r="G480" s="29">
        <f t="shared" si="28"/>
        <v>59.55</v>
      </c>
      <c r="H480" s="29">
        <f t="shared" si="29"/>
        <v>54.55</v>
      </c>
      <c r="I480" s="38">
        <f t="shared" si="30"/>
        <v>7.21545E-3</v>
      </c>
      <c r="J480" s="38">
        <f t="shared" si="31"/>
        <v>2.8062500000000002E-3</v>
      </c>
      <c r="K480" s="32">
        <f>K479+StepSize*L479</f>
        <v>794.78918944627503</v>
      </c>
      <c r="L480" s="33">
        <f>K480*Delta+I480*K480-J480*(DeathPayment-K480)</f>
        <v>-74.867681183036893</v>
      </c>
    </row>
    <row r="481" spans="1:12" x14ac:dyDescent="0.45">
      <c r="A481" s="11">
        <v>21.52</v>
      </c>
      <c r="B481" s="14">
        <v>5.7687999999999999E-4</v>
      </c>
      <c r="C481" s="15">
        <v>2.0220000000000001E-4</v>
      </c>
      <c r="F481" s="28">
        <v>4.5599999999999996</v>
      </c>
      <c r="G481" s="29">
        <f t="shared" si="28"/>
        <v>59.56</v>
      </c>
      <c r="H481" s="29">
        <f t="shared" si="29"/>
        <v>54.56</v>
      </c>
      <c r="I481" s="38">
        <f t="shared" si="30"/>
        <v>7.2238399999999996E-3</v>
      </c>
      <c r="J481" s="38">
        <f t="shared" si="31"/>
        <v>2.8089999999999999E-3</v>
      </c>
      <c r="K481" s="32">
        <f>K480+StepSize*L480</f>
        <v>794.04051263444467</v>
      </c>
      <c r="L481" s="33">
        <f>K481*Delta+I481*K481-J481*(DeathPayment-K481)</f>
        <v>-75.057983388472167</v>
      </c>
    </row>
    <row r="482" spans="1:12" x14ac:dyDescent="0.45">
      <c r="A482" s="11">
        <v>21.53</v>
      </c>
      <c r="B482" s="14">
        <v>5.7682000000000002E-4</v>
      </c>
      <c r="C482" s="15">
        <v>2.0230000000000001E-4</v>
      </c>
      <c r="F482" s="28">
        <v>4.57</v>
      </c>
      <c r="G482" s="29">
        <f t="shared" si="28"/>
        <v>59.57</v>
      </c>
      <c r="H482" s="29">
        <f t="shared" si="29"/>
        <v>54.57</v>
      </c>
      <c r="I482" s="38">
        <f t="shared" si="30"/>
        <v>7.2322300000000001E-3</v>
      </c>
      <c r="J482" s="38">
        <f t="shared" si="31"/>
        <v>2.81175E-3</v>
      </c>
      <c r="K482" s="32">
        <f>K481+StepSize*L481</f>
        <v>793.28993280056</v>
      </c>
      <c r="L482" s="33">
        <f>K482*Delta+I482*K482-J482*(DeathPayment-K482)</f>
        <v>-75.248459016156218</v>
      </c>
    </row>
    <row r="483" spans="1:12" x14ac:dyDescent="0.45">
      <c r="A483" s="11">
        <v>21.54</v>
      </c>
      <c r="B483" s="14">
        <v>5.7675999999999995E-4</v>
      </c>
      <c r="C483" s="15">
        <v>2.0239999999999999E-4</v>
      </c>
      <c r="F483" s="28">
        <v>4.58</v>
      </c>
      <c r="G483" s="29">
        <f t="shared" si="28"/>
        <v>59.58</v>
      </c>
      <c r="H483" s="29">
        <f t="shared" si="29"/>
        <v>54.58</v>
      </c>
      <c r="I483" s="38">
        <f t="shared" si="30"/>
        <v>7.2406199999999997E-3</v>
      </c>
      <c r="J483" s="38">
        <f t="shared" si="31"/>
        <v>2.8145000000000002E-3</v>
      </c>
      <c r="K483" s="32">
        <f>K482+StepSize*L482</f>
        <v>792.53744821039845</v>
      </c>
      <c r="L483" s="33">
        <f>K483*Delta+I483*K483-J483*(DeathPayment-K483)</f>
        <v>-75.439108272545994</v>
      </c>
    </row>
    <row r="484" spans="1:12" x14ac:dyDescent="0.45">
      <c r="A484" s="11">
        <v>21.55</v>
      </c>
      <c r="B484" s="14">
        <v>5.7669999999999998E-4</v>
      </c>
      <c r="C484" s="15">
        <v>2.0249999999999999E-4</v>
      </c>
      <c r="F484" s="28">
        <v>4.59</v>
      </c>
      <c r="G484" s="29">
        <f t="shared" si="28"/>
        <v>59.59</v>
      </c>
      <c r="H484" s="29">
        <f t="shared" si="29"/>
        <v>54.59</v>
      </c>
      <c r="I484" s="38">
        <f t="shared" si="30"/>
        <v>7.2490100000000002E-3</v>
      </c>
      <c r="J484" s="38">
        <f t="shared" si="31"/>
        <v>2.8172499999999999E-3</v>
      </c>
      <c r="K484" s="32">
        <f>K483+StepSize*L483</f>
        <v>791.78305712767303</v>
      </c>
      <c r="L484" s="33">
        <f>K484*Delta+I484*K484-J484*(DeathPayment-K484)</f>
        <v>-75.629931364345808</v>
      </c>
    </row>
    <row r="485" spans="1:12" x14ac:dyDescent="0.45">
      <c r="A485" s="11">
        <v>21.56</v>
      </c>
      <c r="B485" s="14">
        <v>5.7664000000000001E-4</v>
      </c>
      <c r="C485" s="15">
        <v>2.0259999999999999E-4</v>
      </c>
      <c r="F485" s="28">
        <v>4.5999999999999996</v>
      </c>
      <c r="G485" s="29">
        <f t="shared" si="28"/>
        <v>59.6</v>
      </c>
      <c r="H485" s="29">
        <f t="shared" si="29"/>
        <v>54.6</v>
      </c>
      <c r="I485" s="38">
        <f t="shared" si="30"/>
        <v>7.2573999999999998E-3</v>
      </c>
      <c r="J485" s="38">
        <f t="shared" si="31"/>
        <v>2.82E-3</v>
      </c>
      <c r="K485" s="32">
        <f>K484+StepSize*L484</f>
        <v>791.02675781402957</v>
      </c>
      <c r="L485" s="33">
        <f>K485*Delta+I485*K485-J485*(DeathPayment-K485)</f>
        <v>-75.820928498507641</v>
      </c>
    </row>
    <row r="486" spans="1:12" x14ac:dyDescent="0.45">
      <c r="A486" s="11">
        <v>21.57</v>
      </c>
      <c r="B486" s="14">
        <v>5.7658000000000004E-4</v>
      </c>
      <c r="C486" s="15">
        <v>2.0269999999999999E-4</v>
      </c>
      <c r="F486" s="28">
        <v>4.6100000000000003</v>
      </c>
      <c r="G486" s="29">
        <f t="shared" si="28"/>
        <v>59.61</v>
      </c>
      <c r="H486" s="29">
        <f t="shared" si="29"/>
        <v>54.61</v>
      </c>
      <c r="I486" s="38">
        <f t="shared" si="30"/>
        <v>7.2657900000000003E-3</v>
      </c>
      <c r="J486" s="38">
        <f t="shared" si="31"/>
        <v>2.8227500000000002E-3</v>
      </c>
      <c r="K486" s="32">
        <f>K485+StepSize*L485</f>
        <v>790.26854852904444</v>
      </c>
      <c r="L486" s="33">
        <f>K486*Delta+I486*K486-J486*(DeathPayment-K486)</f>
        <v>-76.012099882231482</v>
      </c>
    </row>
    <row r="487" spans="1:12" x14ac:dyDescent="0.45">
      <c r="A487" s="11">
        <v>21.58</v>
      </c>
      <c r="B487" s="14">
        <v>5.7651999999999996E-4</v>
      </c>
      <c r="C487" s="15">
        <v>2.028E-4</v>
      </c>
      <c r="F487" s="28">
        <v>4.62</v>
      </c>
      <c r="G487" s="29">
        <f t="shared" si="28"/>
        <v>59.62</v>
      </c>
      <c r="H487" s="29">
        <f t="shared" si="29"/>
        <v>54.62</v>
      </c>
      <c r="I487" s="38">
        <f t="shared" si="30"/>
        <v>7.2741799999999999E-3</v>
      </c>
      <c r="J487" s="38">
        <f t="shared" si="31"/>
        <v>2.8254999999999999E-3</v>
      </c>
      <c r="K487" s="32">
        <f>K486+StepSize*L486</f>
        <v>789.50842753022209</v>
      </c>
      <c r="L487" s="33">
        <f>K487*Delta+I487*K487-J487*(DeathPayment-K487)</f>
        <v>-76.203445722965625</v>
      </c>
    </row>
    <row r="488" spans="1:12" x14ac:dyDescent="0.45">
      <c r="A488" s="11">
        <v>21.59</v>
      </c>
      <c r="B488" s="14">
        <v>5.7645999999999999E-4</v>
      </c>
      <c r="C488" s="15">
        <v>2.029E-4</v>
      </c>
      <c r="F488" s="28">
        <v>4.63</v>
      </c>
      <c r="G488" s="29">
        <f t="shared" si="28"/>
        <v>59.63</v>
      </c>
      <c r="H488" s="29">
        <f t="shared" si="29"/>
        <v>54.63</v>
      </c>
      <c r="I488" s="38">
        <f t="shared" si="30"/>
        <v>7.2825700000000004E-3</v>
      </c>
      <c r="J488" s="38">
        <f t="shared" si="31"/>
        <v>2.82825E-3</v>
      </c>
      <c r="K488" s="32">
        <f>K487+StepSize*L487</f>
        <v>788.74639307299242</v>
      </c>
      <c r="L488" s="33">
        <f>K488*Delta+I488*K488-J488*(DeathPayment-K488)</f>
        <v>-76.394966228407128</v>
      </c>
    </row>
    <row r="489" spans="1:12" x14ac:dyDescent="0.45">
      <c r="A489" s="11">
        <v>21.6</v>
      </c>
      <c r="B489" s="14">
        <v>5.7640000000000002E-4</v>
      </c>
      <c r="C489" s="15">
        <v>2.03E-4</v>
      </c>
      <c r="F489" s="28">
        <v>4.6399999999999997</v>
      </c>
      <c r="G489" s="29">
        <f t="shared" si="28"/>
        <v>59.64</v>
      </c>
      <c r="H489" s="29">
        <f t="shared" si="29"/>
        <v>54.64</v>
      </c>
      <c r="I489" s="38">
        <f t="shared" si="30"/>
        <v>7.29096E-3</v>
      </c>
      <c r="J489" s="38">
        <f t="shared" si="31"/>
        <v>2.8310000000000002E-3</v>
      </c>
      <c r="K489" s="32">
        <f>K488+StepSize*L488</f>
        <v>787.98244341070836</v>
      </c>
      <c r="L489" s="33">
        <f>K489*Delta+I489*K489-J489*(DeathPayment-K489)</f>
        <v>-76.586661606501877</v>
      </c>
    </row>
    <row r="490" spans="1:12" x14ac:dyDescent="0.45">
      <c r="A490" s="11">
        <v>21.61</v>
      </c>
      <c r="B490" s="14">
        <v>5.7633999999999995E-4</v>
      </c>
      <c r="C490" s="15">
        <v>2.031E-4</v>
      </c>
      <c r="F490" s="28">
        <v>4.6500000000000004</v>
      </c>
      <c r="G490" s="29">
        <f t="shared" si="28"/>
        <v>59.65</v>
      </c>
      <c r="H490" s="29">
        <f t="shared" si="29"/>
        <v>54.65</v>
      </c>
      <c r="I490" s="38">
        <f t="shared" si="30"/>
        <v>7.2993499999999996E-3</v>
      </c>
      <c r="J490" s="38">
        <f t="shared" si="31"/>
        <v>2.8337499999999999E-3</v>
      </c>
      <c r="K490" s="32">
        <f>K489+StepSize*L489</f>
        <v>787.21657679464329</v>
      </c>
      <c r="L490" s="33">
        <f>K490*Delta+I490*K490-J490*(DeathPayment-K490)</f>
        <v>-76.778532065445077</v>
      </c>
    </row>
    <row r="491" spans="1:12" x14ac:dyDescent="0.45">
      <c r="A491" s="11">
        <v>21.62</v>
      </c>
      <c r="B491" s="14">
        <v>5.7627999999999998E-4</v>
      </c>
      <c r="C491" s="15">
        <v>2.0320000000000001E-4</v>
      </c>
      <c r="F491" s="28">
        <v>4.66</v>
      </c>
      <c r="G491" s="29">
        <f t="shared" si="28"/>
        <v>59.66</v>
      </c>
      <c r="H491" s="29">
        <f t="shared" si="29"/>
        <v>54.66</v>
      </c>
      <c r="I491" s="38">
        <f t="shared" si="30"/>
        <v>7.3077400000000001E-3</v>
      </c>
      <c r="J491" s="38">
        <f t="shared" si="31"/>
        <v>2.8365E-3</v>
      </c>
      <c r="K491" s="32">
        <f>K490+StepSize*L490</f>
        <v>786.44879147398888</v>
      </c>
      <c r="L491" s="33">
        <f>K491*Delta+I491*K491-J491*(DeathPayment-K491)</f>
        <v>-76.970577813681643</v>
      </c>
    </row>
    <row r="492" spans="1:12" x14ac:dyDescent="0.45">
      <c r="A492" s="11">
        <v>21.63</v>
      </c>
      <c r="B492" s="14">
        <v>5.7622000000000001E-4</v>
      </c>
      <c r="C492" s="15">
        <v>2.0330000000000001E-4</v>
      </c>
      <c r="F492" s="28">
        <v>4.67</v>
      </c>
      <c r="G492" s="29">
        <f t="shared" si="28"/>
        <v>59.67</v>
      </c>
      <c r="H492" s="29">
        <f t="shared" si="29"/>
        <v>54.67</v>
      </c>
      <c r="I492" s="38">
        <f t="shared" si="30"/>
        <v>7.3161299999999997E-3</v>
      </c>
      <c r="J492" s="38">
        <f t="shared" si="31"/>
        <v>2.8392500000000002E-3</v>
      </c>
      <c r="K492" s="32">
        <f>K491+StepSize*L491</f>
        <v>785.67908569585211</v>
      </c>
      <c r="L492" s="33">
        <f>K492*Delta+I492*K492-J492*(DeathPayment-K492)</f>
        <v>-77.162799059906291</v>
      </c>
    </row>
    <row r="493" spans="1:12" x14ac:dyDescent="0.45">
      <c r="A493" s="11">
        <v>21.64</v>
      </c>
      <c r="B493" s="14">
        <v>5.7616000000000004E-4</v>
      </c>
      <c r="C493" s="15">
        <v>2.0340000000000001E-4</v>
      </c>
      <c r="F493" s="28">
        <v>4.68</v>
      </c>
      <c r="G493" s="29">
        <f t="shared" si="28"/>
        <v>59.68</v>
      </c>
      <c r="H493" s="29">
        <f t="shared" si="29"/>
        <v>54.68</v>
      </c>
      <c r="I493" s="38">
        <f t="shared" si="30"/>
        <v>7.3245200000000002E-3</v>
      </c>
      <c r="J493" s="38">
        <f t="shared" si="31"/>
        <v>2.8419999999999999E-3</v>
      </c>
      <c r="K493" s="32">
        <f>K492+StepSize*L492</f>
        <v>784.90745770525302</v>
      </c>
      <c r="L493" s="33">
        <f>K493*Delta+I493*K493-J493*(DeathPayment-K493)</f>
        <v>-77.355196013064102</v>
      </c>
    </row>
    <row r="494" spans="1:12" x14ac:dyDescent="0.45">
      <c r="A494" s="11">
        <v>21.65</v>
      </c>
      <c r="B494" s="14">
        <v>5.7609999999999996E-4</v>
      </c>
      <c r="C494" s="15">
        <v>2.0350000000000001E-4</v>
      </c>
      <c r="F494" s="28">
        <v>4.6900000000000004</v>
      </c>
      <c r="G494" s="29">
        <f t="shared" si="28"/>
        <v>59.69</v>
      </c>
      <c r="H494" s="29">
        <f t="shared" si="29"/>
        <v>54.69</v>
      </c>
      <c r="I494" s="38">
        <f t="shared" si="30"/>
        <v>7.3329099999999998E-3</v>
      </c>
      <c r="J494" s="38">
        <f t="shared" si="31"/>
        <v>2.8447500000000001E-3</v>
      </c>
      <c r="K494" s="32">
        <f>K493+StepSize*L493</f>
        <v>784.13390574512243</v>
      </c>
      <c r="L494" s="33">
        <f>K494*Delta+I494*K494-J494*(DeathPayment-K494)</f>
        <v>-77.547768882350667</v>
      </c>
    </row>
    <row r="495" spans="1:12" x14ac:dyDescent="0.45">
      <c r="A495" s="11">
        <v>21.66</v>
      </c>
      <c r="B495" s="14">
        <v>5.7603999999999999E-4</v>
      </c>
      <c r="C495" s="15">
        <v>2.0359999999999999E-4</v>
      </c>
      <c r="F495" s="28">
        <v>4.7</v>
      </c>
      <c r="G495" s="29">
        <f t="shared" si="28"/>
        <v>59.7</v>
      </c>
      <c r="H495" s="29">
        <f t="shared" si="29"/>
        <v>54.7</v>
      </c>
      <c r="I495" s="38">
        <f t="shared" si="30"/>
        <v>7.3413000000000003E-3</v>
      </c>
      <c r="J495" s="38">
        <f t="shared" si="31"/>
        <v>2.8475000000000002E-3</v>
      </c>
      <c r="K495" s="32">
        <f>K494+StepSize*L494</f>
        <v>783.35842805629898</v>
      </c>
      <c r="L495" s="33">
        <f>K495*Delta+I495*K495-J495*(DeathPayment-K495)</f>
        <v>-77.74051787721254</v>
      </c>
    </row>
    <row r="496" spans="1:12" x14ac:dyDescent="0.45">
      <c r="A496" s="11">
        <v>21.67</v>
      </c>
      <c r="B496" s="14">
        <v>5.7598000000000002E-4</v>
      </c>
      <c r="C496" s="15">
        <v>2.0369999999999999E-4</v>
      </c>
      <c r="F496" s="28">
        <v>4.71</v>
      </c>
      <c r="G496" s="29">
        <f t="shared" si="28"/>
        <v>59.71</v>
      </c>
      <c r="H496" s="29">
        <f t="shared" si="29"/>
        <v>54.71</v>
      </c>
      <c r="I496" s="38">
        <f t="shared" si="30"/>
        <v>7.3496899999999999E-3</v>
      </c>
      <c r="J496" s="38">
        <f t="shared" si="31"/>
        <v>2.8502499999999999E-3</v>
      </c>
      <c r="K496" s="32">
        <f>K495+StepSize*L495</f>
        <v>782.58102287752683</v>
      </c>
      <c r="L496" s="33">
        <f>K496*Delta+I496*K496-J496*(DeathPayment-K496)</f>
        <v>-77.933443207347366</v>
      </c>
    </row>
    <row r="497" spans="1:12" x14ac:dyDescent="0.45">
      <c r="A497" s="11">
        <v>21.68</v>
      </c>
      <c r="B497" s="14">
        <v>5.7591999999999995E-4</v>
      </c>
      <c r="C497" s="15">
        <v>2.0379999999999999E-4</v>
      </c>
      <c r="F497" s="28">
        <v>4.72</v>
      </c>
      <c r="G497" s="29">
        <f t="shared" si="28"/>
        <v>59.72</v>
      </c>
      <c r="H497" s="29">
        <f t="shared" si="29"/>
        <v>54.72</v>
      </c>
      <c r="I497" s="38">
        <f t="shared" si="30"/>
        <v>7.3580800000000003E-3</v>
      </c>
      <c r="J497" s="38">
        <f t="shared" si="31"/>
        <v>2.8530000000000001E-3</v>
      </c>
      <c r="K497" s="32">
        <f>K496+StepSize*L496</f>
        <v>781.80168844545335</v>
      </c>
      <c r="L497" s="33">
        <f>K497*Delta+I497*K497-J497*(DeathPayment-K497)</f>
        <v>-78.126545082704496</v>
      </c>
    </row>
    <row r="498" spans="1:12" x14ac:dyDescent="0.45">
      <c r="A498" s="11">
        <v>21.69</v>
      </c>
      <c r="B498" s="14">
        <v>5.7585999999999998E-4</v>
      </c>
      <c r="C498" s="15">
        <v>2.039E-4</v>
      </c>
      <c r="F498" s="28">
        <v>4.7300000000000004</v>
      </c>
      <c r="G498" s="29">
        <f t="shared" si="28"/>
        <v>59.73</v>
      </c>
      <c r="H498" s="29">
        <f t="shared" si="29"/>
        <v>54.73</v>
      </c>
      <c r="I498" s="38">
        <f t="shared" si="30"/>
        <v>7.36647E-3</v>
      </c>
      <c r="J498" s="38">
        <f t="shared" si="31"/>
        <v>2.8557500000000002E-3</v>
      </c>
      <c r="K498" s="32">
        <f>K497+StepSize*L497</f>
        <v>781.0204229946263</v>
      </c>
      <c r="L498" s="33">
        <f>K498*Delta+I498*K498-J498*(DeathPayment-K498)</f>
        <v>-78.319823713485107</v>
      </c>
    </row>
    <row r="499" spans="1:12" x14ac:dyDescent="0.45">
      <c r="A499" s="11">
        <v>21.7</v>
      </c>
      <c r="B499" s="14">
        <v>5.7580000000000001E-4</v>
      </c>
      <c r="C499" s="15">
        <v>2.04E-4</v>
      </c>
      <c r="F499" s="28">
        <v>4.74</v>
      </c>
      <c r="G499" s="29">
        <f t="shared" si="28"/>
        <v>59.74</v>
      </c>
      <c r="H499" s="29">
        <f t="shared" si="29"/>
        <v>54.74</v>
      </c>
      <c r="I499" s="38">
        <f t="shared" si="30"/>
        <v>7.3748599999999996E-3</v>
      </c>
      <c r="J499" s="38">
        <f t="shared" si="31"/>
        <v>2.8584999999999999E-3</v>
      </c>
      <c r="K499" s="32">
        <f>K498+StepSize*L498</f>
        <v>780.2372247574915</v>
      </c>
      <c r="L499" s="33">
        <f>K499*Delta+I499*K499-J499*(DeathPayment-K499)</f>
        <v>-78.513279310142508</v>
      </c>
    </row>
    <row r="500" spans="1:12" x14ac:dyDescent="0.45">
      <c r="A500" s="11">
        <v>21.71</v>
      </c>
      <c r="B500" s="14">
        <v>5.7574000000000004E-4</v>
      </c>
      <c r="C500" s="15">
        <v>2.041E-4</v>
      </c>
      <c r="F500" s="28">
        <v>4.75</v>
      </c>
      <c r="G500" s="29">
        <f t="shared" si="28"/>
        <v>59.75</v>
      </c>
      <c r="H500" s="29">
        <f t="shared" si="29"/>
        <v>54.75</v>
      </c>
      <c r="I500" s="38">
        <f t="shared" si="30"/>
        <v>7.3832500000000001E-3</v>
      </c>
      <c r="J500" s="38">
        <f t="shared" si="31"/>
        <v>2.8612500000000001E-3</v>
      </c>
      <c r="K500" s="32">
        <f>K499+StepSize*L499</f>
        <v>779.45209196439009</v>
      </c>
      <c r="L500" s="33">
        <f>K500*Delta+I500*K500-J500*(DeathPayment-K500)</f>
        <v>-78.706912083382576</v>
      </c>
    </row>
    <row r="501" spans="1:12" x14ac:dyDescent="0.45">
      <c r="A501" s="11">
        <v>21.72</v>
      </c>
      <c r="B501" s="14">
        <v>5.7567999999999996E-4</v>
      </c>
      <c r="C501" s="15">
        <v>2.042E-4</v>
      </c>
      <c r="F501" s="28">
        <v>4.76</v>
      </c>
      <c r="G501" s="29">
        <f t="shared" si="28"/>
        <v>59.76</v>
      </c>
      <c r="H501" s="29">
        <f t="shared" si="29"/>
        <v>54.76</v>
      </c>
      <c r="I501" s="38">
        <f t="shared" si="30"/>
        <v>7.3916399999999997E-3</v>
      </c>
      <c r="J501" s="38">
        <f t="shared" si="31"/>
        <v>2.8639999999999998E-3</v>
      </c>
      <c r="K501" s="32">
        <f>K500+StepSize*L500</f>
        <v>778.66502284355624</v>
      </c>
      <c r="L501" s="33">
        <f>K501*Delta+I501*K501-J501*(DeathPayment-K501)</f>
        <v>-78.900722244164086</v>
      </c>
    </row>
    <row r="502" spans="1:12" x14ac:dyDescent="0.45">
      <c r="A502" s="11">
        <v>21.73</v>
      </c>
      <c r="B502" s="14">
        <v>5.7561999999999999E-4</v>
      </c>
      <c r="C502" s="15">
        <v>2.0430000000000001E-4</v>
      </c>
      <c r="F502" s="28">
        <v>4.7699999999999996</v>
      </c>
      <c r="G502" s="29">
        <f t="shared" si="28"/>
        <v>59.77</v>
      </c>
      <c r="H502" s="29">
        <f t="shared" si="29"/>
        <v>54.77</v>
      </c>
      <c r="I502" s="38">
        <f t="shared" si="30"/>
        <v>7.4000300000000001E-3</v>
      </c>
      <c r="J502" s="38">
        <f t="shared" si="31"/>
        <v>2.8667499999999999E-3</v>
      </c>
      <c r="K502" s="32">
        <f>K501+StepSize*L501</f>
        <v>777.87601562111456</v>
      </c>
      <c r="L502" s="33">
        <f>K502*Delta+I502*K502-J502*(DeathPayment-K502)</f>
        <v>-79.094710003698879</v>
      </c>
    </row>
    <row r="503" spans="1:12" x14ac:dyDescent="0.45">
      <c r="A503" s="11">
        <v>21.74</v>
      </c>
      <c r="B503" s="14">
        <v>5.7556000000000003E-4</v>
      </c>
      <c r="C503" s="15">
        <v>2.0440000000000001E-4</v>
      </c>
      <c r="F503" s="28">
        <v>4.78</v>
      </c>
      <c r="G503" s="29">
        <f t="shared" si="28"/>
        <v>59.78</v>
      </c>
      <c r="H503" s="29">
        <f t="shared" si="29"/>
        <v>54.78</v>
      </c>
      <c r="I503" s="38">
        <f t="shared" si="30"/>
        <v>7.4084199999999998E-3</v>
      </c>
      <c r="J503" s="38">
        <f t="shared" si="31"/>
        <v>2.8695000000000001E-3</v>
      </c>
      <c r="K503" s="32">
        <f>K502+StepSize*L502</f>
        <v>777.08506852107757</v>
      </c>
      <c r="L503" s="33">
        <f>K503*Delta+I503*K503-J503*(DeathPayment-K503)</f>
        <v>-79.288875573452472</v>
      </c>
    </row>
    <row r="504" spans="1:12" x14ac:dyDescent="0.45">
      <c r="A504" s="11">
        <v>21.75</v>
      </c>
      <c r="B504" s="14">
        <v>5.7549999999999995E-4</v>
      </c>
      <c r="C504" s="15">
        <v>2.0450000000000001E-4</v>
      </c>
      <c r="F504" s="28">
        <v>4.79</v>
      </c>
      <c r="G504" s="29">
        <f t="shared" si="28"/>
        <v>59.79</v>
      </c>
      <c r="H504" s="29">
        <f t="shared" si="29"/>
        <v>54.79</v>
      </c>
      <c r="I504" s="38">
        <f t="shared" si="30"/>
        <v>7.4168100000000002E-3</v>
      </c>
      <c r="J504" s="38">
        <f t="shared" si="31"/>
        <v>2.8722499999999998E-3</v>
      </c>
      <c r="K504" s="32">
        <f>K503+StepSize*L503</f>
        <v>776.29217976534301</v>
      </c>
      <c r="L504" s="33">
        <f>K504*Delta+I504*K504-J504*(DeathPayment-K504)</f>
        <v>-79.483219165143979</v>
      </c>
    </row>
    <row r="505" spans="1:12" x14ac:dyDescent="0.45">
      <c r="A505" s="11">
        <v>21.76</v>
      </c>
      <c r="B505" s="14">
        <v>5.7543999999999998E-4</v>
      </c>
      <c r="C505" s="15">
        <v>2.0460000000000001E-4</v>
      </c>
      <c r="F505" s="28">
        <v>4.8</v>
      </c>
      <c r="G505" s="29">
        <f t="shared" si="28"/>
        <v>59.8</v>
      </c>
      <c r="H505" s="29">
        <f t="shared" si="29"/>
        <v>54.8</v>
      </c>
      <c r="I505" s="38">
        <f t="shared" si="30"/>
        <v>7.4251999999999999E-3</v>
      </c>
      <c r="J505" s="38">
        <f t="shared" si="31"/>
        <v>2.875E-3</v>
      </c>
      <c r="K505" s="32">
        <f>K504+StepSize*L504</f>
        <v>775.49734757369151</v>
      </c>
      <c r="L505" s="33">
        <f>K505*Delta+I505*K505-J505*(DeathPayment-K505)</f>
        <v>-79.677740990746869</v>
      </c>
    </row>
    <row r="506" spans="1:12" x14ac:dyDescent="0.45">
      <c r="A506" s="11">
        <v>21.77</v>
      </c>
      <c r="B506" s="14">
        <v>5.7538000000000001E-4</v>
      </c>
      <c r="C506" s="15">
        <v>2.0469999999999999E-4</v>
      </c>
      <c r="F506" s="28">
        <v>4.8099999999999996</v>
      </c>
      <c r="G506" s="29">
        <f t="shared" si="28"/>
        <v>59.81</v>
      </c>
      <c r="H506" s="29">
        <f t="shared" si="29"/>
        <v>54.81</v>
      </c>
      <c r="I506" s="38">
        <f t="shared" si="30"/>
        <v>7.4335900000000003E-3</v>
      </c>
      <c r="J506" s="38">
        <f t="shared" si="31"/>
        <v>2.8777500000000001E-3</v>
      </c>
      <c r="K506" s="32">
        <f>K505+StepSize*L505</f>
        <v>774.70057016378405</v>
      </c>
      <c r="L506" s="33">
        <f>K506*Delta+I506*K506-J506*(DeathPayment-K506)</f>
        <v>-79.872441262488962</v>
      </c>
    </row>
    <row r="507" spans="1:12" x14ac:dyDescent="0.45">
      <c r="A507" s="11">
        <v>21.78</v>
      </c>
      <c r="B507" s="14">
        <v>5.7532000000000004E-4</v>
      </c>
      <c r="C507" s="15">
        <v>2.0479999999999999E-4</v>
      </c>
      <c r="F507" s="28">
        <v>4.82</v>
      </c>
      <c r="G507" s="29">
        <f t="shared" si="28"/>
        <v>59.82</v>
      </c>
      <c r="H507" s="29">
        <f t="shared" si="29"/>
        <v>54.82</v>
      </c>
      <c r="I507" s="38">
        <f t="shared" si="30"/>
        <v>7.4419799999999999E-3</v>
      </c>
      <c r="J507" s="38">
        <f t="shared" si="31"/>
        <v>2.8804999999999998E-3</v>
      </c>
      <c r="K507" s="32">
        <f>K506+StepSize*L506</f>
        <v>773.90184575115916</v>
      </c>
      <c r="L507" s="33">
        <f>K507*Delta+I507*K507-J507*(DeathPayment-K507)</f>
        <v>-80.067320192853003</v>
      </c>
    </row>
    <row r="508" spans="1:12" x14ac:dyDescent="0.45">
      <c r="A508" s="11">
        <v>21.79</v>
      </c>
      <c r="B508" s="14">
        <v>5.7525999999999996E-4</v>
      </c>
      <c r="C508" s="15">
        <v>2.0489999999999999E-4</v>
      </c>
      <c r="F508" s="28">
        <v>4.83</v>
      </c>
      <c r="G508" s="29">
        <f t="shared" si="28"/>
        <v>59.83</v>
      </c>
      <c r="H508" s="29">
        <f t="shared" si="29"/>
        <v>54.83</v>
      </c>
      <c r="I508" s="38">
        <f t="shared" si="30"/>
        <v>7.4503700000000004E-3</v>
      </c>
      <c r="J508" s="38">
        <f t="shared" si="31"/>
        <v>2.88325E-3</v>
      </c>
      <c r="K508" s="32">
        <f>K507+StepSize*L507</f>
        <v>773.10117254923068</v>
      </c>
      <c r="L508" s="33">
        <f>K508*Delta+I508*K508-J508*(DeathPayment-K508)</f>
        <v>-80.262377994576809</v>
      </c>
    </row>
    <row r="509" spans="1:12" x14ac:dyDescent="0.45">
      <c r="A509" s="11">
        <v>21.8</v>
      </c>
      <c r="B509" s="14">
        <v>5.752E-4</v>
      </c>
      <c r="C509" s="15">
        <v>2.05E-4</v>
      </c>
      <c r="F509" s="28">
        <v>4.84</v>
      </c>
      <c r="G509" s="29">
        <f t="shared" si="28"/>
        <v>59.84</v>
      </c>
      <c r="H509" s="29">
        <f t="shared" si="29"/>
        <v>54.84</v>
      </c>
      <c r="I509" s="38">
        <f t="shared" si="30"/>
        <v>7.45876E-3</v>
      </c>
      <c r="J509" s="38">
        <f t="shared" si="31"/>
        <v>2.8860000000000001E-3</v>
      </c>
      <c r="K509" s="32">
        <f>K508+StepSize*L508</f>
        <v>772.29854876928493</v>
      </c>
      <c r="L509" s="33">
        <f>K509*Delta+I509*K509-J509*(DeathPayment-K509)</f>
        <v>-80.457614880653637</v>
      </c>
    </row>
    <row r="510" spans="1:12" x14ac:dyDescent="0.45">
      <c r="A510" s="11">
        <v>21.81</v>
      </c>
      <c r="B510" s="14">
        <v>5.7514000000000003E-4</v>
      </c>
      <c r="C510" s="15">
        <v>2.051E-4</v>
      </c>
      <c r="F510" s="28">
        <v>4.8499999999999996</v>
      </c>
      <c r="G510" s="29">
        <f t="shared" si="28"/>
        <v>59.85</v>
      </c>
      <c r="H510" s="29">
        <f t="shared" si="29"/>
        <v>54.85</v>
      </c>
      <c r="I510" s="38">
        <f t="shared" si="30"/>
        <v>7.4671499999999997E-3</v>
      </c>
      <c r="J510" s="38">
        <f t="shared" si="31"/>
        <v>2.8887499999999998E-3</v>
      </c>
      <c r="K510" s="32">
        <f>K509+StepSize*L509</f>
        <v>771.49397262047842</v>
      </c>
      <c r="L510" s="33">
        <f>K510*Delta+I510*K510-J510*(DeathPayment-K510)</f>
        <v>-80.653031064332666</v>
      </c>
    </row>
    <row r="511" spans="1:12" x14ac:dyDescent="0.45">
      <c r="A511" s="11">
        <v>21.82</v>
      </c>
      <c r="B511" s="14">
        <v>5.7507999999999995E-4</v>
      </c>
      <c r="C511" s="15">
        <v>2.052E-4</v>
      </c>
      <c r="F511" s="28">
        <v>4.8600000000000003</v>
      </c>
      <c r="G511" s="29">
        <f t="shared" si="28"/>
        <v>59.86</v>
      </c>
      <c r="H511" s="29">
        <f t="shared" si="29"/>
        <v>54.86</v>
      </c>
      <c r="I511" s="38">
        <f t="shared" si="30"/>
        <v>7.4755400000000001E-3</v>
      </c>
      <c r="J511" s="38">
        <f t="shared" si="31"/>
        <v>2.8915E-3</v>
      </c>
      <c r="K511" s="32">
        <f>K510+StepSize*L510</f>
        <v>770.68744230983509</v>
      </c>
      <c r="L511" s="33">
        <f>K511*Delta+I511*K511-J511*(DeathPayment-K511)</f>
        <v>-80.848626759119057</v>
      </c>
    </row>
    <row r="512" spans="1:12" x14ac:dyDescent="0.45">
      <c r="A512" s="11">
        <v>21.83</v>
      </c>
      <c r="B512" s="14">
        <v>5.7501999999999998E-4</v>
      </c>
      <c r="C512" s="15">
        <v>2.053E-4</v>
      </c>
      <c r="F512" s="28">
        <v>4.87</v>
      </c>
      <c r="G512" s="29">
        <f t="shared" si="28"/>
        <v>59.87</v>
      </c>
      <c r="H512" s="29">
        <f t="shared" si="29"/>
        <v>54.87</v>
      </c>
      <c r="I512" s="38">
        <f t="shared" si="30"/>
        <v>7.4839299999999997E-3</v>
      </c>
      <c r="J512" s="38">
        <f t="shared" si="31"/>
        <v>2.8942500000000001E-3</v>
      </c>
      <c r="K512" s="32">
        <f>K511+StepSize*L511</f>
        <v>769.87895604224389</v>
      </c>
      <c r="L512" s="33">
        <f>K512*Delta+I512*K512-J512*(DeathPayment-K512)</f>
        <v>-81.044402178774575</v>
      </c>
    </row>
    <row r="513" spans="1:12" x14ac:dyDescent="0.45">
      <c r="A513" s="11">
        <v>21.84</v>
      </c>
      <c r="B513" s="14">
        <v>5.7496000000000001E-4</v>
      </c>
      <c r="C513" s="15">
        <v>2.0540000000000001E-4</v>
      </c>
      <c r="F513" s="28">
        <v>4.88</v>
      </c>
      <c r="G513" s="29">
        <f t="shared" si="28"/>
        <v>59.88</v>
      </c>
      <c r="H513" s="29">
        <f t="shared" si="29"/>
        <v>54.88</v>
      </c>
      <c r="I513" s="38">
        <f t="shared" si="30"/>
        <v>7.4923200000000002E-3</v>
      </c>
      <c r="J513" s="38">
        <f t="shared" si="31"/>
        <v>2.8969999999999998E-3</v>
      </c>
      <c r="K513" s="32">
        <f>K512+StepSize*L512</f>
        <v>769.06851202045618</v>
      </c>
      <c r="L513" s="33">
        <f>K513*Delta+I513*K513-J513*(DeathPayment-K513)</f>
        <v>-81.240357537317621</v>
      </c>
    </row>
    <row r="514" spans="1:12" x14ac:dyDescent="0.45">
      <c r="A514" s="11">
        <v>21.85</v>
      </c>
      <c r="B514" s="14">
        <v>5.7490000000000004E-4</v>
      </c>
      <c r="C514" s="15">
        <v>2.0550000000000001E-4</v>
      </c>
      <c r="F514" s="28">
        <v>4.8899999999999997</v>
      </c>
      <c r="G514" s="29">
        <f t="shared" si="28"/>
        <v>59.89</v>
      </c>
      <c r="H514" s="29">
        <f t="shared" si="29"/>
        <v>54.89</v>
      </c>
      <c r="I514" s="38">
        <f t="shared" si="30"/>
        <v>7.5007099999999998E-3</v>
      </c>
      <c r="J514" s="38">
        <f t="shared" si="31"/>
        <v>2.89975E-3</v>
      </c>
      <c r="K514" s="32">
        <f>K513+StepSize*L513</f>
        <v>768.25610844508299</v>
      </c>
      <c r="L514" s="33">
        <f>K514*Delta+I514*K514-J514*(DeathPayment-K514)</f>
        <v>-81.436493049023866</v>
      </c>
    </row>
    <row r="515" spans="1:12" x14ac:dyDescent="0.45">
      <c r="A515" s="11">
        <v>21.86</v>
      </c>
      <c r="B515" s="14">
        <v>5.7483999999999996E-4</v>
      </c>
      <c r="C515" s="15">
        <v>2.0560000000000001E-4</v>
      </c>
      <c r="F515" s="28">
        <v>4.9000000000000004</v>
      </c>
      <c r="G515" s="29">
        <f t="shared" si="28"/>
        <v>59.9</v>
      </c>
      <c r="H515" s="29">
        <f t="shared" si="29"/>
        <v>54.9</v>
      </c>
      <c r="I515" s="38">
        <f t="shared" si="30"/>
        <v>7.5091000000000003E-3</v>
      </c>
      <c r="J515" s="38">
        <f t="shared" si="31"/>
        <v>2.9025000000000001E-3</v>
      </c>
      <c r="K515" s="32">
        <f>K514+StepSize*L514</f>
        <v>767.44174351459276</v>
      </c>
      <c r="L515" s="33">
        <f>K515*Delta+I515*K515-J515*(DeathPayment-K515)</f>
        <v>-81.632808928426414</v>
      </c>
    </row>
    <row r="516" spans="1:12" x14ac:dyDescent="0.45">
      <c r="A516" s="11">
        <v>21.87</v>
      </c>
      <c r="B516" s="14">
        <v>5.7478E-4</v>
      </c>
      <c r="C516" s="15">
        <v>2.0570000000000001E-4</v>
      </c>
      <c r="F516" s="28">
        <v>4.91</v>
      </c>
      <c r="G516" s="29">
        <f t="shared" si="28"/>
        <v>59.91</v>
      </c>
      <c r="H516" s="29">
        <f t="shared" si="29"/>
        <v>54.91</v>
      </c>
      <c r="I516" s="38">
        <f t="shared" si="30"/>
        <v>7.5174899999999999E-3</v>
      </c>
      <c r="J516" s="38">
        <f t="shared" si="31"/>
        <v>2.9052499999999998E-3</v>
      </c>
      <c r="K516" s="32">
        <f>K515+StepSize*L515</f>
        <v>766.62541542530846</v>
      </c>
      <c r="L516" s="33">
        <f>K516*Delta+I516*K516-J516*(DeathPayment-K516)</f>
        <v>-81.829305390316023</v>
      </c>
    </row>
    <row r="517" spans="1:12" x14ac:dyDescent="0.45">
      <c r="A517" s="11">
        <v>21.88</v>
      </c>
      <c r="B517" s="14">
        <v>5.7472000000000003E-4</v>
      </c>
      <c r="C517" s="15">
        <v>2.0579999999999999E-4</v>
      </c>
      <c r="F517" s="28">
        <v>4.92</v>
      </c>
      <c r="G517" s="29">
        <f t="shared" si="28"/>
        <v>59.92</v>
      </c>
      <c r="H517" s="29">
        <f t="shared" si="29"/>
        <v>54.92</v>
      </c>
      <c r="I517" s="38">
        <f t="shared" si="30"/>
        <v>7.5258800000000004E-3</v>
      </c>
      <c r="J517" s="38">
        <f t="shared" si="31"/>
        <v>2.908E-3</v>
      </c>
      <c r="K517" s="32">
        <f>K516+StepSize*L516</f>
        <v>765.80712237140528</v>
      </c>
      <c r="L517" s="33">
        <f>K517*Delta+I517*K517-J517*(DeathPayment-K517)</f>
        <v>-82.025982649741735</v>
      </c>
    </row>
    <row r="518" spans="1:12" x14ac:dyDescent="0.45">
      <c r="A518" s="11">
        <v>21.89</v>
      </c>
      <c r="B518" s="14">
        <v>5.7465999999999995E-4</v>
      </c>
      <c r="C518" s="15">
        <v>2.0589999999999999E-4</v>
      </c>
      <c r="F518" s="28">
        <v>4.93</v>
      </c>
      <c r="G518" s="29">
        <f t="shared" si="28"/>
        <v>59.93</v>
      </c>
      <c r="H518" s="29">
        <f t="shared" si="29"/>
        <v>54.93</v>
      </c>
      <c r="I518" s="38">
        <f t="shared" si="30"/>
        <v>7.53427E-3</v>
      </c>
      <c r="J518" s="38">
        <f t="shared" si="31"/>
        <v>2.9107500000000001E-3</v>
      </c>
      <c r="K518" s="32">
        <f>K517+StepSize*L517</f>
        <v>764.98686254490792</v>
      </c>
      <c r="L518" s="33">
        <f>K518*Delta+I518*K518-J518*(DeathPayment-K518)</f>
        <v>-82.222840922010974</v>
      </c>
    </row>
    <row r="519" spans="1:12" x14ac:dyDescent="0.45">
      <c r="A519" s="11">
        <v>21.9</v>
      </c>
      <c r="B519" s="14">
        <v>5.7459999999999998E-4</v>
      </c>
      <c r="C519" s="15">
        <v>2.0599999999999999E-4</v>
      </c>
      <c r="F519" s="28">
        <v>4.9400000000000004</v>
      </c>
      <c r="G519" s="29">
        <f t="shared" si="28"/>
        <v>59.94</v>
      </c>
      <c r="H519" s="29">
        <f t="shared" si="29"/>
        <v>54.94</v>
      </c>
      <c r="I519" s="38">
        <f t="shared" si="30"/>
        <v>7.5426599999999996E-3</v>
      </c>
      <c r="J519" s="38">
        <f t="shared" si="31"/>
        <v>2.9134999999999999E-3</v>
      </c>
      <c r="K519" s="32">
        <f>K518+StepSize*L518</f>
        <v>764.16463413568783</v>
      </c>
      <c r="L519" s="33">
        <f>K519*Delta+I519*K519-J519*(DeathPayment-K519)</f>
        <v>-82.419880422689914</v>
      </c>
    </row>
    <row r="520" spans="1:12" x14ac:dyDescent="0.45">
      <c r="A520" s="11">
        <v>21.91</v>
      </c>
      <c r="B520" s="14">
        <v>5.7454000000000001E-4</v>
      </c>
      <c r="C520" s="15">
        <v>2.061E-4</v>
      </c>
      <c r="F520" s="28">
        <v>4.95</v>
      </c>
      <c r="G520" s="29">
        <f t="shared" si="28"/>
        <v>59.95</v>
      </c>
      <c r="H520" s="29">
        <f t="shared" si="29"/>
        <v>54.95</v>
      </c>
      <c r="I520" s="38">
        <f t="shared" si="30"/>
        <v>7.5510500000000001E-3</v>
      </c>
      <c r="J520" s="38">
        <f t="shared" si="31"/>
        <v>2.91625E-3</v>
      </c>
      <c r="K520" s="32">
        <f>K519+StepSize*L519</f>
        <v>763.34043533146098</v>
      </c>
      <c r="L520" s="33">
        <f>K520*Delta+I520*K520-J520*(DeathPayment-K520)</f>
        <v>-82.617101367603965</v>
      </c>
    </row>
    <row r="521" spans="1:12" x14ac:dyDescent="0.45">
      <c r="A521" s="11">
        <v>21.92</v>
      </c>
      <c r="B521" s="14">
        <v>5.7448000000000004E-4</v>
      </c>
      <c r="C521" s="15">
        <v>2.062E-4</v>
      </c>
      <c r="F521" s="28">
        <v>4.96</v>
      </c>
      <c r="G521" s="29">
        <f t="shared" si="28"/>
        <v>59.96</v>
      </c>
      <c r="H521" s="29">
        <f t="shared" si="29"/>
        <v>54.96</v>
      </c>
      <c r="I521" s="38">
        <f t="shared" si="30"/>
        <v>7.5594399999999997E-3</v>
      </c>
      <c r="J521" s="38">
        <f t="shared" si="31"/>
        <v>2.9190000000000002E-3</v>
      </c>
      <c r="K521" s="32">
        <f>K520+StepSize*L520</f>
        <v>762.51426431778498</v>
      </c>
      <c r="L521" s="33">
        <f>K521*Delta+I521*K521-J521*(DeathPayment-K521)</f>
        <v>-82.814503972837883</v>
      </c>
    </row>
    <row r="522" spans="1:12" x14ac:dyDescent="0.45">
      <c r="A522" s="11">
        <v>21.93</v>
      </c>
      <c r="B522" s="14">
        <v>5.7441999999999997E-4</v>
      </c>
      <c r="C522" s="15">
        <v>2.063E-4</v>
      </c>
      <c r="F522" s="28">
        <v>4.97</v>
      </c>
      <c r="G522" s="29">
        <f t="shared" si="28"/>
        <v>59.97</v>
      </c>
      <c r="H522" s="29">
        <f t="shared" si="29"/>
        <v>54.97</v>
      </c>
      <c r="I522" s="38">
        <f t="shared" si="30"/>
        <v>7.5678300000000002E-3</v>
      </c>
      <c r="J522" s="38">
        <f t="shared" si="31"/>
        <v>2.9217499999999999E-3</v>
      </c>
      <c r="K522" s="32">
        <f>K521+StepSize*L521</f>
        <v>761.68611927805659</v>
      </c>
      <c r="L522" s="33">
        <f>K522*Delta+I522*K522-J522*(DeathPayment-K522)</f>
        <v>-83.012088454736258</v>
      </c>
    </row>
    <row r="523" spans="1:12" x14ac:dyDescent="0.45">
      <c r="A523" s="11">
        <v>21.94</v>
      </c>
      <c r="B523" s="14">
        <v>5.7436E-4</v>
      </c>
      <c r="C523" s="15">
        <v>2.064E-4</v>
      </c>
      <c r="F523" s="28">
        <v>4.9800000000000004</v>
      </c>
      <c r="G523" s="29">
        <f t="shared" si="28"/>
        <v>59.98</v>
      </c>
      <c r="H523" s="29">
        <f t="shared" si="29"/>
        <v>54.98</v>
      </c>
      <c r="I523" s="38">
        <f t="shared" si="30"/>
        <v>7.5762199999999998E-3</v>
      </c>
      <c r="J523" s="38">
        <f t="shared" si="31"/>
        <v>2.9245E-3</v>
      </c>
      <c r="K523" s="32">
        <f>K522+StepSize*L522</f>
        <v>760.85599839350925</v>
      </c>
      <c r="L523" s="33">
        <f>K523*Delta+I523*K523-J523*(DeathPayment-K523)</f>
        <v>-83.209855029903792</v>
      </c>
    </row>
    <row r="524" spans="1:12" x14ac:dyDescent="0.45">
      <c r="A524" s="11">
        <v>21.95</v>
      </c>
      <c r="B524" s="14">
        <v>5.7430000000000003E-4</v>
      </c>
      <c r="C524" s="15">
        <v>2.065E-4</v>
      </c>
      <c r="F524" s="28">
        <v>4.99</v>
      </c>
      <c r="G524" s="29">
        <f t="shared" si="28"/>
        <v>59.99</v>
      </c>
      <c r="H524" s="29">
        <f t="shared" si="29"/>
        <v>54.99</v>
      </c>
      <c r="I524" s="38">
        <f t="shared" si="30"/>
        <v>7.5846100000000003E-3</v>
      </c>
      <c r="J524" s="38">
        <f t="shared" si="31"/>
        <v>2.9272500000000002E-3</v>
      </c>
      <c r="K524" s="32">
        <f>K523+StepSize*L523</f>
        <v>760.02389984321019</v>
      </c>
      <c r="L524" s="33">
        <f>K524*Delta+I524*K524-J524*(DeathPayment-K524)</f>
        <v>-83.407803915205719</v>
      </c>
    </row>
    <row r="525" spans="1:12" x14ac:dyDescent="0.45">
      <c r="A525" s="11">
        <v>21.96</v>
      </c>
      <c r="B525" s="14">
        <v>5.7423999999999995E-4</v>
      </c>
      <c r="C525" s="15">
        <v>2.0660000000000001E-4</v>
      </c>
      <c r="F525" s="28">
        <v>5</v>
      </c>
      <c r="G525" s="29">
        <f t="shared" si="28"/>
        <v>60</v>
      </c>
      <c r="H525" s="29">
        <f t="shared" si="29"/>
        <v>55</v>
      </c>
      <c r="I525" s="38">
        <f t="shared" si="30"/>
        <v>7.5929999999999999E-3</v>
      </c>
      <c r="J525" s="38">
        <f t="shared" si="31"/>
        <v>2.9299999999999999E-3</v>
      </c>
      <c r="K525" s="32">
        <f>K524+StepSize*L524</f>
        <v>759.18982180405817</v>
      </c>
      <c r="L525" s="33">
        <f>K525*Delta+I525*K525-J525*(DeathPayment-K525)</f>
        <v>-83.605935327767966</v>
      </c>
    </row>
    <row r="526" spans="1:12" x14ac:dyDescent="0.45">
      <c r="A526" s="11">
        <v>21.97</v>
      </c>
      <c r="B526" s="14">
        <v>5.7417999999999998E-4</v>
      </c>
      <c r="C526" s="15">
        <v>2.0670000000000001E-4</v>
      </c>
      <c r="F526" s="28">
        <v>5.01</v>
      </c>
      <c r="G526" s="29">
        <f t="shared" si="28"/>
        <v>60.01</v>
      </c>
      <c r="H526" s="29">
        <f t="shared" si="29"/>
        <v>55.01</v>
      </c>
      <c r="I526" s="38">
        <f t="shared" si="30"/>
        <v>7.6023999999999996E-3</v>
      </c>
      <c r="J526" s="38">
        <f t="shared" si="31"/>
        <v>2.93305E-3</v>
      </c>
      <c r="K526" s="32">
        <f>K525+StepSize*L525</f>
        <v>758.35376245078044</v>
      </c>
      <c r="L526" s="33">
        <f>K526*Delta+I526*K526-J526*(DeathPayment-K526)</f>
        <v>-83.818256041548892</v>
      </c>
    </row>
    <row r="527" spans="1:12" x14ac:dyDescent="0.45">
      <c r="A527" s="11">
        <v>21.98</v>
      </c>
      <c r="B527" s="14">
        <v>5.7412000000000001E-4</v>
      </c>
      <c r="C527" s="15">
        <v>2.0680000000000001E-4</v>
      </c>
      <c r="F527" s="28">
        <v>5.0199999999999996</v>
      </c>
      <c r="G527" s="29">
        <f t="shared" si="28"/>
        <v>60.02</v>
      </c>
      <c r="H527" s="29">
        <f t="shared" si="29"/>
        <v>55.02</v>
      </c>
      <c r="I527" s="38">
        <f t="shared" si="30"/>
        <v>7.6118000000000002E-3</v>
      </c>
      <c r="J527" s="38">
        <f t="shared" si="31"/>
        <v>2.9361000000000001E-3</v>
      </c>
      <c r="K527" s="32">
        <f>K526+StepSize*L526</f>
        <v>757.51557989036496</v>
      </c>
      <c r="L527" s="33">
        <f>K527*Delta+I527*K527-J527*(DeathPayment-K527)</f>
        <v>-84.030773520329134</v>
      </c>
    </row>
    <row r="528" spans="1:12" x14ac:dyDescent="0.45">
      <c r="A528" s="11">
        <v>21.99</v>
      </c>
      <c r="B528" s="14">
        <v>5.7406000000000004E-4</v>
      </c>
      <c r="C528" s="15">
        <v>2.0689999999999999E-4</v>
      </c>
      <c r="F528" s="28">
        <v>5.03</v>
      </c>
      <c r="G528" s="29">
        <f t="shared" si="28"/>
        <v>60.03</v>
      </c>
      <c r="H528" s="29">
        <f t="shared" si="29"/>
        <v>55.03</v>
      </c>
      <c r="I528" s="38">
        <f t="shared" si="30"/>
        <v>7.6211999999999998E-3</v>
      </c>
      <c r="J528" s="38">
        <f t="shared" si="31"/>
        <v>2.9391500000000002E-3</v>
      </c>
      <c r="K528" s="32">
        <f>K527+StepSize*L527</f>
        <v>756.67527215516168</v>
      </c>
      <c r="L528" s="33">
        <f>K528*Delta+I528*K528-J528*(DeathPayment-K528)</f>
        <v>-84.243488006491333</v>
      </c>
    </row>
    <row r="529" spans="1:12" x14ac:dyDescent="0.45">
      <c r="A529" s="11">
        <v>22</v>
      </c>
      <c r="B529" s="14">
        <v>5.7399999999999997E-4</v>
      </c>
      <c r="C529" s="15">
        <v>2.0699999999999999E-4</v>
      </c>
      <c r="F529" s="28">
        <v>5.04</v>
      </c>
      <c r="G529" s="29">
        <f t="shared" si="28"/>
        <v>60.04</v>
      </c>
      <c r="H529" s="29">
        <f t="shared" si="29"/>
        <v>55.04</v>
      </c>
      <c r="I529" s="38">
        <f t="shared" si="30"/>
        <v>7.6306000000000004E-3</v>
      </c>
      <c r="J529" s="38">
        <f t="shared" si="31"/>
        <v>2.9421999999999999E-3</v>
      </c>
      <c r="K529" s="32">
        <f>K528+StepSize*L528</f>
        <v>755.83283727509672</v>
      </c>
      <c r="L529" s="33">
        <f>K529*Delta+I529*K529-J529*(DeathPayment-K529)</f>
        <v>-84.456399742716997</v>
      </c>
    </row>
    <row r="530" spans="1:12" x14ac:dyDescent="0.45">
      <c r="A530" s="11">
        <v>22.01</v>
      </c>
      <c r="B530" s="14">
        <v>5.7395999999999999E-4</v>
      </c>
      <c r="C530" s="15">
        <v>2.0709999999999999E-4</v>
      </c>
      <c r="F530" s="28">
        <v>5.05</v>
      </c>
      <c r="G530" s="29">
        <f t="shared" si="28"/>
        <v>60.05</v>
      </c>
      <c r="H530" s="29">
        <f t="shared" si="29"/>
        <v>55.05</v>
      </c>
      <c r="I530" s="38">
        <f t="shared" si="30"/>
        <v>7.6400000000000001E-3</v>
      </c>
      <c r="J530" s="38">
        <f t="shared" si="31"/>
        <v>2.94525E-3</v>
      </c>
      <c r="K530" s="32">
        <f>K529+StepSize*L529</f>
        <v>754.98827327766958</v>
      </c>
      <c r="L530" s="33">
        <f>K530*Delta+I530*K530-J530*(DeathPayment-K530)</f>
        <v>-84.669508971986957</v>
      </c>
    </row>
    <row r="531" spans="1:12" x14ac:dyDescent="0.45">
      <c r="A531" s="11">
        <v>22.02</v>
      </c>
      <c r="B531" s="14">
        <v>5.7392000000000001E-4</v>
      </c>
      <c r="C531" s="15">
        <v>2.0719999999999999E-4</v>
      </c>
      <c r="F531" s="28">
        <v>5.0599999999999996</v>
      </c>
      <c r="G531" s="29">
        <f t="shared" si="28"/>
        <v>60.06</v>
      </c>
      <c r="H531" s="29">
        <f t="shared" si="29"/>
        <v>55.06</v>
      </c>
      <c r="I531" s="38">
        <f t="shared" si="30"/>
        <v>7.6493999999999998E-3</v>
      </c>
      <c r="J531" s="38">
        <f t="shared" si="31"/>
        <v>2.9483000000000001E-3</v>
      </c>
      <c r="K531" s="32">
        <f>K530+StepSize*L530</f>
        <v>754.14157818794968</v>
      </c>
      <c r="L531" s="33">
        <f>K531*Delta+I531*K531-J531*(DeathPayment-K531)</f>
        <v>-84.882815937581739</v>
      </c>
    </row>
    <row r="532" spans="1:12" x14ac:dyDescent="0.45">
      <c r="A532" s="11">
        <v>22.03</v>
      </c>
      <c r="B532" s="14">
        <v>5.7388000000000003E-4</v>
      </c>
      <c r="C532" s="15">
        <v>2.073E-4</v>
      </c>
      <c r="F532" s="28">
        <v>5.07</v>
      </c>
      <c r="G532" s="29">
        <f t="shared" si="28"/>
        <v>60.07</v>
      </c>
      <c r="H532" s="29">
        <f t="shared" si="29"/>
        <v>55.07</v>
      </c>
      <c r="I532" s="38">
        <f t="shared" si="30"/>
        <v>7.6588000000000003E-3</v>
      </c>
      <c r="J532" s="38">
        <f t="shared" si="31"/>
        <v>2.9513500000000002E-3</v>
      </c>
      <c r="K532" s="32">
        <f>K531+StepSize*L531</f>
        <v>753.29275002857389</v>
      </c>
      <c r="L532" s="33">
        <f>K532*Delta+I532*K532-J532*(DeathPayment-K532)</f>
        <v>-85.096320883081972</v>
      </c>
    </row>
    <row r="533" spans="1:12" x14ac:dyDescent="0.45">
      <c r="A533" s="11">
        <v>22.04</v>
      </c>
      <c r="B533" s="14">
        <v>5.7384000000000005E-4</v>
      </c>
      <c r="C533" s="15">
        <v>2.074E-4</v>
      </c>
      <c r="F533" s="28">
        <v>5.08</v>
      </c>
      <c r="G533" s="29">
        <f t="shared" si="28"/>
        <v>60.08</v>
      </c>
      <c r="H533" s="29">
        <f t="shared" si="29"/>
        <v>55.08</v>
      </c>
      <c r="I533" s="38">
        <f t="shared" si="30"/>
        <v>7.6682E-3</v>
      </c>
      <c r="J533" s="38">
        <f t="shared" si="31"/>
        <v>2.9543999999999998E-3</v>
      </c>
      <c r="K533" s="32">
        <f>K532+StepSize*L532</f>
        <v>752.44178681974302</v>
      </c>
      <c r="L533" s="33">
        <f>K533*Delta+I533*K533-J533*(DeathPayment-K533)</f>
        <v>-85.310024052368789</v>
      </c>
    </row>
    <row r="534" spans="1:12" x14ac:dyDescent="0.45">
      <c r="A534" s="11">
        <v>22.05</v>
      </c>
      <c r="B534" s="14">
        <v>5.7379999999999996E-4</v>
      </c>
      <c r="C534" s="15">
        <v>2.075E-4</v>
      </c>
      <c r="F534" s="28">
        <v>5.09</v>
      </c>
      <c r="G534" s="29">
        <f t="shared" si="28"/>
        <v>60.09</v>
      </c>
      <c r="H534" s="29">
        <f t="shared" si="29"/>
        <v>55.09</v>
      </c>
      <c r="I534" s="38">
        <f t="shared" si="30"/>
        <v>7.6775999999999997E-3</v>
      </c>
      <c r="J534" s="38">
        <f t="shared" si="31"/>
        <v>2.9574499999999999E-3</v>
      </c>
      <c r="K534" s="32">
        <f>K533+StepSize*L533</f>
        <v>751.58868657921937</v>
      </c>
      <c r="L534" s="33">
        <f>K534*Delta+I534*K534-J534*(DeathPayment-K534)</f>
        <v>-85.523925689624292</v>
      </c>
    </row>
    <row r="535" spans="1:12" x14ac:dyDescent="0.45">
      <c r="A535" s="11">
        <v>22.06</v>
      </c>
      <c r="B535" s="14">
        <v>5.7375999999999998E-4</v>
      </c>
      <c r="C535" s="15">
        <v>2.076E-4</v>
      </c>
      <c r="F535" s="28">
        <v>5.0999999999999996</v>
      </c>
      <c r="G535" s="29">
        <f t="shared" si="28"/>
        <v>60.1</v>
      </c>
      <c r="H535" s="29">
        <f t="shared" si="29"/>
        <v>55.1</v>
      </c>
      <c r="I535" s="38">
        <f t="shared" si="30"/>
        <v>7.6870000000000003E-3</v>
      </c>
      <c r="J535" s="38">
        <f t="shared" si="31"/>
        <v>2.9605E-3</v>
      </c>
      <c r="K535" s="32">
        <f>K534+StepSize*L534</f>
        <v>750.73344732232317</v>
      </c>
      <c r="L535" s="33">
        <f>K535*Delta+I535*K535-J535*(DeathPayment-K535)</f>
        <v>-85.7380260393318</v>
      </c>
    </row>
    <row r="536" spans="1:12" x14ac:dyDescent="0.45">
      <c r="A536" s="11">
        <v>22.07</v>
      </c>
      <c r="B536" s="14">
        <v>5.7372E-4</v>
      </c>
      <c r="C536" s="15">
        <v>2.0770000000000001E-4</v>
      </c>
      <c r="F536" s="28">
        <v>5.1100000000000003</v>
      </c>
      <c r="G536" s="29">
        <f t="shared" si="28"/>
        <v>60.11</v>
      </c>
      <c r="H536" s="29">
        <f t="shared" si="29"/>
        <v>55.11</v>
      </c>
      <c r="I536" s="38">
        <f t="shared" si="30"/>
        <v>7.6963999999999999E-3</v>
      </c>
      <c r="J536" s="38">
        <f t="shared" si="31"/>
        <v>2.9635500000000001E-3</v>
      </c>
      <c r="K536" s="32">
        <f>K535+StepSize*L535</f>
        <v>749.8760670619298</v>
      </c>
      <c r="L536" s="33">
        <f>K536*Delta+I536*K536-J536*(DeathPayment-K536)</f>
        <v>-85.952325346276382</v>
      </c>
    </row>
    <row r="537" spans="1:12" x14ac:dyDescent="0.45">
      <c r="A537" s="11">
        <v>22.08</v>
      </c>
      <c r="B537" s="14">
        <v>5.7368000000000002E-4</v>
      </c>
      <c r="C537" s="15">
        <v>2.0780000000000001E-4</v>
      </c>
      <c r="F537" s="28">
        <v>5.12</v>
      </c>
      <c r="G537" s="29">
        <f t="shared" ref="G537:G600" si="32">ROUND(MaleAgeStart+F537,2)</f>
        <v>60.12</v>
      </c>
      <c r="H537" s="29">
        <f t="shared" ref="H537:H600" si="33">ROUND(FemaleAgeStart+F537,2)</f>
        <v>55.12</v>
      </c>
      <c r="I537" s="38">
        <f t="shared" ref="I537:I600" si="34">VLOOKUP(G537,muValues,2,FALSE)</f>
        <v>7.7057999999999996E-3</v>
      </c>
      <c r="J537" s="38">
        <f t="shared" ref="J537:J600" si="35">VLOOKUP(H537,muValues,3,FALSE)</f>
        <v>2.9665999999999998E-3</v>
      </c>
      <c r="K537" s="32">
        <f>K536+StepSize*L536</f>
        <v>749.01654380846708</v>
      </c>
      <c r="L537" s="33">
        <f>K537*Delta+I537*K537-J537*(DeathPayment-K537)</f>
        <v>-86.166823855545204</v>
      </c>
    </row>
    <row r="538" spans="1:12" x14ac:dyDescent="0.45">
      <c r="A538" s="11">
        <v>22.09</v>
      </c>
      <c r="B538" s="14">
        <v>5.7364000000000004E-4</v>
      </c>
      <c r="C538" s="15">
        <v>2.0790000000000001E-4</v>
      </c>
      <c r="F538" s="28">
        <v>5.13</v>
      </c>
      <c r="G538" s="29">
        <f t="shared" si="32"/>
        <v>60.13</v>
      </c>
      <c r="H538" s="29">
        <f t="shared" si="33"/>
        <v>55.13</v>
      </c>
      <c r="I538" s="38">
        <f t="shared" si="34"/>
        <v>7.7152000000000002E-3</v>
      </c>
      <c r="J538" s="38">
        <f t="shared" si="35"/>
        <v>2.9696499999999999E-3</v>
      </c>
      <c r="K538" s="32">
        <f>K537+StepSize*L537</f>
        <v>748.15487556991161</v>
      </c>
      <c r="L538" s="33">
        <f>K538*Delta+I538*K538-J538*(DeathPayment-K538)</f>
        <v>-86.381521812527978</v>
      </c>
    </row>
    <row r="539" spans="1:12" x14ac:dyDescent="0.45">
      <c r="A539" s="11">
        <v>22.1</v>
      </c>
      <c r="B539" s="14">
        <v>5.7359999999999996E-4</v>
      </c>
      <c r="C539" s="15">
        <v>2.0799999999999999E-4</v>
      </c>
      <c r="F539" s="28">
        <v>5.14</v>
      </c>
      <c r="G539" s="29">
        <f t="shared" si="32"/>
        <v>60.14</v>
      </c>
      <c r="H539" s="29">
        <f t="shared" si="33"/>
        <v>55.14</v>
      </c>
      <c r="I539" s="38">
        <f t="shared" si="34"/>
        <v>7.7245999999999999E-3</v>
      </c>
      <c r="J539" s="38">
        <f t="shared" si="35"/>
        <v>2.9727E-3</v>
      </c>
      <c r="K539" s="32">
        <f>K538+StepSize*L538</f>
        <v>747.29106035178631</v>
      </c>
      <c r="L539" s="33">
        <f>K539*Delta+I539*K539-J539*(DeathPayment-K539)</f>
        <v>-86.596419462917368</v>
      </c>
    </row>
    <row r="540" spans="1:12" x14ac:dyDescent="0.45">
      <c r="A540" s="11">
        <v>22.11</v>
      </c>
      <c r="B540" s="14">
        <v>5.7355999999999998E-4</v>
      </c>
      <c r="C540" s="15">
        <v>2.0809999999999999E-4</v>
      </c>
      <c r="F540" s="28">
        <v>5.15</v>
      </c>
      <c r="G540" s="29">
        <f t="shared" si="32"/>
        <v>60.15</v>
      </c>
      <c r="H540" s="29">
        <f t="shared" si="33"/>
        <v>55.15</v>
      </c>
      <c r="I540" s="38">
        <f t="shared" si="34"/>
        <v>7.7340000000000004E-3</v>
      </c>
      <c r="J540" s="38">
        <f t="shared" si="35"/>
        <v>2.9757500000000001E-3</v>
      </c>
      <c r="K540" s="32">
        <f>K539+StepSize*L539</f>
        <v>746.4250961571571</v>
      </c>
      <c r="L540" s="33">
        <f>K540*Delta+I540*K540-J540*(DeathPayment-K540)</f>
        <v>-86.811517052709263</v>
      </c>
    </row>
    <row r="541" spans="1:12" x14ac:dyDescent="0.45">
      <c r="A541" s="11">
        <v>22.12</v>
      </c>
      <c r="B541" s="14">
        <v>5.7352E-4</v>
      </c>
      <c r="C541" s="15">
        <v>2.0819999999999999E-4</v>
      </c>
      <c r="F541" s="28">
        <v>5.16</v>
      </c>
      <c r="G541" s="29">
        <f t="shared" si="32"/>
        <v>60.16</v>
      </c>
      <c r="H541" s="29">
        <f t="shared" si="33"/>
        <v>55.16</v>
      </c>
      <c r="I541" s="38">
        <f t="shared" si="34"/>
        <v>7.7434000000000001E-3</v>
      </c>
      <c r="J541" s="38">
        <f t="shared" si="35"/>
        <v>2.9788000000000002E-3</v>
      </c>
      <c r="K541" s="32">
        <f>K540+StepSize*L540</f>
        <v>745.55698098663004</v>
      </c>
      <c r="L541" s="33">
        <f>K541*Delta+I541*K541-J541*(DeathPayment-K541)</f>
        <v>-87.026814828203385</v>
      </c>
    </row>
    <row r="542" spans="1:12" x14ac:dyDescent="0.45">
      <c r="A542" s="11">
        <v>22.13</v>
      </c>
      <c r="B542" s="14">
        <v>5.7348000000000002E-4</v>
      </c>
      <c r="C542" s="15">
        <v>2.0829999999999999E-4</v>
      </c>
      <c r="F542" s="28">
        <v>5.17</v>
      </c>
      <c r="G542" s="29">
        <f t="shared" si="32"/>
        <v>60.17</v>
      </c>
      <c r="H542" s="29">
        <f t="shared" si="33"/>
        <v>55.17</v>
      </c>
      <c r="I542" s="38">
        <f t="shared" si="34"/>
        <v>7.7527999999999998E-3</v>
      </c>
      <c r="J542" s="38">
        <f t="shared" si="35"/>
        <v>2.9818499999999999E-3</v>
      </c>
      <c r="K542" s="32">
        <f>K541+StepSize*L541</f>
        <v>744.68671283834806</v>
      </c>
      <c r="L542" s="33">
        <f>K542*Delta+I542*K542-J542*(DeathPayment-K542)</f>
        <v>-87.242313036003466</v>
      </c>
    </row>
    <row r="543" spans="1:12" x14ac:dyDescent="0.45">
      <c r="A543" s="11">
        <v>22.14</v>
      </c>
      <c r="B543" s="14">
        <v>5.7344000000000004E-4</v>
      </c>
      <c r="C543" s="15">
        <v>2.084E-4</v>
      </c>
      <c r="F543" s="28">
        <v>5.18</v>
      </c>
      <c r="G543" s="29">
        <f t="shared" si="32"/>
        <v>60.18</v>
      </c>
      <c r="H543" s="29">
        <f t="shared" si="33"/>
        <v>55.18</v>
      </c>
      <c r="I543" s="38">
        <f t="shared" si="34"/>
        <v>7.7622000000000003E-3</v>
      </c>
      <c r="J543" s="38">
        <f t="shared" si="35"/>
        <v>2.9849E-3</v>
      </c>
      <c r="K543" s="32">
        <f>K542+StepSize*L542</f>
        <v>743.814289707988</v>
      </c>
      <c r="L543" s="33">
        <f>K543*Delta+I543*K543-J543*(DeathPayment-K543)</f>
        <v>-87.458011923017935</v>
      </c>
    </row>
    <row r="544" spans="1:12" x14ac:dyDescent="0.45">
      <c r="A544" s="11">
        <v>22.15</v>
      </c>
      <c r="B544" s="14">
        <v>5.7339999999999995E-4</v>
      </c>
      <c r="C544" s="15">
        <v>2.085E-4</v>
      </c>
      <c r="F544" s="28">
        <v>5.19</v>
      </c>
      <c r="G544" s="29">
        <f t="shared" si="32"/>
        <v>60.19</v>
      </c>
      <c r="H544" s="29">
        <f t="shared" si="33"/>
        <v>55.19</v>
      </c>
      <c r="I544" s="38">
        <f t="shared" si="34"/>
        <v>7.7716E-3</v>
      </c>
      <c r="J544" s="38">
        <f t="shared" si="35"/>
        <v>2.9879500000000001E-3</v>
      </c>
      <c r="K544" s="32">
        <f>K543+StepSize*L543</f>
        <v>742.93970958875786</v>
      </c>
      <c r="L544" s="33">
        <f>K544*Delta+I544*K544-J544*(DeathPayment-K544)</f>
        <v>-87.673911736460056</v>
      </c>
    </row>
    <row r="545" spans="1:12" x14ac:dyDescent="0.45">
      <c r="A545" s="11">
        <v>22.16</v>
      </c>
      <c r="B545" s="14">
        <v>5.7335999999999997E-4</v>
      </c>
      <c r="C545" s="15">
        <v>2.086E-4</v>
      </c>
      <c r="F545" s="28">
        <v>5.2</v>
      </c>
      <c r="G545" s="29">
        <f t="shared" si="32"/>
        <v>60.2</v>
      </c>
      <c r="H545" s="29">
        <f t="shared" si="33"/>
        <v>55.2</v>
      </c>
      <c r="I545" s="38">
        <f t="shared" si="34"/>
        <v>7.7809999999999997E-3</v>
      </c>
      <c r="J545" s="38">
        <f t="shared" si="35"/>
        <v>2.9910000000000002E-3</v>
      </c>
      <c r="K545" s="32">
        <f>K544+StepSize*L544</f>
        <v>742.06297047139321</v>
      </c>
      <c r="L545" s="33">
        <f>K545*Delta+I545*K545-J545*(DeathPayment-K545)</f>
        <v>-87.890012723848457</v>
      </c>
    </row>
    <row r="546" spans="1:12" x14ac:dyDescent="0.45">
      <c r="A546" s="11">
        <v>22.17</v>
      </c>
      <c r="B546" s="14">
        <v>5.7331999999999999E-4</v>
      </c>
      <c r="C546" s="15">
        <v>2.087E-4</v>
      </c>
      <c r="F546" s="28">
        <v>5.21</v>
      </c>
      <c r="G546" s="29">
        <f t="shared" si="32"/>
        <v>60.21</v>
      </c>
      <c r="H546" s="29">
        <f t="shared" si="33"/>
        <v>55.21</v>
      </c>
      <c r="I546" s="38">
        <f t="shared" si="34"/>
        <v>7.7904000000000003E-3</v>
      </c>
      <c r="J546" s="38">
        <f t="shared" si="35"/>
        <v>2.9940499999999998E-3</v>
      </c>
      <c r="K546" s="32">
        <f>K545+StepSize*L545</f>
        <v>741.18407034415475</v>
      </c>
      <c r="L546" s="33">
        <f>K546*Delta+I546*K546-J546*(DeathPayment-K546)</f>
        <v>-88.106315133007598</v>
      </c>
    </row>
    <row r="547" spans="1:12" x14ac:dyDescent="0.45">
      <c r="A547" s="11">
        <v>22.18</v>
      </c>
      <c r="B547" s="14">
        <v>5.7328000000000001E-4</v>
      </c>
      <c r="C547" s="15">
        <v>2.0880000000000001E-4</v>
      </c>
      <c r="F547" s="28">
        <v>5.22</v>
      </c>
      <c r="G547" s="29">
        <f t="shared" si="32"/>
        <v>60.22</v>
      </c>
      <c r="H547" s="29">
        <f t="shared" si="33"/>
        <v>55.22</v>
      </c>
      <c r="I547" s="38">
        <f t="shared" si="34"/>
        <v>7.7998E-3</v>
      </c>
      <c r="J547" s="38">
        <f t="shared" si="35"/>
        <v>2.9970999999999999E-3</v>
      </c>
      <c r="K547" s="32">
        <f>K546+StepSize*L546</f>
        <v>740.30300719282468</v>
      </c>
      <c r="L547" s="33">
        <f>K547*Delta+I547*K547-J547*(DeathPayment-K547)</f>
        <v>-88.322819212068026</v>
      </c>
    </row>
    <row r="548" spans="1:12" x14ac:dyDescent="0.45">
      <c r="A548" s="11">
        <v>22.19</v>
      </c>
      <c r="B548" s="14">
        <v>5.7324000000000003E-4</v>
      </c>
      <c r="C548" s="15">
        <v>2.0890000000000001E-4</v>
      </c>
      <c r="F548" s="28">
        <v>5.23</v>
      </c>
      <c r="G548" s="29">
        <f t="shared" si="32"/>
        <v>60.23</v>
      </c>
      <c r="H548" s="29">
        <f t="shared" si="33"/>
        <v>55.23</v>
      </c>
      <c r="I548" s="38">
        <f t="shared" si="34"/>
        <v>7.8091999999999996E-3</v>
      </c>
      <c r="J548" s="38">
        <f t="shared" si="35"/>
        <v>3.00015E-3</v>
      </c>
      <c r="K548" s="32">
        <f>K547+StepSize*L547</f>
        <v>739.41977900070401</v>
      </c>
      <c r="L548" s="33">
        <f>K548*Delta+I548*K548-J548*(DeathPayment-K548)</f>
        <v>-88.539525209466916</v>
      </c>
    </row>
    <row r="549" spans="1:12" x14ac:dyDescent="0.45">
      <c r="A549" s="11">
        <v>22.2</v>
      </c>
      <c r="B549" s="14">
        <v>5.7319999999999995E-4</v>
      </c>
      <c r="C549" s="15">
        <v>2.0900000000000001E-4</v>
      </c>
      <c r="F549" s="28">
        <v>5.24</v>
      </c>
      <c r="G549" s="29">
        <f t="shared" si="32"/>
        <v>60.24</v>
      </c>
      <c r="H549" s="29">
        <f t="shared" si="33"/>
        <v>55.24</v>
      </c>
      <c r="I549" s="38">
        <f t="shared" si="34"/>
        <v>7.8186000000000002E-3</v>
      </c>
      <c r="J549" s="38">
        <f t="shared" si="35"/>
        <v>3.0032000000000001E-3</v>
      </c>
      <c r="K549" s="32">
        <f>K548+StepSize*L548</f>
        <v>738.53438374860934</v>
      </c>
      <c r="L549" s="33">
        <f>K549*Delta+I549*K549-J549*(DeathPayment-K549)</f>
        <v>-88.756433373948425</v>
      </c>
    </row>
    <row r="550" spans="1:12" x14ac:dyDescent="0.45">
      <c r="A550" s="11">
        <v>22.21</v>
      </c>
      <c r="B550" s="14">
        <v>5.7315999999999997E-4</v>
      </c>
      <c r="C550" s="15">
        <v>2.0909999999999999E-4</v>
      </c>
      <c r="F550" s="28">
        <v>5.25</v>
      </c>
      <c r="G550" s="29">
        <f t="shared" si="32"/>
        <v>60.25</v>
      </c>
      <c r="H550" s="29">
        <f t="shared" si="33"/>
        <v>55.25</v>
      </c>
      <c r="I550" s="38">
        <f t="shared" si="34"/>
        <v>7.8279999999999999E-3</v>
      </c>
      <c r="J550" s="38">
        <f t="shared" si="35"/>
        <v>3.0062499999999998E-3</v>
      </c>
      <c r="K550" s="32">
        <f>K549+StepSize*L549</f>
        <v>737.64681941486981</v>
      </c>
      <c r="L550" s="33">
        <f>K550*Delta+I550*K550-J550*(DeathPayment-K550)</f>
        <v>-88.973543954564079</v>
      </c>
    </row>
    <row r="551" spans="1:12" x14ac:dyDescent="0.45">
      <c r="A551" s="11">
        <v>22.22</v>
      </c>
      <c r="B551" s="14">
        <v>5.7311999999999999E-4</v>
      </c>
      <c r="C551" s="15">
        <v>2.0919999999999999E-4</v>
      </c>
      <c r="F551" s="28">
        <v>5.26</v>
      </c>
      <c r="G551" s="29">
        <f t="shared" si="32"/>
        <v>60.26</v>
      </c>
      <c r="H551" s="29">
        <f t="shared" si="33"/>
        <v>55.26</v>
      </c>
      <c r="I551" s="38">
        <f t="shared" si="34"/>
        <v>7.8373999999999996E-3</v>
      </c>
      <c r="J551" s="38">
        <f t="shared" si="35"/>
        <v>3.0092999999999999E-3</v>
      </c>
      <c r="K551" s="32">
        <f>K550+StepSize*L550</f>
        <v>736.75708397532412</v>
      </c>
      <c r="L551" s="33">
        <f>K551*Delta+I551*K551-J551*(DeathPayment-K551)</f>
        <v>-89.190857200673264</v>
      </c>
    </row>
    <row r="552" spans="1:12" x14ac:dyDescent="0.45">
      <c r="A552" s="11">
        <v>22.23</v>
      </c>
      <c r="B552" s="14">
        <v>5.7308000000000001E-4</v>
      </c>
      <c r="C552" s="15">
        <v>2.0929999999999999E-4</v>
      </c>
      <c r="F552" s="28">
        <v>5.27</v>
      </c>
      <c r="G552" s="29">
        <f t="shared" si="32"/>
        <v>60.27</v>
      </c>
      <c r="H552" s="29">
        <f t="shared" si="33"/>
        <v>55.27</v>
      </c>
      <c r="I552" s="38">
        <f t="shared" si="34"/>
        <v>7.8467999999999993E-3</v>
      </c>
      <c r="J552" s="38">
        <f t="shared" si="35"/>
        <v>3.01235E-3</v>
      </c>
      <c r="K552" s="32">
        <f>K551+StepSize*L551</f>
        <v>735.86517540331738</v>
      </c>
      <c r="L552" s="33">
        <f>K552*Delta+I552*K552-J552*(DeathPayment-K552)</f>
        <v>-89.408373361943561</v>
      </c>
    </row>
    <row r="553" spans="1:12" x14ac:dyDescent="0.45">
      <c r="A553" s="11">
        <v>22.24</v>
      </c>
      <c r="B553" s="14">
        <v>5.7304000000000003E-4</v>
      </c>
      <c r="C553" s="15">
        <v>2.0939999999999999E-4</v>
      </c>
      <c r="F553" s="28">
        <v>5.28</v>
      </c>
      <c r="G553" s="29">
        <f t="shared" si="32"/>
        <v>60.28</v>
      </c>
      <c r="H553" s="29">
        <f t="shared" si="33"/>
        <v>55.28</v>
      </c>
      <c r="I553" s="38">
        <f t="shared" si="34"/>
        <v>7.8562000000000007E-3</v>
      </c>
      <c r="J553" s="38">
        <f t="shared" si="35"/>
        <v>3.0154000000000001E-3</v>
      </c>
      <c r="K553" s="32">
        <f>K552+StepSize*L552</f>
        <v>734.9710916696979</v>
      </c>
      <c r="L553" s="33">
        <f>K553*Delta+I553*K553-J553*(DeathPayment-K553)</f>
        <v>-89.62609268835115</v>
      </c>
    </row>
    <row r="554" spans="1:12" x14ac:dyDescent="0.45">
      <c r="A554" s="11">
        <v>22.25</v>
      </c>
      <c r="B554" s="14">
        <v>5.7300000000000005E-4</v>
      </c>
      <c r="C554" s="15">
        <v>2.095E-4</v>
      </c>
      <c r="F554" s="28">
        <v>5.29</v>
      </c>
      <c r="G554" s="29">
        <f t="shared" si="32"/>
        <v>60.29</v>
      </c>
      <c r="H554" s="29">
        <f t="shared" si="33"/>
        <v>55.29</v>
      </c>
      <c r="I554" s="38">
        <f t="shared" si="34"/>
        <v>7.8656000000000004E-3</v>
      </c>
      <c r="J554" s="38">
        <f t="shared" si="35"/>
        <v>3.0184500000000002E-3</v>
      </c>
      <c r="K554" s="32">
        <f>K553+StepSize*L553</f>
        <v>734.07483074281436</v>
      </c>
      <c r="L554" s="33">
        <f>K554*Delta+I554*K554-J554*(DeathPayment-K554)</f>
        <v>-89.844015430181301</v>
      </c>
    </row>
    <row r="555" spans="1:12" x14ac:dyDescent="0.45">
      <c r="A555" s="11">
        <v>22.26</v>
      </c>
      <c r="B555" s="14">
        <v>5.7295999999999996E-4</v>
      </c>
      <c r="C555" s="15">
        <v>2.096E-4</v>
      </c>
      <c r="F555" s="28">
        <v>5.3</v>
      </c>
      <c r="G555" s="29">
        <f t="shared" si="32"/>
        <v>60.3</v>
      </c>
      <c r="H555" s="29">
        <f t="shared" si="33"/>
        <v>55.3</v>
      </c>
      <c r="I555" s="38">
        <f t="shared" si="34"/>
        <v>7.8750000000000001E-3</v>
      </c>
      <c r="J555" s="38">
        <f t="shared" si="35"/>
        <v>3.0214999999999999E-3</v>
      </c>
      <c r="K555" s="32">
        <f>K554+StepSize*L554</f>
        <v>733.1763905885125</v>
      </c>
      <c r="L555" s="33">
        <f>K555*Delta+I555*K555-J555*(DeathPayment-K555)</f>
        <v>-90.062141838028708</v>
      </c>
    </row>
    <row r="556" spans="1:12" x14ac:dyDescent="0.45">
      <c r="A556" s="11">
        <v>22.27</v>
      </c>
      <c r="B556" s="14">
        <v>5.7291999999999998E-4</v>
      </c>
      <c r="C556" s="15">
        <v>2.097E-4</v>
      </c>
      <c r="F556" s="28">
        <v>5.31</v>
      </c>
      <c r="G556" s="29">
        <f t="shared" si="32"/>
        <v>60.31</v>
      </c>
      <c r="H556" s="29">
        <f t="shared" si="33"/>
        <v>55.31</v>
      </c>
      <c r="I556" s="38">
        <f t="shared" si="34"/>
        <v>7.8843999999999997E-3</v>
      </c>
      <c r="J556" s="38">
        <f t="shared" si="35"/>
        <v>3.02455E-3</v>
      </c>
      <c r="K556" s="32">
        <f>K555+StepSize*L555</f>
        <v>732.27576917013221</v>
      </c>
      <c r="L556" s="33">
        <f>K556*Delta+I556*K556-J556*(DeathPayment-K556)</f>
        <v>-90.280472162797963</v>
      </c>
    </row>
    <row r="557" spans="1:12" x14ac:dyDescent="0.45">
      <c r="A557" s="11">
        <v>22.28</v>
      </c>
      <c r="B557" s="14">
        <v>5.7288E-4</v>
      </c>
      <c r="C557" s="15">
        <v>2.098E-4</v>
      </c>
      <c r="F557" s="28">
        <v>5.32</v>
      </c>
      <c r="G557" s="29">
        <f t="shared" si="32"/>
        <v>60.32</v>
      </c>
      <c r="H557" s="29">
        <f t="shared" si="33"/>
        <v>55.32</v>
      </c>
      <c r="I557" s="38">
        <f t="shared" si="34"/>
        <v>7.8937999999999994E-3</v>
      </c>
      <c r="J557" s="38">
        <f t="shared" si="35"/>
        <v>3.0276000000000001E-3</v>
      </c>
      <c r="K557" s="32">
        <f>K556+StepSize*L556</f>
        <v>731.37296444850426</v>
      </c>
      <c r="L557" s="33">
        <f>K557*Delta+I557*K557-J557*(DeathPayment-K557)</f>
        <v>-90.499006655703937</v>
      </c>
    </row>
    <row r="558" spans="1:12" x14ac:dyDescent="0.45">
      <c r="A558" s="11">
        <v>22.29</v>
      </c>
      <c r="B558" s="14">
        <v>5.7284000000000002E-4</v>
      </c>
      <c r="C558" s="15">
        <v>2.0990000000000001E-4</v>
      </c>
      <c r="F558" s="28">
        <v>5.33</v>
      </c>
      <c r="G558" s="29">
        <f t="shared" si="32"/>
        <v>60.33</v>
      </c>
      <c r="H558" s="29">
        <f t="shared" si="33"/>
        <v>55.33</v>
      </c>
      <c r="I558" s="38">
        <f t="shared" si="34"/>
        <v>7.9032000000000008E-3</v>
      </c>
      <c r="J558" s="38">
        <f t="shared" si="35"/>
        <v>3.0306500000000002E-3</v>
      </c>
      <c r="K558" s="32">
        <f>K557+StepSize*L557</f>
        <v>730.46797438194722</v>
      </c>
      <c r="L558" s="33">
        <f>K558*Delta+I558*K558-J558*(DeathPayment-K558)</f>
        <v>-90.717745568272164</v>
      </c>
    </row>
    <row r="559" spans="1:12" x14ac:dyDescent="0.45">
      <c r="A559" s="11">
        <v>22.3</v>
      </c>
      <c r="B559" s="14">
        <v>5.7280000000000005E-4</v>
      </c>
      <c r="C559" s="15">
        <v>2.1000000000000001E-4</v>
      </c>
      <c r="F559" s="28">
        <v>5.34</v>
      </c>
      <c r="G559" s="29">
        <f t="shared" si="32"/>
        <v>60.34</v>
      </c>
      <c r="H559" s="29">
        <f t="shared" si="33"/>
        <v>55.34</v>
      </c>
      <c r="I559" s="38">
        <f t="shared" si="34"/>
        <v>7.9126000000000005E-3</v>
      </c>
      <c r="J559" s="38">
        <f t="shared" si="35"/>
        <v>3.0336999999999999E-3</v>
      </c>
      <c r="K559" s="32">
        <f>K558+StepSize*L558</f>
        <v>729.56079692626452</v>
      </c>
      <c r="L559" s="33">
        <f>K559*Delta+I559*K559-J559*(DeathPayment-K559)</f>
        <v>-90.936689152339341</v>
      </c>
    </row>
    <row r="560" spans="1:12" x14ac:dyDescent="0.45">
      <c r="A560" s="11">
        <v>22.31</v>
      </c>
      <c r="B560" s="14">
        <v>5.7275999999999996E-4</v>
      </c>
      <c r="C560" s="15">
        <v>2.1010000000000001E-4</v>
      </c>
      <c r="F560" s="28">
        <v>5.35</v>
      </c>
      <c r="G560" s="29">
        <f t="shared" si="32"/>
        <v>60.35</v>
      </c>
      <c r="H560" s="29">
        <f t="shared" si="33"/>
        <v>55.35</v>
      </c>
      <c r="I560" s="38">
        <f t="shared" si="34"/>
        <v>7.9220000000000002E-3</v>
      </c>
      <c r="J560" s="38">
        <f t="shared" si="35"/>
        <v>3.03675E-3</v>
      </c>
      <c r="K560" s="32">
        <f>K559+StepSize*L559</f>
        <v>728.65143003474111</v>
      </c>
      <c r="L560" s="33">
        <f>K560*Delta+I560*K560-J560*(DeathPayment-K560)</f>
        <v>-91.155837660053692</v>
      </c>
    </row>
    <row r="561" spans="1:12" x14ac:dyDescent="0.45">
      <c r="A561" s="11">
        <v>22.32</v>
      </c>
      <c r="B561" s="14">
        <v>5.7271999999999998E-4</v>
      </c>
      <c r="C561" s="15">
        <v>2.1019999999999999E-4</v>
      </c>
      <c r="F561" s="28">
        <v>5.36</v>
      </c>
      <c r="G561" s="29">
        <f t="shared" si="32"/>
        <v>60.36</v>
      </c>
      <c r="H561" s="29">
        <f t="shared" si="33"/>
        <v>55.36</v>
      </c>
      <c r="I561" s="38">
        <f t="shared" si="34"/>
        <v>7.9313999999999999E-3</v>
      </c>
      <c r="J561" s="38">
        <f t="shared" si="35"/>
        <v>3.0398000000000001E-3</v>
      </c>
      <c r="K561" s="32">
        <f>K560+StepSize*L560</f>
        <v>727.7398716581406</v>
      </c>
      <c r="L561" s="33">
        <f>K561*Delta+I561*K561-J561*(DeathPayment-K561)</f>
        <v>-91.375191343875315</v>
      </c>
    </row>
    <row r="562" spans="1:12" x14ac:dyDescent="0.45">
      <c r="A562" s="11">
        <v>22.33</v>
      </c>
      <c r="B562" s="14">
        <v>5.7268E-4</v>
      </c>
      <c r="C562" s="15">
        <v>2.1029999999999999E-4</v>
      </c>
      <c r="F562" s="28">
        <v>5.37</v>
      </c>
      <c r="G562" s="29">
        <f t="shared" si="32"/>
        <v>60.37</v>
      </c>
      <c r="H562" s="29">
        <f t="shared" si="33"/>
        <v>55.37</v>
      </c>
      <c r="I562" s="38">
        <f t="shared" si="34"/>
        <v>7.9407999999999996E-3</v>
      </c>
      <c r="J562" s="38">
        <f t="shared" si="35"/>
        <v>3.0428500000000002E-3</v>
      </c>
      <c r="K562" s="32">
        <f>K561+StepSize*L561</f>
        <v>726.82611974470183</v>
      </c>
      <c r="L562" s="33">
        <f>K562*Delta+I562*K562-J562*(DeathPayment-K562)</f>
        <v>-91.594750456576747</v>
      </c>
    </row>
    <row r="563" spans="1:12" x14ac:dyDescent="0.45">
      <c r="A563" s="11">
        <v>22.34</v>
      </c>
      <c r="B563" s="14">
        <v>5.7264000000000002E-4</v>
      </c>
      <c r="C563" s="15">
        <v>2.1039999999999999E-4</v>
      </c>
      <c r="F563" s="28">
        <v>5.38</v>
      </c>
      <c r="G563" s="29">
        <f t="shared" si="32"/>
        <v>60.38</v>
      </c>
      <c r="H563" s="29">
        <f t="shared" si="33"/>
        <v>55.38</v>
      </c>
      <c r="I563" s="38">
        <f t="shared" si="34"/>
        <v>7.9501999999999993E-3</v>
      </c>
      <c r="J563" s="38">
        <f t="shared" si="35"/>
        <v>3.0458999999999998E-3</v>
      </c>
      <c r="K563" s="32">
        <f>K562+StepSize*L562</f>
        <v>725.91017224013603</v>
      </c>
      <c r="L563" s="33">
        <f>K563*Delta+I563*K563-J563*(DeathPayment-K563)</f>
        <v>-91.81451525124325</v>
      </c>
    </row>
    <row r="564" spans="1:12" x14ac:dyDescent="0.45">
      <c r="A564" s="11">
        <v>22.35</v>
      </c>
      <c r="B564" s="14">
        <v>5.7260000000000004E-4</v>
      </c>
      <c r="C564" s="15">
        <v>2.1049999999999999E-4</v>
      </c>
      <c r="F564" s="28">
        <v>5.39</v>
      </c>
      <c r="G564" s="29">
        <f t="shared" si="32"/>
        <v>60.39</v>
      </c>
      <c r="H564" s="29">
        <f t="shared" si="33"/>
        <v>55.39</v>
      </c>
      <c r="I564" s="38">
        <f t="shared" si="34"/>
        <v>7.9596000000000007E-3</v>
      </c>
      <c r="J564" s="38">
        <f t="shared" si="35"/>
        <v>3.0489499999999999E-3</v>
      </c>
      <c r="K564" s="32">
        <f>K563+StepSize*L563</f>
        <v>724.99202708762357</v>
      </c>
      <c r="L564" s="33">
        <f>K564*Delta+I564*K564-J564*(DeathPayment-K564)</f>
        <v>-92.034485981273406</v>
      </c>
    </row>
    <row r="565" spans="1:12" x14ac:dyDescent="0.45">
      <c r="A565" s="11">
        <v>22.36</v>
      </c>
      <c r="B565" s="14">
        <v>5.7255999999999995E-4</v>
      </c>
      <c r="C565" s="15">
        <v>2.106E-4</v>
      </c>
      <c r="F565" s="28">
        <v>5.4</v>
      </c>
      <c r="G565" s="29">
        <f t="shared" si="32"/>
        <v>60.4</v>
      </c>
      <c r="H565" s="29">
        <f t="shared" si="33"/>
        <v>55.4</v>
      </c>
      <c r="I565" s="38">
        <f t="shared" si="34"/>
        <v>7.9690000000000004E-3</v>
      </c>
      <c r="J565" s="38">
        <f t="shared" si="35"/>
        <v>3.052E-3</v>
      </c>
      <c r="K565" s="32">
        <f>K564+StepSize*L564</f>
        <v>724.07168222781081</v>
      </c>
      <c r="L565" s="33">
        <f>K565*Delta+I565*K565-J565*(DeathPayment-K565)</f>
        <v>-92.25466290037923</v>
      </c>
    </row>
    <row r="566" spans="1:12" x14ac:dyDescent="0.45">
      <c r="A566" s="11">
        <v>22.37</v>
      </c>
      <c r="B566" s="14">
        <v>5.7251999999999997E-4</v>
      </c>
      <c r="C566" s="15">
        <v>2.107E-4</v>
      </c>
      <c r="F566" s="28">
        <v>5.41</v>
      </c>
      <c r="G566" s="29">
        <f t="shared" si="32"/>
        <v>60.41</v>
      </c>
      <c r="H566" s="29">
        <f t="shared" si="33"/>
        <v>55.41</v>
      </c>
      <c r="I566" s="38">
        <f t="shared" si="34"/>
        <v>7.9784000000000001E-3</v>
      </c>
      <c r="J566" s="38">
        <f t="shared" si="35"/>
        <v>3.0550500000000001E-3</v>
      </c>
      <c r="K566" s="32">
        <f>K565+StepSize*L565</f>
        <v>723.14913559880699</v>
      </c>
      <c r="L566" s="33">
        <f>K566*Delta+I566*K566-J566*(DeathPayment-K566)</f>
        <v>-92.475046262586915</v>
      </c>
    </row>
    <row r="567" spans="1:12" x14ac:dyDescent="0.45">
      <c r="A567" s="11">
        <v>22.38</v>
      </c>
      <c r="B567" s="14">
        <v>5.7247999999999999E-4</v>
      </c>
      <c r="C567" s="15">
        <v>2.108E-4</v>
      </c>
      <c r="F567" s="28">
        <v>5.42</v>
      </c>
      <c r="G567" s="29">
        <f t="shared" si="32"/>
        <v>60.42</v>
      </c>
      <c r="H567" s="29">
        <f t="shared" si="33"/>
        <v>55.42</v>
      </c>
      <c r="I567" s="38">
        <f t="shared" si="34"/>
        <v>7.9877999999999998E-3</v>
      </c>
      <c r="J567" s="38">
        <f t="shared" si="35"/>
        <v>3.0580999999999998E-3</v>
      </c>
      <c r="K567" s="32">
        <f>K566+StepSize*L566</f>
        <v>722.22438513618113</v>
      </c>
      <c r="L567" s="33">
        <f>K567*Delta+I567*K567-J567*(DeathPayment-K567)</f>
        <v>-92.695636322236965</v>
      </c>
    </row>
    <row r="568" spans="1:12" x14ac:dyDescent="0.45">
      <c r="A568" s="11">
        <v>22.39</v>
      </c>
      <c r="B568" s="14">
        <v>5.7244000000000001E-4</v>
      </c>
      <c r="C568" s="15">
        <v>2.109E-4</v>
      </c>
      <c r="F568" s="28">
        <v>5.43</v>
      </c>
      <c r="G568" s="29">
        <f t="shared" si="32"/>
        <v>60.43</v>
      </c>
      <c r="H568" s="29">
        <f t="shared" si="33"/>
        <v>55.43</v>
      </c>
      <c r="I568" s="38">
        <f t="shared" si="34"/>
        <v>7.9971999999999994E-3</v>
      </c>
      <c r="J568" s="38">
        <f t="shared" si="35"/>
        <v>3.0611499999999999E-3</v>
      </c>
      <c r="K568" s="32">
        <f>K567+StepSize*L567</f>
        <v>721.29742877295871</v>
      </c>
      <c r="L568" s="33">
        <f>K568*Delta+I568*K568-J568*(DeathPayment-K568)</f>
        <v>-92.916433333984941</v>
      </c>
    </row>
    <row r="569" spans="1:12" x14ac:dyDescent="0.45">
      <c r="A569" s="11">
        <v>22.4</v>
      </c>
      <c r="B569" s="14">
        <v>5.7240000000000004E-4</v>
      </c>
      <c r="C569" s="15">
        <v>2.1100000000000001E-4</v>
      </c>
      <c r="F569" s="28">
        <v>5.44</v>
      </c>
      <c r="G569" s="29">
        <f t="shared" si="32"/>
        <v>60.44</v>
      </c>
      <c r="H569" s="29">
        <f t="shared" si="33"/>
        <v>55.44</v>
      </c>
      <c r="I569" s="38">
        <f t="shared" si="34"/>
        <v>8.0065999999999991E-3</v>
      </c>
      <c r="J569" s="38">
        <f t="shared" si="35"/>
        <v>3.0642E-3</v>
      </c>
      <c r="K569" s="32">
        <f>K568+StepSize*L568</f>
        <v>720.36826443961888</v>
      </c>
      <c r="L569" s="33">
        <f>K569*Delta+I569*K569-J569*(DeathPayment-K569)</f>
        <v>-93.137437552801629</v>
      </c>
    </row>
    <row r="570" spans="1:12" x14ac:dyDescent="0.45">
      <c r="A570" s="11">
        <v>22.41</v>
      </c>
      <c r="B570" s="14">
        <v>5.7235999999999995E-4</v>
      </c>
      <c r="C570" s="15">
        <v>2.1110000000000001E-4</v>
      </c>
      <c r="F570" s="28">
        <v>5.45</v>
      </c>
      <c r="G570" s="29">
        <f t="shared" si="32"/>
        <v>60.45</v>
      </c>
      <c r="H570" s="29">
        <f t="shared" si="33"/>
        <v>55.45</v>
      </c>
      <c r="I570" s="38">
        <f t="shared" si="34"/>
        <v>8.0160000000000006E-3</v>
      </c>
      <c r="J570" s="38">
        <f t="shared" si="35"/>
        <v>3.0672500000000001E-3</v>
      </c>
      <c r="K570" s="32">
        <f>K569+StepSize*L569</f>
        <v>719.4368900640909</v>
      </c>
      <c r="L570" s="33">
        <f>K570*Delta+I570*K570-J570*(DeathPayment-K570)</f>
        <v>-93.358649233973409</v>
      </c>
    </row>
    <row r="571" spans="1:12" x14ac:dyDescent="0.45">
      <c r="A571" s="11">
        <v>22.42</v>
      </c>
      <c r="B571" s="14">
        <v>5.7231999999999997E-4</v>
      </c>
      <c r="C571" s="15">
        <v>2.1120000000000001E-4</v>
      </c>
      <c r="F571" s="28">
        <v>5.46</v>
      </c>
      <c r="G571" s="29">
        <f t="shared" si="32"/>
        <v>60.46</v>
      </c>
      <c r="H571" s="29">
        <f t="shared" si="33"/>
        <v>55.46</v>
      </c>
      <c r="I571" s="38">
        <f t="shared" si="34"/>
        <v>8.0254000000000002E-3</v>
      </c>
      <c r="J571" s="38">
        <f t="shared" si="35"/>
        <v>3.0703000000000002E-3</v>
      </c>
      <c r="K571" s="32">
        <f>K570+StepSize*L570</f>
        <v>718.50330357175119</v>
      </c>
      <c r="L571" s="33">
        <f>K571*Delta+I571*K571-J571*(DeathPayment-K571)</f>
        <v>-93.580068633102982</v>
      </c>
    </row>
    <row r="572" spans="1:12" x14ac:dyDescent="0.45">
      <c r="A572" s="11">
        <v>22.43</v>
      </c>
      <c r="B572" s="14">
        <v>5.7227999999999999E-4</v>
      </c>
      <c r="C572" s="15">
        <v>2.1130000000000001E-4</v>
      </c>
      <c r="F572" s="28">
        <v>5.47</v>
      </c>
      <c r="G572" s="29">
        <f t="shared" si="32"/>
        <v>60.47</v>
      </c>
      <c r="H572" s="29">
        <f t="shared" si="33"/>
        <v>55.47</v>
      </c>
      <c r="I572" s="38">
        <f t="shared" si="34"/>
        <v>8.0347999999999999E-3</v>
      </c>
      <c r="J572" s="38">
        <f t="shared" si="35"/>
        <v>3.0733499999999999E-3</v>
      </c>
      <c r="K572" s="32">
        <f>K571+StepSize*L571</f>
        <v>717.56750288542014</v>
      </c>
      <c r="L572" s="33">
        <f>K572*Delta+I572*K572-J572*(DeathPayment-K572)</f>
        <v>-93.801696006109495</v>
      </c>
    </row>
    <row r="573" spans="1:12" x14ac:dyDescent="0.45">
      <c r="A573" s="11">
        <v>22.44</v>
      </c>
      <c r="B573" s="14">
        <v>5.7224000000000001E-4</v>
      </c>
      <c r="C573" s="15">
        <v>2.1139999999999999E-4</v>
      </c>
      <c r="F573" s="28">
        <v>5.48</v>
      </c>
      <c r="G573" s="29">
        <f t="shared" si="32"/>
        <v>60.48</v>
      </c>
      <c r="H573" s="29">
        <f t="shared" si="33"/>
        <v>55.48</v>
      </c>
      <c r="I573" s="38">
        <f t="shared" si="34"/>
        <v>8.0441999999999996E-3</v>
      </c>
      <c r="J573" s="38">
        <f t="shared" si="35"/>
        <v>3.0764E-3</v>
      </c>
      <c r="K573" s="32">
        <f>K572+StepSize*L572</f>
        <v>716.62948592535906</v>
      </c>
      <c r="L573" s="33">
        <f>K573*Delta+I573*K573-J573*(DeathPayment-K573)</f>
        <v>-94.023531609229153</v>
      </c>
    </row>
    <row r="574" spans="1:12" x14ac:dyDescent="0.45">
      <c r="A574" s="11">
        <v>22.45</v>
      </c>
      <c r="B574" s="14">
        <v>5.7220000000000003E-4</v>
      </c>
      <c r="C574" s="15">
        <v>2.1149999999999999E-4</v>
      </c>
      <c r="F574" s="28">
        <v>5.49</v>
      </c>
      <c r="G574" s="29">
        <f t="shared" si="32"/>
        <v>60.49</v>
      </c>
      <c r="H574" s="29">
        <f t="shared" si="33"/>
        <v>55.49</v>
      </c>
      <c r="I574" s="38">
        <f t="shared" si="34"/>
        <v>8.0535999999999993E-3</v>
      </c>
      <c r="J574" s="38">
        <f t="shared" si="35"/>
        <v>3.0794500000000001E-3</v>
      </c>
      <c r="K574" s="32">
        <f>K573+StepSize*L573</f>
        <v>715.68925060926676</v>
      </c>
      <c r="L574" s="33">
        <f>K574*Delta+I574*K574-J574*(DeathPayment-K574)</f>
        <v>-94.245575699015518</v>
      </c>
    </row>
    <row r="575" spans="1:12" x14ac:dyDescent="0.45">
      <c r="A575" s="11">
        <v>22.46</v>
      </c>
      <c r="B575" s="14">
        <v>5.7216000000000005E-4</v>
      </c>
      <c r="C575" s="15">
        <v>2.1159999999999999E-4</v>
      </c>
      <c r="F575" s="28">
        <v>5.5</v>
      </c>
      <c r="G575" s="29">
        <f t="shared" si="32"/>
        <v>60.5</v>
      </c>
      <c r="H575" s="29">
        <f t="shared" si="33"/>
        <v>55.5</v>
      </c>
      <c r="I575" s="38">
        <f t="shared" si="34"/>
        <v>8.0630000000000007E-3</v>
      </c>
      <c r="J575" s="38">
        <f t="shared" si="35"/>
        <v>3.0825000000000002E-3</v>
      </c>
      <c r="K575" s="32">
        <f>K574+StepSize*L574</f>
        <v>714.74679485227659</v>
      </c>
      <c r="L575" s="33">
        <f>K575*Delta+I575*K575-J575*(DeathPayment-K575)</f>
        <v>-94.46782853234005</v>
      </c>
    </row>
    <row r="576" spans="1:12" x14ac:dyDescent="0.45">
      <c r="A576" s="11">
        <v>22.47</v>
      </c>
      <c r="B576" s="14">
        <v>5.7211999999999996E-4</v>
      </c>
      <c r="C576" s="15">
        <v>2.117E-4</v>
      </c>
      <c r="F576" s="28">
        <v>5.51</v>
      </c>
      <c r="G576" s="29">
        <f t="shared" si="32"/>
        <v>60.51</v>
      </c>
      <c r="H576" s="29">
        <f t="shared" si="33"/>
        <v>55.51</v>
      </c>
      <c r="I576" s="38">
        <f t="shared" si="34"/>
        <v>8.0724000000000004E-3</v>
      </c>
      <c r="J576" s="38">
        <f t="shared" si="35"/>
        <v>3.0855499999999998E-3</v>
      </c>
      <c r="K576" s="32">
        <f>K575+StepSize*L575</f>
        <v>713.80211656695315</v>
      </c>
      <c r="L576" s="33">
        <f>K576*Delta+I576*K576-J576*(DeathPayment-K576)</f>
        <v>-94.690290366392304</v>
      </c>
    </row>
    <row r="577" spans="1:12" x14ac:dyDescent="0.45">
      <c r="A577" s="11">
        <v>22.48</v>
      </c>
      <c r="B577" s="14">
        <v>5.7207999999999998E-4</v>
      </c>
      <c r="C577" s="15">
        <v>2.118E-4</v>
      </c>
      <c r="F577" s="28">
        <v>5.52</v>
      </c>
      <c r="G577" s="29">
        <f t="shared" si="32"/>
        <v>60.52</v>
      </c>
      <c r="H577" s="29">
        <f t="shared" si="33"/>
        <v>55.52</v>
      </c>
      <c r="I577" s="38">
        <f t="shared" si="34"/>
        <v>8.0818000000000001E-3</v>
      </c>
      <c r="J577" s="38">
        <f t="shared" si="35"/>
        <v>3.0885999999999999E-3</v>
      </c>
      <c r="K577" s="32">
        <f>K576+StepSize*L576</f>
        <v>712.85521366328919</v>
      </c>
      <c r="L577" s="33">
        <f>K577*Delta+I577*K577-J577*(DeathPayment-K577)</f>
        <v>-94.912961458680826</v>
      </c>
    </row>
    <row r="578" spans="1:12" x14ac:dyDescent="0.45">
      <c r="A578" s="11">
        <v>22.49</v>
      </c>
      <c r="B578" s="14">
        <v>5.7204000000000001E-4</v>
      </c>
      <c r="C578" s="15">
        <v>2.119E-4</v>
      </c>
      <c r="F578" s="28">
        <v>5.53</v>
      </c>
      <c r="G578" s="29">
        <f t="shared" si="32"/>
        <v>60.53</v>
      </c>
      <c r="H578" s="29">
        <f t="shared" si="33"/>
        <v>55.53</v>
      </c>
      <c r="I578" s="38">
        <f t="shared" si="34"/>
        <v>8.0911999999999998E-3</v>
      </c>
      <c r="J578" s="38">
        <f t="shared" si="35"/>
        <v>3.09165E-3</v>
      </c>
      <c r="K578" s="32">
        <f>K577+StepSize*L577</f>
        <v>711.90608404870238</v>
      </c>
      <c r="L578" s="33">
        <f>K578*Delta+I578*K578-J578*(DeathPayment-K578)</f>
        <v>-95.135842067032939</v>
      </c>
    </row>
    <row r="579" spans="1:12" x14ac:dyDescent="0.45">
      <c r="A579" s="11">
        <v>22.5</v>
      </c>
      <c r="B579" s="14">
        <v>5.7200000000000003E-4</v>
      </c>
      <c r="C579" s="15">
        <v>2.12E-4</v>
      </c>
      <c r="F579" s="28">
        <v>5.54</v>
      </c>
      <c r="G579" s="29">
        <f t="shared" si="32"/>
        <v>60.54</v>
      </c>
      <c r="H579" s="29">
        <f t="shared" si="33"/>
        <v>55.54</v>
      </c>
      <c r="I579" s="38">
        <f t="shared" si="34"/>
        <v>8.1005999999999995E-3</v>
      </c>
      <c r="J579" s="38">
        <f t="shared" si="35"/>
        <v>3.0947000000000001E-3</v>
      </c>
      <c r="K579" s="32">
        <f>K578+StepSize*L578</f>
        <v>710.95472562803207</v>
      </c>
      <c r="L579" s="33">
        <f>K579*Delta+I579*K579-J579*(DeathPayment-K579)</f>
        <v>-95.358932449595699</v>
      </c>
    </row>
    <row r="580" spans="1:12" x14ac:dyDescent="0.45">
      <c r="A580" s="11">
        <v>22.51</v>
      </c>
      <c r="B580" s="14">
        <v>5.7196000000000005E-4</v>
      </c>
      <c r="C580" s="15">
        <v>2.1210000000000001E-4</v>
      </c>
      <c r="F580" s="28">
        <v>5.55</v>
      </c>
      <c r="G580" s="29">
        <f t="shared" si="32"/>
        <v>60.55</v>
      </c>
      <c r="H580" s="29">
        <f t="shared" si="33"/>
        <v>55.55</v>
      </c>
      <c r="I580" s="38">
        <f t="shared" si="34"/>
        <v>8.1099999999999992E-3</v>
      </c>
      <c r="J580" s="38">
        <f t="shared" si="35"/>
        <v>3.0977499999999998E-3</v>
      </c>
      <c r="K580" s="32">
        <f>K579+StepSize*L579</f>
        <v>710.0011363035361</v>
      </c>
      <c r="L580" s="33">
        <f>K580*Delta+I580*K580-J580*(DeathPayment-K580)</f>
        <v>-95.58223286483603</v>
      </c>
    </row>
    <row r="581" spans="1:12" x14ac:dyDescent="0.45">
      <c r="A581" s="11">
        <v>22.52</v>
      </c>
      <c r="B581" s="14">
        <v>5.7191999999999996E-4</v>
      </c>
      <c r="C581" s="15">
        <v>2.1220000000000001E-4</v>
      </c>
      <c r="F581" s="28">
        <v>5.56</v>
      </c>
      <c r="G581" s="29">
        <f t="shared" si="32"/>
        <v>60.56</v>
      </c>
      <c r="H581" s="29">
        <f t="shared" si="33"/>
        <v>55.56</v>
      </c>
      <c r="I581" s="38">
        <f t="shared" si="34"/>
        <v>8.1194000000000006E-3</v>
      </c>
      <c r="J581" s="38">
        <f t="shared" si="35"/>
        <v>3.1007999999999999E-3</v>
      </c>
      <c r="K581" s="32">
        <f>K580+StepSize*L580</f>
        <v>709.04531397488779</v>
      </c>
      <c r="L581" s="33">
        <f>K581*Delta+I581*K581-J581*(DeathPayment-K581)</f>
        <v>-95.805743571541399</v>
      </c>
    </row>
    <row r="582" spans="1:12" x14ac:dyDescent="0.45">
      <c r="A582" s="11">
        <v>22.53</v>
      </c>
      <c r="B582" s="14">
        <v>5.7187999999999998E-4</v>
      </c>
      <c r="C582" s="15">
        <v>2.1230000000000001E-4</v>
      </c>
      <c r="F582" s="28">
        <v>5.57</v>
      </c>
      <c r="G582" s="29">
        <f t="shared" si="32"/>
        <v>60.57</v>
      </c>
      <c r="H582" s="29">
        <f t="shared" si="33"/>
        <v>55.57</v>
      </c>
      <c r="I582" s="38">
        <f t="shared" si="34"/>
        <v>8.1288000000000003E-3</v>
      </c>
      <c r="J582" s="38">
        <f t="shared" si="35"/>
        <v>3.10385E-3</v>
      </c>
      <c r="K582" s="32">
        <f>K581+StepSize*L581</f>
        <v>708.08725653917236</v>
      </c>
      <c r="L582" s="33">
        <f>K582*Delta+I582*K582-J582*(DeathPayment-K582)</f>
        <v>-96.029464828819926</v>
      </c>
    </row>
    <row r="583" spans="1:12" x14ac:dyDescent="0.45">
      <c r="A583" s="11">
        <v>22.54</v>
      </c>
      <c r="B583" s="14">
        <v>5.7184E-4</v>
      </c>
      <c r="C583" s="15">
        <v>2.1240000000000001E-4</v>
      </c>
      <c r="F583" s="28">
        <v>5.58</v>
      </c>
      <c r="G583" s="29">
        <f t="shared" si="32"/>
        <v>60.58</v>
      </c>
      <c r="H583" s="29">
        <f t="shared" si="33"/>
        <v>55.58</v>
      </c>
      <c r="I583" s="38">
        <f t="shared" si="34"/>
        <v>8.1381999999999999E-3</v>
      </c>
      <c r="J583" s="38">
        <f t="shared" si="35"/>
        <v>3.1069000000000001E-3</v>
      </c>
      <c r="K583" s="32">
        <f>K582+StepSize*L582</f>
        <v>707.1269618908841</v>
      </c>
      <c r="L583" s="33">
        <f>K583*Delta+I583*K583-J583*(DeathPayment-K583)</f>
        <v>-96.253396896101066</v>
      </c>
    </row>
    <row r="584" spans="1:12" x14ac:dyDescent="0.45">
      <c r="A584" s="11">
        <v>22.55</v>
      </c>
      <c r="B584" s="14">
        <v>5.7180000000000002E-4</v>
      </c>
      <c r="C584" s="15">
        <v>2.1249999999999999E-4</v>
      </c>
      <c r="F584" s="28">
        <v>5.59</v>
      </c>
      <c r="G584" s="29">
        <f t="shared" si="32"/>
        <v>60.59</v>
      </c>
      <c r="H584" s="29">
        <f t="shared" si="33"/>
        <v>55.59</v>
      </c>
      <c r="I584" s="38">
        <f t="shared" si="34"/>
        <v>8.1475999999999996E-3</v>
      </c>
      <c r="J584" s="38">
        <f t="shared" si="35"/>
        <v>3.1099500000000002E-3</v>
      </c>
      <c r="K584" s="32">
        <f>K583+StepSize*L583</f>
        <v>706.16442792192311</v>
      </c>
      <c r="L584" s="33">
        <f>K584*Delta+I584*K584-J584*(DeathPayment-K584)</f>
        <v>-96.477540033135909</v>
      </c>
    </row>
    <row r="585" spans="1:12" x14ac:dyDescent="0.45">
      <c r="A585" s="11">
        <v>22.56</v>
      </c>
      <c r="B585" s="14">
        <v>5.7176000000000004E-4</v>
      </c>
      <c r="C585" s="15">
        <v>2.1259999999999999E-4</v>
      </c>
      <c r="F585" s="28">
        <v>5.6</v>
      </c>
      <c r="G585" s="29">
        <f t="shared" si="32"/>
        <v>60.6</v>
      </c>
      <c r="H585" s="29">
        <f t="shared" si="33"/>
        <v>55.6</v>
      </c>
      <c r="I585" s="38">
        <f t="shared" si="34"/>
        <v>8.1569999999999993E-3</v>
      </c>
      <c r="J585" s="38">
        <f t="shared" si="35"/>
        <v>3.1129999999999999E-3</v>
      </c>
      <c r="K585" s="32">
        <f>K584+StepSize*L584</f>
        <v>705.1996525215917</v>
      </c>
      <c r="L585" s="33">
        <f>K585*Delta+I585*K585-J585*(DeathPayment-K585)</f>
        <v>-96.701894499997721</v>
      </c>
    </row>
    <row r="586" spans="1:12" x14ac:dyDescent="0.45">
      <c r="A586" s="11">
        <v>22.57</v>
      </c>
      <c r="B586" s="14">
        <v>5.7171999999999995E-4</v>
      </c>
      <c r="C586" s="15">
        <v>2.1269999999999999E-4</v>
      </c>
      <c r="F586" s="28">
        <v>5.61</v>
      </c>
      <c r="G586" s="29">
        <f t="shared" si="32"/>
        <v>60.61</v>
      </c>
      <c r="H586" s="29">
        <f t="shared" si="33"/>
        <v>55.61</v>
      </c>
      <c r="I586" s="38">
        <f t="shared" si="34"/>
        <v>8.1664000000000007E-3</v>
      </c>
      <c r="J586" s="38">
        <f t="shared" si="35"/>
        <v>3.11605E-3</v>
      </c>
      <c r="K586" s="32">
        <f>K585+StepSize*L585</f>
        <v>704.23263357659175</v>
      </c>
      <c r="L586" s="33">
        <f>K586*Delta+I586*K586-J586*(DeathPayment-K586)</f>
        <v>-96.926460557082279</v>
      </c>
    </row>
    <row r="587" spans="1:12" x14ac:dyDescent="0.45">
      <c r="A587" s="11">
        <v>22.58</v>
      </c>
      <c r="B587" s="14">
        <v>5.7167999999999997E-4</v>
      </c>
      <c r="C587" s="15">
        <v>2.128E-4</v>
      </c>
      <c r="F587" s="28">
        <v>5.62</v>
      </c>
      <c r="G587" s="29">
        <f t="shared" si="32"/>
        <v>60.62</v>
      </c>
      <c r="H587" s="29">
        <f t="shared" si="33"/>
        <v>55.62</v>
      </c>
      <c r="I587" s="38">
        <f t="shared" si="34"/>
        <v>8.1758000000000004E-3</v>
      </c>
      <c r="J587" s="38">
        <f t="shared" si="35"/>
        <v>3.1191000000000001E-3</v>
      </c>
      <c r="K587" s="32">
        <f>K586+StepSize*L586</f>
        <v>703.2633689710209</v>
      </c>
      <c r="L587" s="33">
        <f>K587*Delta+I587*K587-J587*(DeathPayment-K587)</f>
        <v>-97.151238465108321</v>
      </c>
    </row>
    <row r="588" spans="1:12" x14ac:dyDescent="0.45">
      <c r="A588" s="11">
        <v>22.59</v>
      </c>
      <c r="B588" s="14">
        <v>5.7164E-4</v>
      </c>
      <c r="C588" s="15">
        <v>2.129E-4</v>
      </c>
      <c r="F588" s="28">
        <v>5.63</v>
      </c>
      <c r="G588" s="29">
        <f t="shared" si="32"/>
        <v>60.63</v>
      </c>
      <c r="H588" s="29">
        <f t="shared" si="33"/>
        <v>55.63</v>
      </c>
      <c r="I588" s="38">
        <f t="shared" si="34"/>
        <v>8.1852000000000001E-3</v>
      </c>
      <c r="J588" s="38">
        <f t="shared" si="35"/>
        <v>3.1221500000000002E-3</v>
      </c>
      <c r="K588" s="32">
        <f>K587+StepSize*L587</f>
        <v>702.29185658636982</v>
      </c>
      <c r="L588" s="33">
        <f>K588*Delta+I588*K588-J588*(DeathPayment-K588)</f>
        <v>-97.376228485117963</v>
      </c>
    </row>
    <row r="589" spans="1:12" x14ac:dyDescent="0.45">
      <c r="A589" s="11">
        <v>22.6</v>
      </c>
      <c r="B589" s="14">
        <v>5.7160000000000002E-4</v>
      </c>
      <c r="C589" s="15">
        <v>2.13E-4</v>
      </c>
      <c r="F589" s="28">
        <v>5.64</v>
      </c>
      <c r="G589" s="29">
        <f t="shared" si="32"/>
        <v>60.64</v>
      </c>
      <c r="H589" s="29">
        <f t="shared" si="33"/>
        <v>55.64</v>
      </c>
      <c r="I589" s="38">
        <f t="shared" si="34"/>
        <v>8.1945999999999998E-3</v>
      </c>
      <c r="J589" s="38">
        <f t="shared" si="35"/>
        <v>3.1251999999999999E-3</v>
      </c>
      <c r="K589" s="32">
        <f>K588+StepSize*L588</f>
        <v>701.31809430151861</v>
      </c>
      <c r="L589" s="33">
        <f>K589*Delta+I589*K589-J589*(DeathPayment-K589)</f>
        <v>-97.601430878477245</v>
      </c>
    </row>
    <row r="590" spans="1:12" x14ac:dyDescent="0.45">
      <c r="A590" s="11">
        <v>22.61</v>
      </c>
      <c r="B590" s="14">
        <v>5.7156000000000004E-4</v>
      </c>
      <c r="C590" s="15">
        <v>2.131E-4</v>
      </c>
      <c r="F590" s="28">
        <v>5.65</v>
      </c>
      <c r="G590" s="29">
        <f t="shared" si="32"/>
        <v>60.65</v>
      </c>
      <c r="H590" s="29">
        <f t="shared" si="33"/>
        <v>55.65</v>
      </c>
      <c r="I590" s="38">
        <f t="shared" si="34"/>
        <v>8.2039999999999995E-3</v>
      </c>
      <c r="J590" s="38">
        <f t="shared" si="35"/>
        <v>3.12825E-3</v>
      </c>
      <c r="K590" s="32">
        <f>K589+StepSize*L589</f>
        <v>700.34207999273383</v>
      </c>
      <c r="L590" s="33">
        <f>K590*Delta+I590*K590-J590*(DeathPayment-K590)</f>
        <v>-97.826845906876414</v>
      </c>
    </row>
    <row r="591" spans="1:12" x14ac:dyDescent="0.45">
      <c r="A591" s="11">
        <v>22.62</v>
      </c>
      <c r="B591" s="14">
        <v>5.7151999999999995E-4</v>
      </c>
      <c r="C591" s="15">
        <v>2.1320000000000001E-4</v>
      </c>
      <c r="F591" s="28">
        <v>5.66</v>
      </c>
      <c r="G591" s="29">
        <f t="shared" si="32"/>
        <v>60.66</v>
      </c>
      <c r="H591" s="29">
        <f t="shared" si="33"/>
        <v>55.66</v>
      </c>
      <c r="I591" s="38">
        <f t="shared" si="34"/>
        <v>8.2133999999999992E-3</v>
      </c>
      <c r="J591" s="38">
        <f t="shared" si="35"/>
        <v>3.1313000000000001E-3</v>
      </c>
      <c r="K591" s="32">
        <f>K590+StepSize*L590</f>
        <v>699.36381153366506</v>
      </c>
      <c r="L591" s="33">
        <f>K591*Delta+I591*K591-J591*(DeathPayment-K591)</f>
        <v>-98.052473832330435</v>
      </c>
    </row>
    <row r="592" spans="1:12" x14ac:dyDescent="0.45">
      <c r="A592" s="11">
        <v>22.63</v>
      </c>
      <c r="B592" s="14">
        <v>5.7147999999999997E-4</v>
      </c>
      <c r="C592" s="15">
        <v>2.1330000000000001E-4</v>
      </c>
      <c r="F592" s="28">
        <v>5.67</v>
      </c>
      <c r="G592" s="29">
        <f t="shared" si="32"/>
        <v>60.67</v>
      </c>
      <c r="H592" s="29">
        <f t="shared" si="33"/>
        <v>55.67</v>
      </c>
      <c r="I592" s="38">
        <f t="shared" si="34"/>
        <v>8.2228000000000006E-3</v>
      </c>
      <c r="J592" s="38">
        <f t="shared" si="35"/>
        <v>3.1343500000000002E-3</v>
      </c>
      <c r="K592" s="32">
        <f>K591+StepSize*L591</f>
        <v>698.38328679534175</v>
      </c>
      <c r="L592" s="33">
        <f>K592*Delta+I592*K592-J592*(DeathPayment-K592)</f>
        <v>-98.278314917179443</v>
      </c>
    </row>
    <row r="593" spans="1:12" x14ac:dyDescent="0.45">
      <c r="A593" s="11">
        <v>22.64</v>
      </c>
      <c r="B593" s="14">
        <v>5.7143999999999999E-4</v>
      </c>
      <c r="C593" s="15">
        <v>2.1340000000000001E-4</v>
      </c>
      <c r="F593" s="28">
        <v>5.68</v>
      </c>
      <c r="G593" s="29">
        <f t="shared" si="32"/>
        <v>60.68</v>
      </c>
      <c r="H593" s="29">
        <f t="shared" si="33"/>
        <v>55.68</v>
      </c>
      <c r="I593" s="38">
        <f t="shared" si="34"/>
        <v>8.2322000000000003E-3</v>
      </c>
      <c r="J593" s="38">
        <f t="shared" si="35"/>
        <v>3.1373999999999998E-3</v>
      </c>
      <c r="K593" s="32">
        <f>K592+StepSize*L592</f>
        <v>697.40050364616991</v>
      </c>
      <c r="L593" s="33">
        <f>K593*Delta+I593*K593-J593*(DeathPayment-K593)</f>
        <v>-98.504369424089077</v>
      </c>
    </row>
    <row r="594" spans="1:12" x14ac:dyDescent="0.45">
      <c r="A594" s="11">
        <v>22.65</v>
      </c>
      <c r="B594" s="14">
        <v>5.7140000000000001E-4</v>
      </c>
      <c r="C594" s="15">
        <v>2.1350000000000001E-4</v>
      </c>
      <c r="F594" s="28">
        <v>5.69</v>
      </c>
      <c r="G594" s="29">
        <f t="shared" si="32"/>
        <v>60.69</v>
      </c>
      <c r="H594" s="29">
        <f t="shared" si="33"/>
        <v>55.69</v>
      </c>
      <c r="I594" s="38">
        <f t="shared" si="34"/>
        <v>8.2416E-3</v>
      </c>
      <c r="J594" s="38">
        <f t="shared" si="35"/>
        <v>3.1404499999999999E-3</v>
      </c>
      <c r="K594" s="32">
        <f>K593+StepSize*L593</f>
        <v>696.41545995192905</v>
      </c>
      <c r="L594" s="33">
        <f>K594*Delta+I594*K594-J594*(DeathPayment-K594)</f>
        <v>-98.730637616051041</v>
      </c>
    </row>
    <row r="595" spans="1:12" x14ac:dyDescent="0.45">
      <c r="A595" s="11">
        <v>22.66</v>
      </c>
      <c r="B595" s="14">
        <v>5.7136000000000003E-4</v>
      </c>
      <c r="C595" s="15">
        <v>2.1359999999999999E-4</v>
      </c>
      <c r="F595" s="28">
        <v>5.7</v>
      </c>
      <c r="G595" s="29">
        <f t="shared" si="32"/>
        <v>60.7</v>
      </c>
      <c r="H595" s="29">
        <f t="shared" si="33"/>
        <v>55.7</v>
      </c>
      <c r="I595" s="38">
        <f t="shared" si="34"/>
        <v>8.2509999999999997E-3</v>
      </c>
      <c r="J595" s="38">
        <f t="shared" si="35"/>
        <v>3.1435E-3</v>
      </c>
      <c r="K595" s="32">
        <f>K594+StepSize*L594</f>
        <v>695.42815357576853</v>
      </c>
      <c r="L595" s="33">
        <f>K595*Delta+I595*K595-J595*(DeathPayment-K595)</f>
        <v>-98.95711975638352</v>
      </c>
    </row>
    <row r="596" spans="1:12" x14ac:dyDescent="0.45">
      <c r="A596" s="11">
        <v>22.67</v>
      </c>
      <c r="B596" s="14">
        <v>5.7132000000000005E-4</v>
      </c>
      <c r="C596" s="15">
        <v>2.1369999999999999E-4</v>
      </c>
      <c r="F596" s="28">
        <v>5.71</v>
      </c>
      <c r="G596" s="29">
        <f t="shared" si="32"/>
        <v>60.71</v>
      </c>
      <c r="H596" s="29">
        <f t="shared" si="33"/>
        <v>55.71</v>
      </c>
      <c r="I596" s="38">
        <f t="shared" si="34"/>
        <v>8.2603999999999993E-3</v>
      </c>
      <c r="J596" s="38">
        <f t="shared" si="35"/>
        <v>3.1465500000000001E-3</v>
      </c>
      <c r="K596" s="32">
        <f>K595+StepSize*L595</f>
        <v>694.43858237820473</v>
      </c>
      <c r="L596" s="33">
        <f>K596*Delta+I596*K596-J596*(DeathPayment-K596)</f>
        <v>-99.183816108731492</v>
      </c>
    </row>
    <row r="597" spans="1:12" x14ac:dyDescent="0.45">
      <c r="A597" s="11">
        <v>22.68</v>
      </c>
      <c r="B597" s="14">
        <v>5.7127999999999996E-4</v>
      </c>
      <c r="C597" s="15">
        <v>2.1379999999999999E-4</v>
      </c>
      <c r="F597" s="28">
        <v>5.72</v>
      </c>
      <c r="G597" s="29">
        <f t="shared" si="32"/>
        <v>60.72</v>
      </c>
      <c r="H597" s="29">
        <f t="shared" si="33"/>
        <v>55.72</v>
      </c>
      <c r="I597" s="38">
        <f t="shared" si="34"/>
        <v>8.2698000000000008E-3</v>
      </c>
      <c r="J597" s="38">
        <f t="shared" si="35"/>
        <v>3.1495999999999998E-3</v>
      </c>
      <c r="K597" s="32">
        <f>K596+StepSize*L596</f>
        <v>693.44674421711738</v>
      </c>
      <c r="L597" s="33">
        <f>K597*Delta+I597*K597-J597*(DeathPayment-K597)</f>
        <v>-99.410726937067366</v>
      </c>
    </row>
    <row r="598" spans="1:12" x14ac:dyDescent="0.45">
      <c r="A598" s="11">
        <v>22.69</v>
      </c>
      <c r="B598" s="14">
        <v>5.7123999999999999E-4</v>
      </c>
      <c r="C598" s="15">
        <v>2.139E-4</v>
      </c>
      <c r="F598" s="28">
        <v>5.73</v>
      </c>
      <c r="G598" s="29">
        <f t="shared" si="32"/>
        <v>60.73</v>
      </c>
      <c r="H598" s="29">
        <f t="shared" si="33"/>
        <v>55.73</v>
      </c>
      <c r="I598" s="38">
        <f t="shared" si="34"/>
        <v>8.2792000000000004E-3</v>
      </c>
      <c r="J598" s="38">
        <f t="shared" si="35"/>
        <v>3.1526499999999999E-3</v>
      </c>
      <c r="K598" s="32">
        <f>K597+StepSize*L597</f>
        <v>692.45263694774667</v>
      </c>
      <c r="L598" s="33">
        <f>K598*Delta+I598*K598-J598*(DeathPayment-K598)</f>
        <v>-99.637852505691228</v>
      </c>
    </row>
    <row r="599" spans="1:12" x14ac:dyDescent="0.45">
      <c r="A599" s="11">
        <v>22.7</v>
      </c>
      <c r="B599" s="14">
        <v>5.7120000000000001E-4</v>
      </c>
      <c r="C599" s="15">
        <v>2.14E-4</v>
      </c>
      <c r="F599" s="28">
        <v>5.74</v>
      </c>
      <c r="G599" s="29">
        <f t="shared" si="32"/>
        <v>60.74</v>
      </c>
      <c r="H599" s="29">
        <f t="shared" si="33"/>
        <v>55.74</v>
      </c>
      <c r="I599" s="38">
        <f t="shared" si="34"/>
        <v>8.2886000000000001E-3</v>
      </c>
      <c r="J599" s="38">
        <f t="shared" si="35"/>
        <v>3.1557E-3</v>
      </c>
      <c r="K599" s="32">
        <f>K598+StepSize*L598</f>
        <v>691.45625842268976</v>
      </c>
      <c r="L599" s="33">
        <f>K599*Delta+I599*K599-J599*(DeathPayment-K599)</f>
        <v>-99.865193079231389</v>
      </c>
    </row>
    <row r="600" spans="1:12" x14ac:dyDescent="0.45">
      <c r="A600" s="11">
        <v>22.71</v>
      </c>
      <c r="B600" s="14">
        <v>5.7116000000000003E-4</v>
      </c>
      <c r="C600" s="15">
        <v>2.141E-4</v>
      </c>
      <c r="F600" s="28">
        <v>5.75</v>
      </c>
      <c r="G600" s="29">
        <f t="shared" si="32"/>
        <v>60.75</v>
      </c>
      <c r="H600" s="29">
        <f t="shared" si="33"/>
        <v>55.75</v>
      </c>
      <c r="I600" s="38">
        <f t="shared" si="34"/>
        <v>8.2979999999999998E-3</v>
      </c>
      <c r="J600" s="38">
        <f t="shared" si="35"/>
        <v>3.1587500000000001E-3</v>
      </c>
      <c r="K600" s="32">
        <f>K599+StepSize*L599</f>
        <v>690.45760649189742</v>
      </c>
      <c r="L600" s="33">
        <f>K600*Delta+I600*K600-J600*(DeathPayment-K600)</f>
        <v>-100.09274892264483</v>
      </c>
    </row>
    <row r="601" spans="1:12" x14ac:dyDescent="0.45">
      <c r="A601" s="11">
        <v>22.72</v>
      </c>
      <c r="B601" s="14">
        <v>5.7112000000000005E-4</v>
      </c>
      <c r="C601" s="15">
        <v>2.142E-4</v>
      </c>
      <c r="F601" s="28">
        <v>5.76</v>
      </c>
      <c r="G601" s="29">
        <f t="shared" ref="G601:G664" si="36">ROUND(MaleAgeStart+F601,2)</f>
        <v>60.76</v>
      </c>
      <c r="H601" s="29">
        <f t="shared" ref="H601:H664" si="37">ROUND(FemaleAgeStart+F601,2)</f>
        <v>55.76</v>
      </c>
      <c r="I601" s="38">
        <f t="shared" ref="I601:I664" si="38">VLOOKUP(G601,muValues,2,FALSE)</f>
        <v>8.3073999999999995E-3</v>
      </c>
      <c r="J601" s="38">
        <f t="shared" ref="J601:J664" si="39">VLOOKUP(H601,muValues,3,FALSE)</f>
        <v>3.1618000000000002E-3</v>
      </c>
      <c r="K601" s="32">
        <f>K600+StepSize*L600</f>
        <v>689.45667900267097</v>
      </c>
      <c r="L601" s="33">
        <f>K601*Delta+I601*K601-J601*(DeathPayment-K601)</f>
        <v>-100.32052030121753</v>
      </c>
    </row>
    <row r="602" spans="1:12" x14ac:dyDescent="0.45">
      <c r="A602" s="11">
        <v>22.73</v>
      </c>
      <c r="B602" s="14">
        <v>5.7107999999999996E-4</v>
      </c>
      <c r="C602" s="15">
        <v>2.143E-4</v>
      </c>
      <c r="F602" s="28">
        <v>5.77</v>
      </c>
      <c r="G602" s="29">
        <f t="shared" si="36"/>
        <v>60.77</v>
      </c>
      <c r="H602" s="29">
        <f t="shared" si="37"/>
        <v>55.77</v>
      </c>
      <c r="I602" s="38">
        <f t="shared" si="38"/>
        <v>8.3167999999999992E-3</v>
      </c>
      <c r="J602" s="38">
        <f t="shared" si="39"/>
        <v>3.1648499999999999E-3</v>
      </c>
      <c r="K602" s="32">
        <f>K601+StepSize*L601</f>
        <v>688.45347379965881</v>
      </c>
      <c r="L602" s="33">
        <f>K602*Delta+I602*K602-J602*(DeathPayment-K602)</f>
        <v>-100.54850748056506</v>
      </c>
    </row>
    <row r="603" spans="1:12" x14ac:dyDescent="0.45">
      <c r="A603" s="11">
        <v>22.74</v>
      </c>
      <c r="B603" s="14">
        <v>5.7103999999999998E-4</v>
      </c>
      <c r="C603" s="15">
        <v>2.1440000000000001E-4</v>
      </c>
      <c r="F603" s="28">
        <v>5.78</v>
      </c>
      <c r="G603" s="29">
        <f t="shared" si="36"/>
        <v>60.78</v>
      </c>
      <c r="H603" s="29">
        <f t="shared" si="37"/>
        <v>55.78</v>
      </c>
      <c r="I603" s="38">
        <f t="shared" si="38"/>
        <v>8.3262000000000006E-3</v>
      </c>
      <c r="J603" s="38">
        <f t="shared" si="39"/>
        <v>3.1679E-3</v>
      </c>
      <c r="K603" s="32">
        <f>K602+StepSize*L602</f>
        <v>687.44798872485319</v>
      </c>
      <c r="L603" s="33">
        <f>K603*Delta+I603*K603-J603*(DeathPayment-K603)</f>
        <v>-100.77671072663296</v>
      </c>
    </row>
    <row r="604" spans="1:12" x14ac:dyDescent="0.45">
      <c r="A604" s="11">
        <v>22.75</v>
      </c>
      <c r="B604" s="14">
        <v>5.71E-4</v>
      </c>
      <c r="C604" s="15">
        <v>2.1450000000000001E-4</v>
      </c>
      <c r="F604" s="28">
        <v>5.79</v>
      </c>
      <c r="G604" s="29">
        <f t="shared" si="36"/>
        <v>60.79</v>
      </c>
      <c r="H604" s="29">
        <f t="shared" si="37"/>
        <v>55.79</v>
      </c>
      <c r="I604" s="38">
        <f t="shared" si="38"/>
        <v>8.3356000000000003E-3</v>
      </c>
      <c r="J604" s="38">
        <f t="shared" si="39"/>
        <v>3.1709500000000001E-3</v>
      </c>
      <c r="K604" s="32">
        <f>K603+StepSize*L603</f>
        <v>686.44022161758687</v>
      </c>
      <c r="L604" s="33">
        <f>K604*Delta+I604*K604-J604*(DeathPayment-K604)</f>
        <v>-101.00513030569712</v>
      </c>
    </row>
    <row r="605" spans="1:12" x14ac:dyDescent="0.45">
      <c r="A605" s="11">
        <v>22.76</v>
      </c>
      <c r="B605" s="14">
        <v>5.7096000000000002E-4</v>
      </c>
      <c r="C605" s="15">
        <v>2.1460000000000001E-4</v>
      </c>
      <c r="F605" s="28">
        <v>5.8</v>
      </c>
      <c r="G605" s="29">
        <f t="shared" si="36"/>
        <v>60.8</v>
      </c>
      <c r="H605" s="29">
        <f t="shared" si="37"/>
        <v>55.8</v>
      </c>
      <c r="I605" s="38">
        <f t="shared" si="38"/>
        <v>8.345E-3</v>
      </c>
      <c r="J605" s="38">
        <f t="shared" si="39"/>
        <v>3.1740000000000002E-3</v>
      </c>
      <c r="K605" s="32">
        <f>K604+StepSize*L604</f>
        <v>685.43017031452985</v>
      </c>
      <c r="L605" s="33">
        <f>K605*Delta+I605*K605-J605*(DeathPayment-K605)</f>
        <v>-101.23376648436437</v>
      </c>
    </row>
    <row r="606" spans="1:12" x14ac:dyDescent="0.45">
      <c r="A606" s="11">
        <v>22.77</v>
      </c>
      <c r="B606" s="14">
        <v>5.7092000000000004E-4</v>
      </c>
      <c r="C606" s="15">
        <v>2.1469999999999999E-4</v>
      </c>
      <c r="F606" s="28">
        <v>5.81</v>
      </c>
      <c r="G606" s="29">
        <f t="shared" si="36"/>
        <v>60.81</v>
      </c>
      <c r="H606" s="29">
        <f t="shared" si="37"/>
        <v>55.81</v>
      </c>
      <c r="I606" s="38">
        <f t="shared" si="38"/>
        <v>8.3543999999999997E-3</v>
      </c>
      <c r="J606" s="38">
        <f t="shared" si="39"/>
        <v>3.1770499999999998E-3</v>
      </c>
      <c r="K606" s="32">
        <f>K605+StepSize*L605</f>
        <v>684.41783264968615</v>
      </c>
      <c r="L606" s="33">
        <f>K606*Delta+I606*K606-J606*(DeathPayment-K606)</f>
        <v>-101.46261952957268</v>
      </c>
    </row>
    <row r="607" spans="1:12" x14ac:dyDescent="0.45">
      <c r="A607" s="11">
        <v>22.78</v>
      </c>
      <c r="B607" s="14">
        <v>5.7087999999999996E-4</v>
      </c>
      <c r="C607" s="15">
        <v>2.1479999999999999E-4</v>
      </c>
      <c r="F607" s="28">
        <v>5.82</v>
      </c>
      <c r="G607" s="29">
        <f t="shared" si="36"/>
        <v>60.82</v>
      </c>
      <c r="H607" s="29">
        <f t="shared" si="37"/>
        <v>55.82</v>
      </c>
      <c r="I607" s="38">
        <f t="shared" si="38"/>
        <v>8.3637999999999994E-3</v>
      </c>
      <c r="J607" s="38">
        <f t="shared" si="39"/>
        <v>3.1800999999999999E-3</v>
      </c>
      <c r="K607" s="32">
        <f>K606+StepSize*L606</f>
        <v>683.40320645439044</v>
      </c>
      <c r="L607" s="33">
        <f>K607*Delta+I607*K607-J607*(DeathPayment-K607)</f>
        <v>-101.69168970859184</v>
      </c>
    </row>
    <row r="608" spans="1:12" x14ac:dyDescent="0.45">
      <c r="A608" s="11">
        <v>22.79</v>
      </c>
      <c r="B608" s="14">
        <v>5.7083999999999998E-4</v>
      </c>
      <c r="C608" s="15">
        <v>2.1489999999999999E-4</v>
      </c>
      <c r="F608" s="28">
        <v>5.83</v>
      </c>
      <c r="G608" s="29">
        <f t="shared" si="36"/>
        <v>60.83</v>
      </c>
      <c r="H608" s="29">
        <f t="shared" si="37"/>
        <v>55.83</v>
      </c>
      <c r="I608" s="38">
        <f t="shared" si="38"/>
        <v>8.3732000000000008E-3</v>
      </c>
      <c r="J608" s="38">
        <f t="shared" si="39"/>
        <v>3.18315E-3</v>
      </c>
      <c r="K608" s="32">
        <f>K607+StepSize*L607</f>
        <v>682.38628955730451</v>
      </c>
      <c r="L608" s="33">
        <f>K608*Delta+I608*K608-J608*(DeathPayment-K608)</f>
        <v>-101.92097728902391</v>
      </c>
    </row>
    <row r="609" spans="1:12" x14ac:dyDescent="0.45">
      <c r="A609" s="11">
        <v>22.8</v>
      </c>
      <c r="B609" s="14">
        <v>5.708E-4</v>
      </c>
      <c r="C609" s="15">
        <v>2.1499999999999999E-4</v>
      </c>
      <c r="F609" s="28">
        <v>5.84</v>
      </c>
      <c r="G609" s="29">
        <f t="shared" si="36"/>
        <v>60.84</v>
      </c>
      <c r="H609" s="29">
        <f t="shared" si="37"/>
        <v>55.84</v>
      </c>
      <c r="I609" s="38">
        <f t="shared" si="38"/>
        <v>8.3826000000000005E-3</v>
      </c>
      <c r="J609" s="38">
        <f t="shared" si="39"/>
        <v>3.1862000000000001E-3</v>
      </c>
      <c r="K609" s="32">
        <f>K608+StepSize*L608</f>
        <v>681.36707978441427</v>
      </c>
      <c r="L609" s="33">
        <f>K609*Delta+I609*K609-J609*(DeathPayment-K609)</f>
        <v>-102.15048253880337</v>
      </c>
    </row>
    <row r="610" spans="1:12" x14ac:dyDescent="0.45">
      <c r="A610" s="11">
        <v>22.81</v>
      </c>
      <c r="B610" s="14">
        <v>5.7076000000000002E-4</v>
      </c>
      <c r="C610" s="15">
        <v>2.151E-4</v>
      </c>
      <c r="F610" s="28">
        <v>5.85</v>
      </c>
      <c r="G610" s="29">
        <f t="shared" si="36"/>
        <v>60.85</v>
      </c>
      <c r="H610" s="29">
        <f t="shared" si="37"/>
        <v>55.85</v>
      </c>
      <c r="I610" s="38">
        <f t="shared" si="38"/>
        <v>8.3920000000000002E-3</v>
      </c>
      <c r="J610" s="38">
        <f t="shared" si="39"/>
        <v>3.1892499999999998E-3</v>
      </c>
      <c r="K610" s="32">
        <f>K609+StepSize*L609</f>
        <v>680.34557495902629</v>
      </c>
      <c r="L610" s="33">
        <f>K610*Delta+I610*K610-J610*(DeathPayment-K610)</f>
        <v>-102.38020572619791</v>
      </c>
    </row>
    <row r="611" spans="1:12" x14ac:dyDescent="0.45">
      <c r="A611" s="11">
        <v>22.82</v>
      </c>
      <c r="B611" s="14">
        <v>5.7072000000000004E-4</v>
      </c>
      <c r="C611" s="15">
        <v>2.152E-4</v>
      </c>
      <c r="F611" s="28">
        <v>5.86</v>
      </c>
      <c r="G611" s="29">
        <f t="shared" si="36"/>
        <v>60.86</v>
      </c>
      <c r="H611" s="29">
        <f t="shared" si="37"/>
        <v>55.86</v>
      </c>
      <c r="I611" s="38">
        <f t="shared" si="38"/>
        <v>8.4013999999999998E-3</v>
      </c>
      <c r="J611" s="38">
        <f t="shared" si="39"/>
        <v>3.1922999999999999E-3</v>
      </c>
      <c r="K611" s="32">
        <f>K610+StepSize*L610</f>
        <v>679.32177290176435</v>
      </c>
      <c r="L611" s="33">
        <f>K611*Delta+I611*K611-J611*(DeathPayment-K611)</f>
        <v>-102.61014711980872</v>
      </c>
    </row>
    <row r="612" spans="1:12" x14ac:dyDescent="0.45">
      <c r="A612" s="11">
        <v>22.83</v>
      </c>
      <c r="B612" s="14">
        <v>5.7067999999999995E-4</v>
      </c>
      <c r="C612" s="15">
        <v>2.153E-4</v>
      </c>
      <c r="F612" s="28">
        <v>5.87</v>
      </c>
      <c r="G612" s="29">
        <f t="shared" si="36"/>
        <v>60.87</v>
      </c>
      <c r="H612" s="29">
        <f t="shared" si="37"/>
        <v>55.87</v>
      </c>
      <c r="I612" s="38">
        <f t="shared" si="38"/>
        <v>8.4107999999999995E-3</v>
      </c>
      <c r="J612" s="38">
        <f t="shared" si="39"/>
        <v>3.19535E-3</v>
      </c>
      <c r="K612" s="32">
        <f>K611+StepSize*L611</f>
        <v>678.29567143056624</v>
      </c>
      <c r="L612" s="33">
        <f>K612*Delta+I612*K612-J612*(DeathPayment-K612)</f>
        <v>-102.84030698857089</v>
      </c>
    </row>
    <row r="613" spans="1:12" x14ac:dyDescent="0.45">
      <c r="A613" s="11">
        <v>22.84</v>
      </c>
      <c r="B613" s="14">
        <v>5.7063999999999997E-4</v>
      </c>
      <c r="C613" s="15">
        <v>2.154E-4</v>
      </c>
      <c r="F613" s="28">
        <v>5.88</v>
      </c>
      <c r="G613" s="29">
        <f t="shared" si="36"/>
        <v>60.88</v>
      </c>
      <c r="H613" s="29">
        <f t="shared" si="37"/>
        <v>55.88</v>
      </c>
      <c r="I613" s="38">
        <f t="shared" si="38"/>
        <v>8.4201999999999992E-3</v>
      </c>
      <c r="J613" s="38">
        <f t="shared" si="39"/>
        <v>3.1984000000000001E-3</v>
      </c>
      <c r="K613" s="32">
        <f>K612+StepSize*L612</f>
        <v>677.26726836068053</v>
      </c>
      <c r="L613" s="33">
        <f>K613*Delta+I613*K613-J613*(DeathPayment-K613)</f>
        <v>-103.07068560175404</v>
      </c>
    </row>
    <row r="614" spans="1:12" x14ac:dyDescent="0.45">
      <c r="A614" s="11">
        <v>22.85</v>
      </c>
      <c r="B614" s="14">
        <v>5.7059999999999999E-4</v>
      </c>
      <c r="C614" s="15">
        <v>2.1550000000000001E-4</v>
      </c>
      <c r="F614" s="28">
        <v>5.89</v>
      </c>
      <c r="G614" s="29">
        <f t="shared" si="36"/>
        <v>60.89</v>
      </c>
      <c r="H614" s="29">
        <f t="shared" si="37"/>
        <v>55.89</v>
      </c>
      <c r="I614" s="38">
        <f t="shared" si="38"/>
        <v>8.4296000000000006E-3</v>
      </c>
      <c r="J614" s="38">
        <f t="shared" si="39"/>
        <v>3.2014500000000002E-3</v>
      </c>
      <c r="K614" s="32">
        <f>K613+StepSize*L613</f>
        <v>676.23656150466297</v>
      </c>
      <c r="L614" s="33">
        <f>K614*Delta+I614*K614-J614*(DeathPayment-K614)</f>
        <v>-103.30128322896248</v>
      </c>
    </row>
    <row r="615" spans="1:12" x14ac:dyDescent="0.45">
      <c r="A615" s="11">
        <v>22.86</v>
      </c>
      <c r="B615" s="14">
        <v>5.7056000000000001E-4</v>
      </c>
      <c r="C615" s="15">
        <v>2.1560000000000001E-4</v>
      </c>
      <c r="F615" s="28">
        <v>5.9</v>
      </c>
      <c r="G615" s="29">
        <f t="shared" si="36"/>
        <v>60.9</v>
      </c>
      <c r="H615" s="29">
        <f t="shared" si="37"/>
        <v>55.9</v>
      </c>
      <c r="I615" s="38">
        <f t="shared" si="38"/>
        <v>8.4390000000000003E-3</v>
      </c>
      <c r="J615" s="38">
        <f t="shared" si="39"/>
        <v>3.2044999999999999E-3</v>
      </c>
      <c r="K615" s="32">
        <f>K614+StepSize*L614</f>
        <v>675.20354867237336</v>
      </c>
      <c r="L615" s="33">
        <f>K615*Delta+I615*K615-J615*(DeathPayment-K615)</f>
        <v>-103.5321001401359</v>
      </c>
    </row>
    <row r="616" spans="1:12" x14ac:dyDescent="0.45">
      <c r="A616" s="11">
        <v>22.87</v>
      </c>
      <c r="B616" s="14">
        <v>5.7052000000000003E-4</v>
      </c>
      <c r="C616" s="15">
        <v>2.1570000000000001E-4</v>
      </c>
      <c r="F616" s="28">
        <v>5.91</v>
      </c>
      <c r="G616" s="29">
        <f t="shared" si="36"/>
        <v>60.91</v>
      </c>
      <c r="H616" s="29">
        <f t="shared" si="37"/>
        <v>55.91</v>
      </c>
      <c r="I616" s="38">
        <f t="shared" si="38"/>
        <v>8.4484E-3</v>
      </c>
      <c r="J616" s="38">
        <f t="shared" si="39"/>
        <v>3.20755E-3</v>
      </c>
      <c r="K616" s="32">
        <f>K615+StepSize*L615</f>
        <v>674.16822767097199</v>
      </c>
      <c r="L616" s="33">
        <f>K616*Delta+I616*K616-J616*(DeathPayment-K616)</f>
        <v>-103.76313660554987</v>
      </c>
    </row>
    <row r="617" spans="1:12" x14ac:dyDescent="0.45">
      <c r="A617" s="11">
        <v>22.88</v>
      </c>
      <c r="B617" s="14">
        <v>5.7048000000000005E-4</v>
      </c>
      <c r="C617" s="15">
        <v>2.1579999999999999E-4</v>
      </c>
      <c r="F617" s="28">
        <v>5.92</v>
      </c>
      <c r="G617" s="29">
        <f t="shared" si="36"/>
        <v>60.92</v>
      </c>
      <c r="H617" s="29">
        <f t="shared" si="37"/>
        <v>55.92</v>
      </c>
      <c r="I617" s="38">
        <f t="shared" si="38"/>
        <v>8.4577999999999997E-3</v>
      </c>
      <c r="J617" s="38">
        <f t="shared" si="39"/>
        <v>3.2106000000000001E-3</v>
      </c>
      <c r="K617" s="32">
        <f>K616+StepSize*L616</f>
        <v>673.13059630491648</v>
      </c>
      <c r="L617" s="33">
        <f>K617*Delta+I617*K617-J617*(DeathPayment-K617)</f>
        <v>-103.99439289581596</v>
      </c>
    </row>
    <row r="618" spans="1:12" x14ac:dyDescent="0.45">
      <c r="A618" s="11">
        <v>22.89</v>
      </c>
      <c r="B618" s="14">
        <v>5.7043999999999997E-4</v>
      </c>
      <c r="C618" s="15">
        <v>2.1589999999999999E-4</v>
      </c>
      <c r="F618" s="28">
        <v>5.93</v>
      </c>
      <c r="G618" s="29">
        <f t="shared" si="36"/>
        <v>60.93</v>
      </c>
      <c r="H618" s="29">
        <f t="shared" si="37"/>
        <v>55.93</v>
      </c>
      <c r="I618" s="38">
        <f t="shared" si="38"/>
        <v>8.4671999999999994E-3</v>
      </c>
      <c r="J618" s="38">
        <f t="shared" si="39"/>
        <v>3.2136500000000002E-3</v>
      </c>
      <c r="K618" s="32">
        <f>K617+StepSize*L617</f>
        <v>672.09065237595837</v>
      </c>
      <c r="L618" s="33">
        <f>K618*Delta+I618*K618-J618*(DeathPayment-K618)</f>
        <v>-104.22586928188252</v>
      </c>
    </row>
    <row r="619" spans="1:12" x14ac:dyDescent="0.45">
      <c r="A619" s="11">
        <v>22.9</v>
      </c>
      <c r="B619" s="14">
        <v>5.7039999999999999E-4</v>
      </c>
      <c r="C619" s="15">
        <v>2.1599999999999999E-4</v>
      </c>
      <c r="F619" s="28">
        <v>5.94</v>
      </c>
      <c r="G619" s="29">
        <f t="shared" si="36"/>
        <v>60.94</v>
      </c>
      <c r="H619" s="29">
        <f t="shared" si="37"/>
        <v>55.94</v>
      </c>
      <c r="I619" s="38">
        <f t="shared" si="38"/>
        <v>8.4766000000000008E-3</v>
      </c>
      <c r="J619" s="38">
        <f t="shared" si="39"/>
        <v>3.2166999999999999E-3</v>
      </c>
      <c r="K619" s="32">
        <f>K618+StepSize*L618</f>
        <v>671.04839368313958</v>
      </c>
      <c r="L619" s="33">
        <f>K619*Delta+I619*K619-J619*(DeathPayment-K619)</f>
        <v>-104.4575660350349</v>
      </c>
    </row>
    <row r="620" spans="1:12" x14ac:dyDescent="0.45">
      <c r="A620" s="11">
        <v>22.91</v>
      </c>
      <c r="B620" s="14">
        <v>5.7036000000000001E-4</v>
      </c>
      <c r="C620" s="15">
        <v>2.1609999999999999E-4</v>
      </c>
      <c r="F620" s="28">
        <v>5.95</v>
      </c>
      <c r="G620" s="29">
        <f t="shared" si="36"/>
        <v>60.95</v>
      </c>
      <c r="H620" s="29">
        <f t="shared" si="37"/>
        <v>55.95</v>
      </c>
      <c r="I620" s="38">
        <f t="shared" si="38"/>
        <v>8.4860000000000005E-3</v>
      </c>
      <c r="J620" s="38">
        <f t="shared" si="39"/>
        <v>3.21975E-3</v>
      </c>
      <c r="K620" s="32">
        <f>K619+StepSize*L619</f>
        <v>670.00381802278923</v>
      </c>
      <c r="L620" s="33">
        <f>K620*Delta+I620*K620-J620*(DeathPayment-K620)</f>
        <v>-104.68948342689622</v>
      </c>
    </row>
    <row r="621" spans="1:12" x14ac:dyDescent="0.45">
      <c r="A621" s="11">
        <v>22.92</v>
      </c>
      <c r="B621" s="14">
        <v>5.7032000000000003E-4</v>
      </c>
      <c r="C621" s="15">
        <v>2.162E-4</v>
      </c>
      <c r="F621" s="28">
        <v>5.96</v>
      </c>
      <c r="G621" s="29">
        <f t="shared" si="36"/>
        <v>60.96</v>
      </c>
      <c r="H621" s="29">
        <f t="shared" si="37"/>
        <v>55.96</v>
      </c>
      <c r="I621" s="38">
        <f t="shared" si="38"/>
        <v>8.4954000000000002E-3</v>
      </c>
      <c r="J621" s="38">
        <f t="shared" si="39"/>
        <v>3.2228000000000001E-3</v>
      </c>
      <c r="K621" s="32">
        <f>K620+StepSize*L620</f>
        <v>668.95692318852025</v>
      </c>
      <c r="L621" s="33">
        <f>K621*Delta+I621*K621-J621*(DeathPayment-K621)</f>
        <v>-104.92162172942741</v>
      </c>
    </row>
    <row r="622" spans="1:12" x14ac:dyDescent="0.45">
      <c r="A622" s="11">
        <v>22.93</v>
      </c>
      <c r="B622" s="14">
        <v>5.7028000000000005E-4</v>
      </c>
      <c r="C622" s="15">
        <v>2.163E-4</v>
      </c>
      <c r="F622" s="28">
        <v>5.97</v>
      </c>
      <c r="G622" s="29">
        <f t="shared" si="36"/>
        <v>60.97</v>
      </c>
      <c r="H622" s="29">
        <f t="shared" si="37"/>
        <v>55.97</v>
      </c>
      <c r="I622" s="38">
        <f t="shared" si="38"/>
        <v>8.5047999999999999E-3</v>
      </c>
      <c r="J622" s="38">
        <f t="shared" si="39"/>
        <v>3.2258500000000002E-3</v>
      </c>
      <c r="K622" s="32">
        <f>K621+StepSize*L621</f>
        <v>667.90770697122593</v>
      </c>
      <c r="L622" s="33">
        <f>K622*Delta+I622*K622-J622*(DeathPayment-K622)</f>
        <v>-105.15398121492788</v>
      </c>
    </row>
    <row r="623" spans="1:12" x14ac:dyDescent="0.45">
      <c r="A623" s="11">
        <v>22.94</v>
      </c>
      <c r="B623" s="14">
        <v>5.7023999999999996E-4</v>
      </c>
      <c r="C623" s="15">
        <v>2.164E-4</v>
      </c>
      <c r="F623" s="28">
        <v>5.98</v>
      </c>
      <c r="G623" s="29">
        <f t="shared" si="36"/>
        <v>60.98</v>
      </c>
      <c r="H623" s="29">
        <f t="shared" si="37"/>
        <v>55.98</v>
      </c>
      <c r="I623" s="38">
        <f t="shared" si="38"/>
        <v>8.5141999999999995E-3</v>
      </c>
      <c r="J623" s="38">
        <f t="shared" si="39"/>
        <v>3.2288999999999998E-3</v>
      </c>
      <c r="K623" s="32">
        <f>K622+StepSize*L622</f>
        <v>666.85616715907668</v>
      </c>
      <c r="L623" s="33">
        <f>K623*Delta+I623*K623-J623*(DeathPayment-K623)</f>
        <v>-105.38656215603609</v>
      </c>
    </row>
    <row r="624" spans="1:12" x14ac:dyDescent="0.45">
      <c r="A624" s="11">
        <v>22.95</v>
      </c>
      <c r="B624" s="14">
        <v>5.7019999999999998E-4</v>
      </c>
      <c r="C624" s="15">
        <v>2.165E-4</v>
      </c>
      <c r="F624" s="28">
        <v>5.99</v>
      </c>
      <c r="G624" s="29">
        <f t="shared" si="36"/>
        <v>60.99</v>
      </c>
      <c r="H624" s="29">
        <f t="shared" si="37"/>
        <v>55.99</v>
      </c>
      <c r="I624" s="38">
        <f t="shared" si="38"/>
        <v>8.5235999999999992E-3</v>
      </c>
      <c r="J624" s="38">
        <f t="shared" si="39"/>
        <v>3.2319499999999999E-3</v>
      </c>
      <c r="K624" s="32">
        <f>K623+StepSize*L623</f>
        <v>665.80230153751631</v>
      </c>
      <c r="L624" s="33">
        <f>K624*Delta+I624*K624-J624*(DeathPayment-K624)</f>
        <v>-105.61936482572978</v>
      </c>
    </row>
    <row r="625" spans="1:12" x14ac:dyDescent="0.45">
      <c r="A625" s="11">
        <v>22.96</v>
      </c>
      <c r="B625" s="14">
        <v>5.7016E-4</v>
      </c>
      <c r="C625" s="15">
        <v>2.1660000000000001E-4</v>
      </c>
      <c r="F625" s="28">
        <v>6</v>
      </c>
      <c r="G625" s="29">
        <f t="shared" si="36"/>
        <v>61</v>
      </c>
      <c r="H625" s="29">
        <f t="shared" si="37"/>
        <v>56</v>
      </c>
      <c r="I625" s="38">
        <f t="shared" si="38"/>
        <v>8.5330000000000007E-3</v>
      </c>
      <c r="J625" s="38">
        <f t="shared" si="39"/>
        <v>3.235E-3</v>
      </c>
      <c r="K625" s="32">
        <f>K624+StepSize*L624</f>
        <v>664.74610788925906</v>
      </c>
      <c r="L625" s="33">
        <f>K625*Delta+I625*K625-J625*(DeathPayment-K625)</f>
        <v>-105.85238949732647</v>
      </c>
    </row>
    <row r="626" spans="1:12" x14ac:dyDescent="0.45">
      <c r="A626" s="11">
        <v>22.97</v>
      </c>
      <c r="B626" s="14">
        <v>5.7012000000000002E-4</v>
      </c>
      <c r="C626" s="15">
        <v>2.1670000000000001E-4</v>
      </c>
      <c r="F626" s="28">
        <v>6.01</v>
      </c>
      <c r="G626" s="29">
        <f t="shared" si="36"/>
        <v>61.01</v>
      </c>
      <c r="H626" s="29">
        <f t="shared" si="37"/>
        <v>56.01</v>
      </c>
      <c r="I626" s="38">
        <f t="shared" si="38"/>
        <v>8.5435300000000006E-3</v>
      </c>
      <c r="J626" s="38">
        <f t="shared" si="39"/>
        <v>3.23837E-3</v>
      </c>
      <c r="K626" s="32">
        <f>K625+StepSize*L625</f>
        <v>663.68758399428577</v>
      </c>
      <c r="L626" s="33">
        <f>K626*Delta+I626*K626-J626*(DeathPayment-K626)</f>
        <v>-106.10067409748733</v>
      </c>
    </row>
    <row r="627" spans="1:12" x14ac:dyDescent="0.45">
      <c r="A627" s="11">
        <v>22.98</v>
      </c>
      <c r="B627" s="14">
        <v>5.7008000000000004E-4</v>
      </c>
      <c r="C627" s="15">
        <v>2.1680000000000001E-4</v>
      </c>
      <c r="F627" s="28">
        <v>6.02</v>
      </c>
      <c r="G627" s="29">
        <f t="shared" si="36"/>
        <v>61.02</v>
      </c>
      <c r="H627" s="29">
        <f t="shared" si="37"/>
        <v>56.02</v>
      </c>
      <c r="I627" s="38">
        <f t="shared" si="38"/>
        <v>8.5540600000000005E-3</v>
      </c>
      <c r="J627" s="38">
        <f t="shared" si="39"/>
        <v>3.2417399999999999E-3</v>
      </c>
      <c r="K627" s="32">
        <f>K626+StepSize*L626</f>
        <v>662.62657725331087</v>
      </c>
      <c r="L627" s="33">
        <f>K627*Delta+I627*K627-J627*(DeathPayment-K627)</f>
        <v>-106.34919697283274</v>
      </c>
    </row>
    <row r="628" spans="1:12" x14ac:dyDescent="0.45">
      <c r="A628" s="11">
        <v>22.99</v>
      </c>
      <c r="B628" s="14">
        <v>5.7003999999999996E-4</v>
      </c>
      <c r="C628" s="15">
        <v>2.1689999999999999E-4</v>
      </c>
      <c r="F628" s="28">
        <v>6.03</v>
      </c>
      <c r="G628" s="29">
        <f t="shared" si="36"/>
        <v>61.03</v>
      </c>
      <c r="H628" s="29">
        <f t="shared" si="37"/>
        <v>56.03</v>
      </c>
      <c r="I628" s="38">
        <f t="shared" si="38"/>
        <v>8.5645900000000004E-3</v>
      </c>
      <c r="J628" s="38">
        <f t="shared" si="39"/>
        <v>3.2451099999999998E-3</v>
      </c>
      <c r="K628" s="32">
        <f>K627+StepSize*L627</f>
        <v>661.5630852835825</v>
      </c>
      <c r="L628" s="33">
        <f>K628*Delta+I628*K628-J628*(DeathPayment-K628)</f>
        <v>-106.5979584273592</v>
      </c>
    </row>
    <row r="629" spans="1:12" x14ac:dyDescent="0.45">
      <c r="A629" s="11">
        <v>23</v>
      </c>
      <c r="B629" s="14">
        <v>5.6999999999999998E-4</v>
      </c>
      <c r="C629" s="15">
        <v>2.1699999999999999E-4</v>
      </c>
      <c r="F629" s="28">
        <v>6.04</v>
      </c>
      <c r="G629" s="29">
        <f t="shared" si="36"/>
        <v>61.04</v>
      </c>
      <c r="H629" s="29">
        <f t="shared" si="37"/>
        <v>56.04</v>
      </c>
      <c r="I629" s="38">
        <f t="shared" si="38"/>
        <v>8.5751200000000003E-3</v>
      </c>
      <c r="J629" s="38">
        <f t="shared" si="39"/>
        <v>3.2484800000000002E-3</v>
      </c>
      <c r="K629" s="32">
        <f>K628+StepSize*L628</f>
        <v>660.49710569930892</v>
      </c>
      <c r="L629" s="33">
        <f>K629*Delta+I629*K629-J629*(DeathPayment-K629)</f>
        <v>-106.84695876545143</v>
      </c>
    </row>
    <row r="630" spans="1:12" x14ac:dyDescent="0.45">
      <c r="A630" s="11">
        <v>23.01</v>
      </c>
      <c r="B630" s="14">
        <v>5.6997999999999999E-4</v>
      </c>
      <c r="C630" s="15">
        <v>2.1712000000000001E-4</v>
      </c>
      <c r="F630" s="28">
        <v>6.05</v>
      </c>
      <c r="G630" s="29">
        <f t="shared" si="36"/>
        <v>61.05</v>
      </c>
      <c r="H630" s="29">
        <f t="shared" si="37"/>
        <v>56.05</v>
      </c>
      <c r="I630" s="38">
        <f t="shared" si="38"/>
        <v>8.5856500000000002E-3</v>
      </c>
      <c r="J630" s="38">
        <f t="shared" si="39"/>
        <v>3.2518500000000001E-3</v>
      </c>
      <c r="K630" s="32">
        <f>K629+StepSize*L629</f>
        <v>659.42863611165444</v>
      </c>
      <c r="L630" s="33">
        <f>K630*Delta+I630*K630-J630*(DeathPayment-K630)</f>
        <v>-107.09619829188296</v>
      </c>
    </row>
    <row r="631" spans="1:12" x14ac:dyDescent="0.45">
      <c r="A631" s="11">
        <v>23.02</v>
      </c>
      <c r="B631" s="14">
        <v>5.6996E-4</v>
      </c>
      <c r="C631" s="15">
        <v>2.1724E-4</v>
      </c>
      <c r="F631" s="28">
        <v>6.06</v>
      </c>
      <c r="G631" s="29">
        <f t="shared" si="36"/>
        <v>61.06</v>
      </c>
      <c r="H631" s="29">
        <f t="shared" si="37"/>
        <v>56.06</v>
      </c>
      <c r="I631" s="38">
        <f t="shared" si="38"/>
        <v>8.5961800000000001E-3</v>
      </c>
      <c r="J631" s="38">
        <f t="shared" si="39"/>
        <v>3.2552200000000001E-3</v>
      </c>
      <c r="K631" s="32">
        <f>K630+StepSize*L630</f>
        <v>658.35767412873565</v>
      </c>
      <c r="L631" s="33">
        <f>K631*Delta+I631*K631-J631*(DeathPayment-K631)</f>
        <v>-107.34567731181669</v>
      </c>
    </row>
    <row r="632" spans="1:12" x14ac:dyDescent="0.45">
      <c r="A632" s="11">
        <v>23.03</v>
      </c>
      <c r="B632" s="14">
        <v>5.6994000000000001E-4</v>
      </c>
      <c r="C632" s="15">
        <v>2.1735999999999999E-4</v>
      </c>
      <c r="F632" s="28">
        <v>6.07</v>
      </c>
      <c r="G632" s="29">
        <f t="shared" si="36"/>
        <v>61.07</v>
      </c>
      <c r="H632" s="29">
        <f t="shared" si="37"/>
        <v>56.07</v>
      </c>
      <c r="I632" s="38">
        <f t="shared" si="38"/>
        <v>8.6067100000000001E-3</v>
      </c>
      <c r="J632" s="38">
        <f t="shared" si="39"/>
        <v>3.25859E-3</v>
      </c>
      <c r="K632" s="32">
        <f>K631+StepSize*L631</f>
        <v>657.28421735561744</v>
      </c>
      <c r="L632" s="33">
        <f>K632*Delta+I632*K632-J632*(DeathPayment-K632)</f>
        <v>-107.59539613080538</v>
      </c>
    </row>
    <row r="633" spans="1:12" x14ac:dyDescent="0.45">
      <c r="A633" s="11">
        <v>23.04</v>
      </c>
      <c r="B633" s="14">
        <v>5.6992000000000002E-4</v>
      </c>
      <c r="C633" s="15">
        <v>2.1748000000000001E-4</v>
      </c>
      <c r="F633" s="28">
        <v>6.08</v>
      </c>
      <c r="G633" s="29">
        <f t="shared" si="36"/>
        <v>61.08</v>
      </c>
      <c r="H633" s="29">
        <f t="shared" si="37"/>
        <v>56.08</v>
      </c>
      <c r="I633" s="38">
        <f t="shared" si="38"/>
        <v>8.61724E-3</v>
      </c>
      <c r="J633" s="38">
        <f t="shared" si="39"/>
        <v>3.2619599999999999E-3</v>
      </c>
      <c r="K633" s="32">
        <f>K632+StepSize*L632</f>
        <v>656.20826339430937</v>
      </c>
      <c r="L633" s="33">
        <f>K633*Delta+I633*K633-J633*(DeathPayment-K633)</f>
        <v>-107.84535505479235</v>
      </c>
    </row>
    <row r="634" spans="1:12" x14ac:dyDescent="0.45">
      <c r="A634" s="11">
        <v>23.05</v>
      </c>
      <c r="B634" s="14">
        <v>5.6990000000000003E-4</v>
      </c>
      <c r="C634" s="15">
        <v>2.176E-4</v>
      </c>
      <c r="F634" s="28">
        <v>6.09</v>
      </c>
      <c r="G634" s="29">
        <f t="shared" si="36"/>
        <v>61.09</v>
      </c>
      <c r="H634" s="29">
        <f t="shared" si="37"/>
        <v>56.09</v>
      </c>
      <c r="I634" s="38">
        <f t="shared" si="38"/>
        <v>8.6277699999999999E-3</v>
      </c>
      <c r="J634" s="38">
        <f t="shared" si="39"/>
        <v>3.2653299999999999E-3</v>
      </c>
      <c r="K634" s="32">
        <f>K633+StepSize*L633</f>
        <v>655.12980984376145</v>
      </c>
      <c r="L634" s="33">
        <f>K634*Delta+I634*K634-J634*(DeathPayment-K634)</f>
        <v>-108.09555439011169</v>
      </c>
    </row>
    <row r="635" spans="1:12" x14ac:dyDescent="0.45">
      <c r="A635" s="11">
        <v>23.06</v>
      </c>
      <c r="B635" s="14">
        <v>5.6988000000000004E-4</v>
      </c>
      <c r="C635" s="15">
        <v>2.1772E-4</v>
      </c>
      <c r="F635" s="28">
        <v>6.1</v>
      </c>
      <c r="G635" s="29">
        <f t="shared" si="36"/>
        <v>61.1</v>
      </c>
      <c r="H635" s="29">
        <f t="shared" si="37"/>
        <v>56.1</v>
      </c>
      <c r="I635" s="38">
        <f t="shared" si="38"/>
        <v>8.6382999999999998E-3</v>
      </c>
      <c r="J635" s="38">
        <f t="shared" si="39"/>
        <v>3.2686999999999998E-3</v>
      </c>
      <c r="K635" s="32">
        <f>K634+StepSize*L634</f>
        <v>654.0488542998603</v>
      </c>
      <c r="L635" s="33">
        <f>K635*Delta+I635*K635-J635*(DeathPayment-K635)</f>
        <v>-108.34599444348919</v>
      </c>
    </row>
    <row r="636" spans="1:12" x14ac:dyDescent="0.45">
      <c r="A636" s="11">
        <v>23.07</v>
      </c>
      <c r="B636" s="14">
        <v>5.6986000000000005E-4</v>
      </c>
      <c r="C636" s="15">
        <v>2.1783999999999999E-4</v>
      </c>
      <c r="F636" s="28">
        <v>6.11</v>
      </c>
      <c r="G636" s="29">
        <f t="shared" si="36"/>
        <v>61.11</v>
      </c>
      <c r="H636" s="29">
        <f t="shared" si="37"/>
        <v>56.11</v>
      </c>
      <c r="I636" s="38">
        <f t="shared" si="38"/>
        <v>8.6488299999999997E-3</v>
      </c>
      <c r="J636" s="38">
        <f t="shared" si="39"/>
        <v>3.2720700000000002E-3</v>
      </c>
      <c r="K636" s="32">
        <f>K635+StepSize*L635</f>
        <v>652.96539435542536</v>
      </c>
      <c r="L636" s="33">
        <f>K636*Delta+I636*K636-J636*(DeathPayment-K636)</f>
        <v>-108.59667552204262</v>
      </c>
    </row>
    <row r="637" spans="1:12" x14ac:dyDescent="0.45">
      <c r="A637" s="11">
        <v>23.08</v>
      </c>
      <c r="B637" s="14">
        <v>5.6983999999999995E-4</v>
      </c>
      <c r="C637" s="15">
        <v>2.1796000000000001E-4</v>
      </c>
      <c r="F637" s="28">
        <v>6.12</v>
      </c>
      <c r="G637" s="29">
        <f t="shared" si="36"/>
        <v>61.12</v>
      </c>
      <c r="H637" s="29">
        <f t="shared" si="37"/>
        <v>56.12</v>
      </c>
      <c r="I637" s="38">
        <f t="shared" si="38"/>
        <v>8.6593599999999996E-3</v>
      </c>
      <c r="J637" s="38">
        <f t="shared" si="39"/>
        <v>3.2754400000000001E-3</v>
      </c>
      <c r="K637" s="32">
        <f>K636+StepSize*L636</f>
        <v>651.87942760020496</v>
      </c>
      <c r="L637" s="33">
        <f>K637*Delta+I637*K637-J637*(DeathPayment-K637)</f>
        <v>-108.84759793328229</v>
      </c>
    </row>
    <row r="638" spans="1:12" x14ac:dyDescent="0.45">
      <c r="A638" s="11">
        <v>23.09</v>
      </c>
      <c r="B638" s="14">
        <v>5.6981999999999996E-4</v>
      </c>
      <c r="C638" s="15">
        <v>2.1808E-4</v>
      </c>
      <c r="F638" s="28">
        <v>6.13</v>
      </c>
      <c r="G638" s="29">
        <f t="shared" si="36"/>
        <v>61.13</v>
      </c>
      <c r="H638" s="29">
        <f t="shared" si="37"/>
        <v>56.13</v>
      </c>
      <c r="I638" s="38">
        <f t="shared" si="38"/>
        <v>8.6698899999999995E-3</v>
      </c>
      <c r="J638" s="38">
        <f t="shared" si="39"/>
        <v>3.2788100000000001E-3</v>
      </c>
      <c r="K638" s="32">
        <f>K637+StepSize*L637</f>
        <v>650.79095162087219</v>
      </c>
      <c r="L638" s="33">
        <f>K638*Delta+I638*K638-J638*(DeathPayment-K638)</f>
        <v>-109.09876198511178</v>
      </c>
    </row>
    <row r="639" spans="1:12" x14ac:dyDescent="0.45">
      <c r="A639" s="11">
        <v>23.1</v>
      </c>
      <c r="B639" s="14">
        <v>5.6979999999999997E-4</v>
      </c>
      <c r="C639" s="15">
        <v>2.1819999999999999E-4</v>
      </c>
      <c r="F639" s="28">
        <v>6.14</v>
      </c>
      <c r="G639" s="29">
        <f t="shared" si="36"/>
        <v>61.14</v>
      </c>
      <c r="H639" s="29">
        <f t="shared" si="37"/>
        <v>56.14</v>
      </c>
      <c r="I639" s="38">
        <f t="shared" si="38"/>
        <v>8.6804199999999995E-3</v>
      </c>
      <c r="J639" s="38">
        <f t="shared" si="39"/>
        <v>3.28218E-3</v>
      </c>
      <c r="K639" s="32">
        <f>K638+StepSize*L638</f>
        <v>649.69996400102104</v>
      </c>
      <c r="L639" s="33">
        <f>K639*Delta+I639*K639-J639*(DeathPayment-K639)</f>
        <v>-109.35016798582831</v>
      </c>
    </row>
    <row r="640" spans="1:12" x14ac:dyDescent="0.45">
      <c r="A640" s="11">
        <v>23.11</v>
      </c>
      <c r="B640" s="14">
        <v>5.6977999999999998E-4</v>
      </c>
      <c r="C640" s="15">
        <v>2.1832000000000001E-4</v>
      </c>
      <c r="F640" s="28">
        <v>6.15</v>
      </c>
      <c r="G640" s="29">
        <f t="shared" si="36"/>
        <v>61.15</v>
      </c>
      <c r="H640" s="29">
        <f t="shared" si="37"/>
        <v>56.15</v>
      </c>
      <c r="I640" s="38">
        <f t="shared" si="38"/>
        <v>8.6909499999999994E-3</v>
      </c>
      <c r="J640" s="38">
        <f t="shared" si="39"/>
        <v>3.2855499999999999E-3</v>
      </c>
      <c r="K640" s="32">
        <f>K639+StepSize*L639</f>
        <v>648.60646232116278</v>
      </c>
      <c r="L640" s="33">
        <f>K640*Delta+I640*K640-J640*(DeathPayment-K640)</f>
        <v>-109.60181624412327</v>
      </c>
    </row>
    <row r="641" spans="1:12" x14ac:dyDescent="0.45">
      <c r="A641" s="11">
        <v>23.12</v>
      </c>
      <c r="B641" s="14">
        <v>5.6975999999999999E-4</v>
      </c>
      <c r="C641" s="15">
        <v>2.1844E-4</v>
      </c>
      <c r="F641" s="28">
        <v>6.16</v>
      </c>
      <c r="G641" s="29">
        <f t="shared" si="36"/>
        <v>61.16</v>
      </c>
      <c r="H641" s="29">
        <f t="shared" si="37"/>
        <v>56.16</v>
      </c>
      <c r="I641" s="38">
        <f t="shared" si="38"/>
        <v>8.7014799999999993E-3</v>
      </c>
      <c r="J641" s="38">
        <f t="shared" si="39"/>
        <v>3.2889199999999999E-3</v>
      </c>
      <c r="K641" s="32">
        <f>K640+StepSize*L640</f>
        <v>647.5104441587215</v>
      </c>
      <c r="L641" s="33">
        <f>K641*Delta+I641*K641-J641*(DeathPayment-K641)</f>
        <v>-109.85370706908297</v>
      </c>
    </row>
    <row r="642" spans="1:12" x14ac:dyDescent="0.45">
      <c r="A642" s="11">
        <v>23.13</v>
      </c>
      <c r="B642" s="14">
        <v>5.6974E-4</v>
      </c>
      <c r="C642" s="15">
        <v>2.1855999999999999E-4</v>
      </c>
      <c r="F642" s="28">
        <v>6.17</v>
      </c>
      <c r="G642" s="29">
        <f t="shared" si="36"/>
        <v>61.17</v>
      </c>
      <c r="H642" s="29">
        <f t="shared" si="37"/>
        <v>56.17</v>
      </c>
      <c r="I642" s="38">
        <f t="shared" si="38"/>
        <v>8.7120099999999992E-3</v>
      </c>
      <c r="J642" s="38">
        <f t="shared" si="39"/>
        <v>3.2922899999999998E-3</v>
      </c>
      <c r="K642" s="32">
        <f>K641+StepSize*L641</f>
        <v>646.41190708803072</v>
      </c>
      <c r="L642" s="33">
        <f>K642*Delta+I642*K642-J642*(DeathPayment-K642)</f>
        <v>-110.10584077018896</v>
      </c>
    </row>
    <row r="643" spans="1:12" x14ac:dyDescent="0.45">
      <c r="A643" s="11">
        <v>23.14</v>
      </c>
      <c r="B643" s="14">
        <v>5.6972000000000001E-4</v>
      </c>
      <c r="C643" s="15">
        <v>2.1867999999999999E-4</v>
      </c>
      <c r="F643" s="28">
        <v>6.18</v>
      </c>
      <c r="G643" s="29">
        <f t="shared" si="36"/>
        <v>61.18</v>
      </c>
      <c r="H643" s="29">
        <f t="shared" si="37"/>
        <v>56.18</v>
      </c>
      <c r="I643" s="38">
        <f t="shared" si="38"/>
        <v>8.7225400000000008E-3</v>
      </c>
      <c r="J643" s="38">
        <f t="shared" si="39"/>
        <v>3.2956600000000002E-3</v>
      </c>
      <c r="K643" s="32">
        <f>K642+StepSize*L642</f>
        <v>645.31084868032883</v>
      </c>
      <c r="L643" s="33">
        <f>K643*Delta+I643*K643-J643*(DeathPayment-K643)</f>
        <v>-110.35821765731872</v>
      </c>
    </row>
    <row r="644" spans="1:12" x14ac:dyDescent="0.45">
      <c r="A644" s="11">
        <v>23.15</v>
      </c>
      <c r="B644" s="14">
        <v>5.6970000000000002E-4</v>
      </c>
      <c r="C644" s="15">
        <v>2.1880000000000001E-4</v>
      </c>
      <c r="F644" s="28">
        <v>6.19</v>
      </c>
      <c r="G644" s="29">
        <f t="shared" si="36"/>
        <v>61.19</v>
      </c>
      <c r="H644" s="29">
        <f t="shared" si="37"/>
        <v>56.19</v>
      </c>
      <c r="I644" s="38">
        <f t="shared" si="38"/>
        <v>8.7330700000000008E-3</v>
      </c>
      <c r="J644" s="38">
        <f t="shared" si="39"/>
        <v>3.2990300000000001E-3</v>
      </c>
      <c r="K644" s="32">
        <f>K643+StepSize*L643</f>
        <v>644.20726650375559</v>
      </c>
      <c r="L644" s="33">
        <f>K644*Delta+I644*K644-J644*(DeathPayment-K644)</f>
        <v>-110.61083804074607</v>
      </c>
    </row>
    <row r="645" spans="1:12" x14ac:dyDescent="0.45">
      <c r="A645" s="11">
        <v>23.16</v>
      </c>
      <c r="B645" s="14">
        <v>5.6968000000000003E-4</v>
      </c>
      <c r="C645" s="15">
        <v>2.1892E-4</v>
      </c>
      <c r="F645" s="28">
        <v>6.2</v>
      </c>
      <c r="G645" s="29">
        <f t="shared" si="36"/>
        <v>61.2</v>
      </c>
      <c r="H645" s="29">
        <f t="shared" si="37"/>
        <v>56.2</v>
      </c>
      <c r="I645" s="38">
        <f t="shared" si="38"/>
        <v>8.7436000000000007E-3</v>
      </c>
      <c r="J645" s="38">
        <f t="shared" si="39"/>
        <v>3.3024E-3</v>
      </c>
      <c r="K645" s="32">
        <f>K644+StepSize*L644</f>
        <v>643.10115812334811</v>
      </c>
      <c r="L645" s="33">
        <f>K645*Delta+I645*K645-J645*(DeathPayment-K645)</f>
        <v>-110.8637022311419</v>
      </c>
    </row>
    <row r="646" spans="1:12" x14ac:dyDescent="0.45">
      <c r="A646" s="11">
        <v>23.17</v>
      </c>
      <c r="B646" s="14">
        <v>5.6966000000000004E-4</v>
      </c>
      <c r="C646" s="15">
        <v>2.1903999999999999E-4</v>
      </c>
      <c r="F646" s="28">
        <v>6.21</v>
      </c>
      <c r="G646" s="29">
        <f t="shared" si="36"/>
        <v>61.21</v>
      </c>
      <c r="H646" s="29">
        <f t="shared" si="37"/>
        <v>56.21</v>
      </c>
      <c r="I646" s="38">
        <f t="shared" si="38"/>
        <v>8.7541300000000006E-3</v>
      </c>
      <c r="J646" s="38">
        <f t="shared" si="39"/>
        <v>3.30577E-3</v>
      </c>
      <c r="K646" s="32">
        <f>K645+StepSize*L645</f>
        <v>641.99252110103669</v>
      </c>
      <c r="L646" s="33">
        <f>K646*Delta+I646*K646-J646*(DeathPayment-K646)</f>
        <v>-111.11681053957457</v>
      </c>
    </row>
    <row r="647" spans="1:12" x14ac:dyDescent="0.45">
      <c r="A647" s="11">
        <v>23.18</v>
      </c>
      <c r="B647" s="14">
        <v>5.6963999999999995E-4</v>
      </c>
      <c r="C647" s="15">
        <v>2.1916000000000001E-4</v>
      </c>
      <c r="F647" s="28">
        <v>6.22</v>
      </c>
      <c r="G647" s="29">
        <f t="shared" si="36"/>
        <v>61.22</v>
      </c>
      <c r="H647" s="29">
        <f t="shared" si="37"/>
        <v>56.22</v>
      </c>
      <c r="I647" s="38">
        <f t="shared" si="38"/>
        <v>8.7646600000000005E-3</v>
      </c>
      <c r="J647" s="38">
        <f t="shared" si="39"/>
        <v>3.3091399999999999E-3</v>
      </c>
      <c r="K647" s="32">
        <f>K646+StepSize*L646</f>
        <v>640.8813529956409</v>
      </c>
      <c r="L647" s="33">
        <f>K647*Delta+I647*K647-J647*(DeathPayment-K647)</f>
        <v>-111.37016327751061</v>
      </c>
    </row>
    <row r="648" spans="1:12" x14ac:dyDescent="0.45">
      <c r="A648" s="11">
        <v>23.19</v>
      </c>
      <c r="B648" s="14">
        <v>5.6961999999999996E-4</v>
      </c>
      <c r="C648" s="15">
        <v>2.1928E-4</v>
      </c>
      <c r="F648" s="28">
        <v>6.23</v>
      </c>
      <c r="G648" s="29">
        <f t="shared" si="36"/>
        <v>61.23</v>
      </c>
      <c r="H648" s="29">
        <f t="shared" si="37"/>
        <v>56.23</v>
      </c>
      <c r="I648" s="38">
        <f t="shared" si="38"/>
        <v>8.7751900000000004E-3</v>
      </c>
      <c r="J648" s="38">
        <f t="shared" si="39"/>
        <v>3.3125099999999998E-3</v>
      </c>
      <c r="K648" s="32">
        <f>K647+StepSize*L647</f>
        <v>639.76765136286576</v>
      </c>
      <c r="L648" s="33">
        <f>K648*Delta+I648*K648-J648*(DeathPayment-K648)</f>
        <v>-111.62376075681505</v>
      </c>
    </row>
    <row r="649" spans="1:12" x14ac:dyDescent="0.45">
      <c r="A649" s="11">
        <v>23.2</v>
      </c>
      <c r="B649" s="14">
        <v>5.6959999999999997E-4</v>
      </c>
      <c r="C649" s="15">
        <v>2.1939999999999999E-4</v>
      </c>
      <c r="F649" s="28">
        <v>6.24</v>
      </c>
      <c r="G649" s="29">
        <f t="shared" si="36"/>
        <v>61.24</v>
      </c>
      <c r="H649" s="29">
        <f t="shared" si="37"/>
        <v>56.24</v>
      </c>
      <c r="I649" s="38">
        <f t="shared" si="38"/>
        <v>8.7857200000000003E-3</v>
      </c>
      <c r="J649" s="38">
        <f t="shared" si="39"/>
        <v>3.3158800000000002E-3</v>
      </c>
      <c r="K649" s="32">
        <f>K648+StepSize*L648</f>
        <v>638.65141375529765</v>
      </c>
      <c r="L649" s="33">
        <f>K649*Delta+I649*K649-J649*(DeathPayment-K649)</f>
        <v>-111.87760328975227</v>
      </c>
    </row>
    <row r="650" spans="1:12" x14ac:dyDescent="0.45">
      <c r="A650" s="11">
        <v>23.21</v>
      </c>
      <c r="B650" s="14">
        <v>5.6957999999999998E-4</v>
      </c>
      <c r="C650" s="15">
        <v>2.1952000000000001E-4</v>
      </c>
      <c r="F650" s="28">
        <v>6.25</v>
      </c>
      <c r="G650" s="29">
        <f t="shared" si="36"/>
        <v>61.25</v>
      </c>
      <c r="H650" s="29">
        <f t="shared" si="37"/>
        <v>56.25</v>
      </c>
      <c r="I650" s="38">
        <f t="shared" si="38"/>
        <v>8.7962500000000002E-3</v>
      </c>
      <c r="J650" s="38">
        <f t="shared" si="39"/>
        <v>3.3192500000000002E-3</v>
      </c>
      <c r="K650" s="32">
        <f>K649+StepSize*L649</f>
        <v>637.53263772240018</v>
      </c>
      <c r="L650" s="33">
        <f>K650*Delta+I650*K650-J650*(DeathPayment-K650)</f>
        <v>-112.1316911889862</v>
      </c>
    </row>
    <row r="651" spans="1:12" x14ac:dyDescent="0.45">
      <c r="A651" s="11">
        <v>23.22</v>
      </c>
      <c r="B651" s="14">
        <v>5.6955999999999999E-4</v>
      </c>
      <c r="C651" s="15">
        <v>2.1964E-4</v>
      </c>
      <c r="F651" s="28">
        <v>6.26</v>
      </c>
      <c r="G651" s="29">
        <f t="shared" si="36"/>
        <v>61.26</v>
      </c>
      <c r="H651" s="29">
        <f t="shared" si="37"/>
        <v>56.26</v>
      </c>
      <c r="I651" s="38">
        <f t="shared" si="38"/>
        <v>8.8067800000000002E-3</v>
      </c>
      <c r="J651" s="38">
        <f t="shared" si="39"/>
        <v>3.3226200000000001E-3</v>
      </c>
      <c r="K651" s="32">
        <f>K650+StepSize*L650</f>
        <v>636.41132081051035</v>
      </c>
      <c r="L651" s="33">
        <f>K651*Delta+I651*K651-J651*(DeathPayment-K651)</f>
        <v>-112.38602476758125</v>
      </c>
    </row>
    <row r="652" spans="1:12" x14ac:dyDescent="0.45">
      <c r="A652" s="11">
        <v>23.23</v>
      </c>
      <c r="B652" s="14">
        <v>5.6954E-4</v>
      </c>
      <c r="C652" s="15">
        <v>2.1976E-4</v>
      </c>
      <c r="F652" s="28">
        <v>6.27</v>
      </c>
      <c r="G652" s="29">
        <f t="shared" si="36"/>
        <v>61.27</v>
      </c>
      <c r="H652" s="29">
        <f t="shared" si="37"/>
        <v>56.27</v>
      </c>
      <c r="I652" s="38">
        <f t="shared" si="38"/>
        <v>8.8173100000000001E-3</v>
      </c>
      <c r="J652" s="38">
        <f t="shared" si="39"/>
        <v>3.32599E-3</v>
      </c>
      <c r="K652" s="32">
        <f>K651+StepSize*L651</f>
        <v>635.28746056283455</v>
      </c>
      <c r="L652" s="33">
        <f>K652*Delta+I652*K652-J652*(DeathPayment-K652)</f>
        <v>-112.64060433900254</v>
      </c>
    </row>
    <row r="653" spans="1:12" x14ac:dyDescent="0.45">
      <c r="A653" s="11">
        <v>23.24</v>
      </c>
      <c r="B653" s="14">
        <v>5.6952000000000001E-4</v>
      </c>
      <c r="C653" s="15">
        <v>2.1987999999999999E-4</v>
      </c>
      <c r="F653" s="28">
        <v>6.28</v>
      </c>
      <c r="G653" s="29">
        <f t="shared" si="36"/>
        <v>61.28</v>
      </c>
      <c r="H653" s="29">
        <f t="shared" si="37"/>
        <v>56.28</v>
      </c>
      <c r="I653" s="38">
        <f t="shared" si="38"/>
        <v>8.82784E-3</v>
      </c>
      <c r="J653" s="38">
        <f t="shared" si="39"/>
        <v>3.32936E-3</v>
      </c>
      <c r="K653" s="32">
        <f>K652+StepSize*L652</f>
        <v>634.16105451944452</v>
      </c>
      <c r="L653" s="33">
        <f>K653*Delta+I653*K653-J653*(DeathPayment-K653)</f>
        <v>-112.89543021711667</v>
      </c>
    </row>
    <row r="654" spans="1:12" x14ac:dyDescent="0.45">
      <c r="A654" s="11">
        <v>23.25</v>
      </c>
      <c r="B654" s="14">
        <v>5.6950000000000002E-4</v>
      </c>
      <c r="C654" s="15">
        <v>2.2000000000000001E-4</v>
      </c>
      <c r="F654" s="28">
        <v>6.29</v>
      </c>
      <c r="G654" s="29">
        <f t="shared" si="36"/>
        <v>61.29</v>
      </c>
      <c r="H654" s="29">
        <f t="shared" si="37"/>
        <v>56.29</v>
      </c>
      <c r="I654" s="38">
        <f t="shared" si="38"/>
        <v>8.8383699999999999E-3</v>
      </c>
      <c r="J654" s="38">
        <f t="shared" si="39"/>
        <v>3.3327299999999999E-3</v>
      </c>
      <c r="K654" s="32">
        <f>K653+StepSize*L653</f>
        <v>633.0321002172733</v>
      </c>
      <c r="L654" s="33">
        <f>K654*Delta+I654*K654-J654*(DeathPayment-K654)</f>
        <v>-113.15050271619218</v>
      </c>
    </row>
    <row r="655" spans="1:12" x14ac:dyDescent="0.45">
      <c r="A655" s="11">
        <v>23.26</v>
      </c>
      <c r="B655" s="14">
        <v>5.6948000000000003E-4</v>
      </c>
      <c r="C655" s="15">
        <v>2.2012E-4</v>
      </c>
      <c r="F655" s="28">
        <v>6.3</v>
      </c>
      <c r="G655" s="29">
        <f t="shared" si="36"/>
        <v>61.3</v>
      </c>
      <c r="H655" s="29">
        <f t="shared" si="37"/>
        <v>56.3</v>
      </c>
      <c r="I655" s="38">
        <f t="shared" si="38"/>
        <v>8.8488999999999998E-3</v>
      </c>
      <c r="J655" s="38">
        <f t="shared" si="39"/>
        <v>3.3360999999999998E-3</v>
      </c>
      <c r="K655" s="32">
        <f>K654+StepSize*L654</f>
        <v>631.9005951901114</v>
      </c>
      <c r="L655" s="33">
        <f>K655*Delta+I655*K655-J655*(DeathPayment-K655)</f>
        <v>-113.40582215090012</v>
      </c>
    </row>
    <row r="656" spans="1:12" x14ac:dyDescent="0.45">
      <c r="A656" s="11">
        <v>23.27</v>
      </c>
      <c r="B656" s="14">
        <v>5.6946000000000004E-4</v>
      </c>
      <c r="C656" s="15">
        <v>2.2023999999999999E-4</v>
      </c>
      <c r="F656" s="28">
        <v>6.31</v>
      </c>
      <c r="G656" s="29">
        <f t="shared" si="36"/>
        <v>61.31</v>
      </c>
      <c r="H656" s="29">
        <f t="shared" si="37"/>
        <v>56.31</v>
      </c>
      <c r="I656" s="38">
        <f t="shared" si="38"/>
        <v>8.8594299999999997E-3</v>
      </c>
      <c r="J656" s="38">
        <f t="shared" si="39"/>
        <v>3.3394700000000002E-3</v>
      </c>
      <c r="K656" s="32">
        <f>K655+StepSize*L655</f>
        <v>630.7665369686024</v>
      </c>
      <c r="L656" s="33">
        <f>K656*Delta+I656*K656-J656*(DeathPayment-K656)</f>
        <v>-113.66138883631473</v>
      </c>
    </row>
    <row r="657" spans="1:12" x14ac:dyDescent="0.45">
      <c r="A657" s="11">
        <v>23.28</v>
      </c>
      <c r="B657" s="14">
        <v>5.6944000000000005E-4</v>
      </c>
      <c r="C657" s="15">
        <v>2.2036000000000001E-4</v>
      </c>
      <c r="F657" s="28">
        <v>6.32</v>
      </c>
      <c r="G657" s="29">
        <f t="shared" si="36"/>
        <v>61.32</v>
      </c>
      <c r="H657" s="29">
        <f t="shared" si="37"/>
        <v>56.32</v>
      </c>
      <c r="I657" s="38">
        <f t="shared" si="38"/>
        <v>8.8699599999999997E-3</v>
      </c>
      <c r="J657" s="38">
        <f t="shared" si="39"/>
        <v>3.3428400000000001E-3</v>
      </c>
      <c r="K657" s="32">
        <f>K656+StepSize*L656</f>
        <v>629.62992308023922</v>
      </c>
      <c r="L657" s="33">
        <f>K657*Delta+I657*K657-J657*(DeathPayment-K657)</f>
        <v>-113.91720308791369</v>
      </c>
    </row>
    <row r="658" spans="1:12" x14ac:dyDescent="0.45">
      <c r="A658" s="11">
        <v>23.29</v>
      </c>
      <c r="B658" s="14">
        <v>5.6941999999999995E-4</v>
      </c>
      <c r="C658" s="15">
        <v>2.2048E-4</v>
      </c>
      <c r="F658" s="28">
        <v>6.33</v>
      </c>
      <c r="G658" s="29">
        <f t="shared" si="36"/>
        <v>61.33</v>
      </c>
      <c r="H658" s="29">
        <f t="shared" si="37"/>
        <v>56.33</v>
      </c>
      <c r="I658" s="38">
        <f t="shared" si="38"/>
        <v>8.8804899999999996E-3</v>
      </c>
      <c r="J658" s="38">
        <f t="shared" si="39"/>
        <v>3.3462100000000001E-3</v>
      </c>
      <c r="K658" s="32">
        <f>K657+StepSize*L657</f>
        <v>628.49075104936014</v>
      </c>
      <c r="L658" s="33">
        <f>K658*Delta+I658*K658-J658*(DeathPayment-K658)</f>
        <v>-114.17326522157902</v>
      </c>
    </row>
    <row r="659" spans="1:12" x14ac:dyDescent="0.45">
      <c r="A659" s="11">
        <v>23.3</v>
      </c>
      <c r="B659" s="14">
        <v>5.6939999999999996E-4</v>
      </c>
      <c r="C659" s="15">
        <v>2.206E-4</v>
      </c>
      <c r="F659" s="28">
        <v>6.34</v>
      </c>
      <c r="G659" s="29">
        <f t="shared" si="36"/>
        <v>61.34</v>
      </c>
      <c r="H659" s="29">
        <f t="shared" si="37"/>
        <v>56.34</v>
      </c>
      <c r="I659" s="38">
        <f t="shared" si="38"/>
        <v>8.8910199999999995E-3</v>
      </c>
      <c r="J659" s="38">
        <f t="shared" si="39"/>
        <v>3.34958E-3</v>
      </c>
      <c r="K659" s="32">
        <f>K658+StepSize*L658</f>
        <v>627.34901839714439</v>
      </c>
      <c r="L659" s="33">
        <f>K659*Delta+I659*K659-J659*(DeathPayment-K659)</f>
        <v>-114.42957555359743</v>
      </c>
    </row>
    <row r="660" spans="1:12" x14ac:dyDescent="0.45">
      <c r="A660" s="11">
        <v>23.31</v>
      </c>
      <c r="B660" s="14">
        <v>5.6937999999999997E-4</v>
      </c>
      <c r="C660" s="15">
        <v>2.2071999999999999E-4</v>
      </c>
      <c r="F660" s="28">
        <v>6.35</v>
      </c>
      <c r="G660" s="29">
        <f t="shared" si="36"/>
        <v>61.35</v>
      </c>
      <c r="H660" s="29">
        <f t="shared" si="37"/>
        <v>56.35</v>
      </c>
      <c r="I660" s="38">
        <f t="shared" si="38"/>
        <v>8.9015499999999994E-3</v>
      </c>
      <c r="J660" s="38">
        <f t="shared" si="39"/>
        <v>3.3529499999999999E-3</v>
      </c>
      <c r="K660" s="32">
        <f>K659+StepSize*L659</f>
        <v>626.20472264160844</v>
      </c>
      <c r="L660" s="33">
        <f>K660*Delta+I660*K660-J660*(DeathPayment-K660)</f>
        <v>-114.68613440066102</v>
      </c>
    </row>
    <row r="661" spans="1:12" x14ac:dyDescent="0.45">
      <c r="A661" s="11">
        <v>23.32</v>
      </c>
      <c r="B661" s="14">
        <v>5.6935999999999998E-4</v>
      </c>
      <c r="C661" s="15">
        <v>2.2084000000000001E-4</v>
      </c>
      <c r="F661" s="28">
        <v>6.36</v>
      </c>
      <c r="G661" s="29">
        <f t="shared" si="36"/>
        <v>61.36</v>
      </c>
      <c r="H661" s="29">
        <f t="shared" si="37"/>
        <v>56.36</v>
      </c>
      <c r="I661" s="38">
        <f t="shared" si="38"/>
        <v>8.9120799999999993E-3</v>
      </c>
      <c r="J661" s="38">
        <f t="shared" si="39"/>
        <v>3.3563199999999999E-3</v>
      </c>
      <c r="K661" s="32">
        <f>K660+StepSize*L660</f>
        <v>625.05786129760179</v>
      </c>
      <c r="L661" s="33">
        <f>K661*Delta+I661*K661-J661*(DeathPayment-K661)</f>
        <v>-114.94294207986778</v>
      </c>
    </row>
    <row r="662" spans="1:12" x14ac:dyDescent="0.45">
      <c r="A662" s="11">
        <v>23.33</v>
      </c>
      <c r="B662" s="14">
        <v>5.6933999999999999E-4</v>
      </c>
      <c r="C662" s="15">
        <v>2.2096E-4</v>
      </c>
      <c r="F662" s="28">
        <v>6.37</v>
      </c>
      <c r="G662" s="29">
        <f t="shared" si="36"/>
        <v>61.37</v>
      </c>
      <c r="H662" s="29">
        <f t="shared" si="37"/>
        <v>56.37</v>
      </c>
      <c r="I662" s="38">
        <f t="shared" si="38"/>
        <v>8.9226099999999992E-3</v>
      </c>
      <c r="J662" s="38">
        <f t="shared" si="39"/>
        <v>3.3596899999999998E-3</v>
      </c>
      <c r="K662" s="32">
        <f>K661+StepSize*L661</f>
        <v>623.90843187680309</v>
      </c>
      <c r="L662" s="33">
        <f>K662*Delta+I662*K662-J662*(DeathPayment-K662)</f>
        <v>-115.19999890872208</v>
      </c>
    </row>
    <row r="663" spans="1:12" x14ac:dyDescent="0.45">
      <c r="A663" s="11">
        <v>23.34</v>
      </c>
      <c r="B663" s="14">
        <v>5.6932E-4</v>
      </c>
      <c r="C663" s="15">
        <v>2.2107999999999999E-4</v>
      </c>
      <c r="F663" s="28">
        <v>6.38</v>
      </c>
      <c r="G663" s="29">
        <f t="shared" si="36"/>
        <v>61.38</v>
      </c>
      <c r="H663" s="29">
        <f t="shared" si="37"/>
        <v>56.38</v>
      </c>
      <c r="I663" s="38">
        <f t="shared" si="38"/>
        <v>8.9331399999999991E-3</v>
      </c>
      <c r="J663" s="38">
        <f t="shared" si="39"/>
        <v>3.3630600000000002E-3</v>
      </c>
      <c r="K663" s="32">
        <f>K662+StepSize*L662</f>
        <v>622.75643188771585</v>
      </c>
      <c r="L663" s="33">
        <f>K663*Delta+I663*K663-J663*(DeathPayment-K663)</f>
        <v>-115.45730520513533</v>
      </c>
    </row>
    <row r="664" spans="1:12" x14ac:dyDescent="0.45">
      <c r="A664" s="11">
        <v>23.35</v>
      </c>
      <c r="B664" s="14">
        <v>5.6930000000000001E-4</v>
      </c>
      <c r="C664" s="15">
        <v>2.2120000000000001E-4</v>
      </c>
      <c r="F664" s="28">
        <v>6.39</v>
      </c>
      <c r="G664" s="29">
        <f t="shared" si="36"/>
        <v>61.39</v>
      </c>
      <c r="H664" s="29">
        <f t="shared" si="37"/>
        <v>56.39</v>
      </c>
      <c r="I664" s="38">
        <f t="shared" si="38"/>
        <v>8.9436700000000008E-3</v>
      </c>
      <c r="J664" s="38">
        <f t="shared" si="39"/>
        <v>3.3664300000000001E-3</v>
      </c>
      <c r="K664" s="32">
        <f>K663+StepSize*L663</f>
        <v>621.60185883566453</v>
      </c>
      <c r="L664" s="33">
        <f>K664*Delta+I664*K664-J664*(DeathPayment-K664)</f>
        <v>-115.71486128742649</v>
      </c>
    </row>
    <row r="665" spans="1:12" x14ac:dyDescent="0.45">
      <c r="A665" s="11">
        <v>23.36</v>
      </c>
      <c r="B665" s="14">
        <v>5.6928000000000002E-4</v>
      </c>
      <c r="C665" s="15">
        <v>2.2132E-4</v>
      </c>
      <c r="F665" s="28">
        <v>6.4</v>
      </c>
      <c r="G665" s="29">
        <f t="shared" ref="G665:G728" si="40">ROUND(MaleAgeStart+F665,2)</f>
        <v>61.4</v>
      </c>
      <c r="H665" s="29">
        <f t="shared" ref="H665:H728" si="41">ROUND(FemaleAgeStart+F665,2)</f>
        <v>56.4</v>
      </c>
      <c r="I665" s="38">
        <f t="shared" ref="I665:I728" si="42">VLOOKUP(G665,muValues,2,FALSE)</f>
        <v>8.9542000000000007E-3</v>
      </c>
      <c r="J665" s="38">
        <f t="shared" ref="J665:J728" si="43">VLOOKUP(H665,muValues,3,FALSE)</f>
        <v>3.3698000000000001E-3</v>
      </c>
      <c r="K665" s="32">
        <f>K664+StepSize*L664</f>
        <v>620.44471022279026</v>
      </c>
      <c r="L665" s="33">
        <f>K665*Delta+I665*K665-J665*(DeathPayment-K665)</f>
        <v>-115.97266747432273</v>
      </c>
    </row>
    <row r="666" spans="1:12" x14ac:dyDescent="0.45">
      <c r="A666" s="11">
        <v>23.37</v>
      </c>
      <c r="B666" s="14">
        <v>5.6926000000000004E-4</v>
      </c>
      <c r="C666" s="15">
        <v>2.2143999999999999E-4</v>
      </c>
      <c r="F666" s="28">
        <v>6.41</v>
      </c>
      <c r="G666" s="29">
        <f t="shared" si="40"/>
        <v>61.41</v>
      </c>
      <c r="H666" s="29">
        <f t="shared" si="41"/>
        <v>56.41</v>
      </c>
      <c r="I666" s="38">
        <f t="shared" si="42"/>
        <v>8.9647300000000006E-3</v>
      </c>
      <c r="J666" s="38">
        <f t="shared" si="43"/>
        <v>3.37317E-3</v>
      </c>
      <c r="K666" s="32">
        <f>K665+StepSize*L665</f>
        <v>619.28498354804708</v>
      </c>
      <c r="L666" s="33">
        <f>K666*Delta+I666*K666-J666*(DeathPayment-K666)</f>
        <v>-116.23072408495993</v>
      </c>
    </row>
    <row r="667" spans="1:12" x14ac:dyDescent="0.45">
      <c r="A667" s="11">
        <v>23.38</v>
      </c>
      <c r="B667" s="14">
        <v>5.6924000000000005E-4</v>
      </c>
      <c r="C667" s="15">
        <v>2.2156000000000001E-4</v>
      </c>
      <c r="F667" s="28">
        <v>6.42</v>
      </c>
      <c r="G667" s="29">
        <f t="shared" si="40"/>
        <v>61.42</v>
      </c>
      <c r="H667" s="29">
        <f t="shared" si="41"/>
        <v>56.42</v>
      </c>
      <c r="I667" s="38">
        <f t="shared" si="42"/>
        <v>8.9752600000000005E-3</v>
      </c>
      <c r="J667" s="38">
        <f t="shared" si="43"/>
        <v>3.3765399999999999E-3</v>
      </c>
      <c r="K667" s="32">
        <f>K666+StepSize*L666</f>
        <v>618.12267630719748</v>
      </c>
      <c r="L667" s="33">
        <f>K667*Delta+I667*K667-J667*(DeathPayment-K667)</f>
        <v>-116.48903143888317</v>
      </c>
    </row>
    <row r="668" spans="1:12" x14ac:dyDescent="0.45">
      <c r="A668" s="11">
        <v>23.39</v>
      </c>
      <c r="B668" s="14">
        <v>5.6921999999999995E-4</v>
      </c>
      <c r="C668" s="15">
        <v>2.2168000000000001E-4</v>
      </c>
      <c r="F668" s="28">
        <v>6.43</v>
      </c>
      <c r="G668" s="29">
        <f t="shared" si="40"/>
        <v>61.43</v>
      </c>
      <c r="H668" s="29">
        <f t="shared" si="41"/>
        <v>56.43</v>
      </c>
      <c r="I668" s="38">
        <f t="shared" si="42"/>
        <v>8.9857900000000004E-3</v>
      </c>
      <c r="J668" s="38">
        <f t="shared" si="43"/>
        <v>3.3799099999999999E-3</v>
      </c>
      <c r="K668" s="32">
        <f>K667+StepSize*L667</f>
        <v>616.95778599280868</v>
      </c>
      <c r="L668" s="33">
        <f>K668*Delta+I668*K668-J668*(DeathPayment-K668)</f>
        <v>-116.74758985604743</v>
      </c>
    </row>
    <row r="669" spans="1:12" x14ac:dyDescent="0.45">
      <c r="A669" s="11">
        <v>23.4</v>
      </c>
      <c r="B669" s="14">
        <v>5.6919999999999996E-4</v>
      </c>
      <c r="C669" s="15">
        <v>2.218E-4</v>
      </c>
      <c r="F669" s="28">
        <v>6.44</v>
      </c>
      <c r="G669" s="29">
        <f t="shared" si="40"/>
        <v>61.44</v>
      </c>
      <c r="H669" s="29">
        <f t="shared" si="41"/>
        <v>56.44</v>
      </c>
      <c r="I669" s="38">
        <f t="shared" si="42"/>
        <v>8.9963200000000004E-3</v>
      </c>
      <c r="J669" s="38">
        <f t="shared" si="43"/>
        <v>3.3832799999999998E-3</v>
      </c>
      <c r="K669" s="32">
        <f>K668+StepSize*L668</f>
        <v>615.79031009424818</v>
      </c>
      <c r="L669" s="33">
        <f>K669*Delta+I669*K669-J669*(DeathPayment-K669)</f>
        <v>-117.0063996568181</v>
      </c>
    </row>
    <row r="670" spans="1:12" x14ac:dyDescent="0.45">
      <c r="A670" s="11">
        <v>23.41</v>
      </c>
      <c r="B670" s="14">
        <v>5.6917999999999997E-4</v>
      </c>
      <c r="C670" s="15">
        <v>2.2191999999999999E-4</v>
      </c>
      <c r="F670" s="28">
        <v>6.45</v>
      </c>
      <c r="G670" s="29">
        <f t="shared" si="40"/>
        <v>61.45</v>
      </c>
      <c r="H670" s="29">
        <f t="shared" si="41"/>
        <v>56.45</v>
      </c>
      <c r="I670" s="38">
        <f t="shared" si="42"/>
        <v>9.0068500000000003E-3</v>
      </c>
      <c r="J670" s="38">
        <f t="shared" si="43"/>
        <v>3.3866500000000002E-3</v>
      </c>
      <c r="K670" s="32">
        <f>K669+StepSize*L669</f>
        <v>614.62024609768002</v>
      </c>
      <c r="L670" s="33">
        <f>K670*Delta+I670*K670-J670*(DeathPayment-K670)</f>
        <v>-117.26546116197161</v>
      </c>
    </row>
    <row r="671" spans="1:12" x14ac:dyDescent="0.45">
      <c r="A671" s="11">
        <v>23.42</v>
      </c>
      <c r="B671" s="14">
        <v>5.6915999999999998E-4</v>
      </c>
      <c r="C671" s="15">
        <v>2.2204000000000001E-4</v>
      </c>
      <c r="F671" s="28">
        <v>6.46</v>
      </c>
      <c r="G671" s="29">
        <f t="shared" si="40"/>
        <v>61.46</v>
      </c>
      <c r="H671" s="29">
        <f t="shared" si="41"/>
        <v>56.46</v>
      </c>
      <c r="I671" s="38">
        <f t="shared" si="42"/>
        <v>9.0173800000000002E-3</v>
      </c>
      <c r="J671" s="38">
        <f t="shared" si="43"/>
        <v>3.3900200000000001E-3</v>
      </c>
      <c r="K671" s="32">
        <f>K670+StepSize*L670</f>
        <v>613.44759148606033</v>
      </c>
      <c r="L671" s="33">
        <f>K671*Delta+I671*K671-J671*(DeathPayment-K671)</f>
        <v>-117.52477469269579</v>
      </c>
    </row>
    <row r="672" spans="1:12" x14ac:dyDescent="0.45">
      <c r="A672" s="11">
        <v>23.43</v>
      </c>
      <c r="B672" s="14">
        <v>5.6913999999999999E-4</v>
      </c>
      <c r="C672" s="15">
        <v>2.2216E-4</v>
      </c>
      <c r="F672" s="28">
        <v>6.47</v>
      </c>
      <c r="G672" s="29">
        <f t="shared" si="40"/>
        <v>61.47</v>
      </c>
      <c r="H672" s="29">
        <f t="shared" si="41"/>
        <v>56.47</v>
      </c>
      <c r="I672" s="38">
        <f t="shared" si="42"/>
        <v>9.0279100000000001E-3</v>
      </c>
      <c r="J672" s="38">
        <f t="shared" si="43"/>
        <v>3.39339E-3</v>
      </c>
      <c r="K672" s="32">
        <f>K671+StepSize*L671</f>
        <v>612.27234373913336</v>
      </c>
      <c r="L672" s="33">
        <f>K672*Delta+I672*K672-J672*(DeathPayment-K672)</f>
        <v>-117.78434057059077</v>
      </c>
    </row>
    <row r="673" spans="1:12" x14ac:dyDescent="0.45">
      <c r="A673" s="11">
        <v>23.44</v>
      </c>
      <c r="B673" s="14">
        <v>5.6912E-4</v>
      </c>
      <c r="C673" s="15">
        <v>2.2227999999999999E-4</v>
      </c>
      <c r="F673" s="28">
        <v>6.48</v>
      </c>
      <c r="G673" s="29">
        <f t="shared" si="40"/>
        <v>61.48</v>
      </c>
      <c r="H673" s="29">
        <f t="shared" si="41"/>
        <v>56.48</v>
      </c>
      <c r="I673" s="38">
        <f t="shared" si="42"/>
        <v>9.03844E-3</v>
      </c>
      <c r="J673" s="38">
        <f t="shared" si="43"/>
        <v>3.39676E-3</v>
      </c>
      <c r="K673" s="32">
        <f>K672+StepSize*L672</f>
        <v>611.0945003334275</v>
      </c>
      <c r="L673" s="33">
        <f>K673*Delta+I673*K673-J673*(DeathPayment-K673)</f>
        <v>-118.04415911766927</v>
      </c>
    </row>
    <row r="674" spans="1:12" x14ac:dyDescent="0.45">
      <c r="A674" s="11">
        <v>23.45</v>
      </c>
      <c r="B674" s="14">
        <v>5.6910000000000001E-4</v>
      </c>
      <c r="C674" s="15">
        <v>2.2240000000000001E-4</v>
      </c>
      <c r="F674" s="28">
        <v>6.49</v>
      </c>
      <c r="G674" s="29">
        <f t="shared" si="40"/>
        <v>61.49</v>
      </c>
      <c r="H674" s="29">
        <f t="shared" si="41"/>
        <v>56.49</v>
      </c>
      <c r="I674" s="38">
        <f t="shared" si="42"/>
        <v>9.0489699999999999E-3</v>
      </c>
      <c r="J674" s="38">
        <f t="shared" si="43"/>
        <v>3.4001299999999999E-3</v>
      </c>
      <c r="K674" s="32">
        <f>K673+StepSize*L673</f>
        <v>609.91405874225086</v>
      </c>
      <c r="L674" s="33">
        <f>K674*Delta+I674*K674-J674*(DeathPayment-K674)</f>
        <v>-118.30423065635733</v>
      </c>
    </row>
    <row r="675" spans="1:12" x14ac:dyDescent="0.45">
      <c r="A675" s="11">
        <v>23.46</v>
      </c>
      <c r="B675" s="14">
        <v>5.6908000000000002E-4</v>
      </c>
      <c r="C675" s="15">
        <v>2.2252E-4</v>
      </c>
      <c r="F675" s="28">
        <v>6.5</v>
      </c>
      <c r="G675" s="29">
        <f t="shared" si="40"/>
        <v>61.5</v>
      </c>
      <c r="H675" s="29">
        <f t="shared" si="41"/>
        <v>56.5</v>
      </c>
      <c r="I675" s="38">
        <f t="shared" si="42"/>
        <v>9.0594999999999998E-3</v>
      </c>
      <c r="J675" s="38">
        <f t="shared" si="43"/>
        <v>3.4034999999999998E-3</v>
      </c>
      <c r="K675" s="32">
        <f>K674+StepSize*L674</f>
        <v>608.73101643568725</v>
      </c>
      <c r="L675" s="33">
        <f>K675*Delta+I675*K675-J675*(DeathPayment-K675)</f>
        <v>-118.56455550949487</v>
      </c>
    </row>
    <row r="676" spans="1:12" x14ac:dyDescent="0.45">
      <c r="A676" s="11">
        <v>23.47</v>
      </c>
      <c r="B676" s="14">
        <v>5.6906000000000003E-4</v>
      </c>
      <c r="C676" s="15">
        <v>2.2264E-4</v>
      </c>
      <c r="F676" s="28">
        <v>6.51</v>
      </c>
      <c r="G676" s="29">
        <f t="shared" si="40"/>
        <v>61.51</v>
      </c>
      <c r="H676" s="29">
        <f t="shared" si="41"/>
        <v>56.51</v>
      </c>
      <c r="I676" s="38">
        <f t="shared" si="42"/>
        <v>9.0700299999999998E-3</v>
      </c>
      <c r="J676" s="38">
        <f t="shared" si="43"/>
        <v>3.4068700000000002E-3</v>
      </c>
      <c r="K676" s="32">
        <f>K675+StepSize*L675</f>
        <v>607.54537088059226</v>
      </c>
      <c r="L676" s="33">
        <f>K676*Delta+I676*K676-J676*(DeathPayment-K676)</f>
        <v>-118.82513400033622</v>
      </c>
    </row>
    <row r="677" spans="1:12" x14ac:dyDescent="0.45">
      <c r="A677" s="11">
        <v>23.48</v>
      </c>
      <c r="B677" s="14">
        <v>5.6904000000000004E-4</v>
      </c>
      <c r="C677" s="15">
        <v>2.2275999999999999E-4</v>
      </c>
      <c r="F677" s="28">
        <v>6.52</v>
      </c>
      <c r="G677" s="29">
        <f t="shared" si="40"/>
        <v>61.52</v>
      </c>
      <c r="H677" s="29">
        <f t="shared" si="41"/>
        <v>56.52</v>
      </c>
      <c r="I677" s="38">
        <f t="shared" si="42"/>
        <v>9.0805599999999997E-3</v>
      </c>
      <c r="J677" s="38">
        <f t="shared" si="43"/>
        <v>3.4102400000000001E-3</v>
      </c>
      <c r="K677" s="32">
        <f>K676+StepSize*L676</f>
        <v>606.35711954058888</v>
      </c>
      <c r="L677" s="33">
        <f>K677*Delta+I677*K677-J677*(DeathPayment-K677)</f>
        <v>-119.08596645255062</v>
      </c>
    </row>
    <row r="678" spans="1:12" x14ac:dyDescent="0.45">
      <c r="A678" s="11">
        <v>23.49</v>
      </c>
      <c r="B678" s="14">
        <v>5.6902000000000005E-4</v>
      </c>
      <c r="C678" s="15">
        <v>2.2288000000000001E-4</v>
      </c>
      <c r="F678" s="28">
        <v>6.53</v>
      </c>
      <c r="G678" s="29">
        <f t="shared" si="40"/>
        <v>61.53</v>
      </c>
      <c r="H678" s="29">
        <f t="shared" si="41"/>
        <v>56.53</v>
      </c>
      <c r="I678" s="38">
        <f t="shared" si="42"/>
        <v>9.0910899999999996E-3</v>
      </c>
      <c r="J678" s="38">
        <f t="shared" si="43"/>
        <v>3.4136100000000001E-3</v>
      </c>
      <c r="K678" s="32">
        <f>K677+StepSize*L677</f>
        <v>605.16625987606335</v>
      </c>
      <c r="L678" s="33">
        <f>K678*Delta+I678*K678-J678*(DeathPayment-K678)</f>
        <v>-119.34705319022295</v>
      </c>
    </row>
    <row r="679" spans="1:12" x14ac:dyDescent="0.45">
      <c r="A679" s="11">
        <v>23.5</v>
      </c>
      <c r="B679" s="14">
        <v>5.6899999999999995E-4</v>
      </c>
      <c r="C679" s="15">
        <v>2.23E-4</v>
      </c>
      <c r="F679" s="28">
        <v>6.54</v>
      </c>
      <c r="G679" s="29">
        <f t="shared" si="40"/>
        <v>61.54</v>
      </c>
      <c r="H679" s="29">
        <f t="shared" si="41"/>
        <v>56.54</v>
      </c>
      <c r="I679" s="38">
        <f t="shared" si="42"/>
        <v>9.1016199999999995E-3</v>
      </c>
      <c r="J679" s="38">
        <f t="shared" si="43"/>
        <v>3.41698E-3</v>
      </c>
      <c r="K679" s="32">
        <f>K678+StepSize*L678</f>
        <v>603.97278934416113</v>
      </c>
      <c r="L679" s="33">
        <f>K679*Delta+I679*K679-J679*(DeathPayment-K679)</f>
        <v>-119.60839453785434</v>
      </c>
    </row>
    <row r="680" spans="1:12" x14ac:dyDescent="0.45">
      <c r="A680" s="11">
        <v>23.51</v>
      </c>
      <c r="B680" s="14">
        <v>5.6897999999999996E-4</v>
      </c>
      <c r="C680" s="15">
        <v>2.2311999999999999E-4</v>
      </c>
      <c r="F680" s="28">
        <v>6.55</v>
      </c>
      <c r="G680" s="29">
        <f t="shared" si="40"/>
        <v>61.55</v>
      </c>
      <c r="H680" s="29">
        <f t="shared" si="41"/>
        <v>56.55</v>
      </c>
      <c r="I680" s="38">
        <f t="shared" si="42"/>
        <v>9.1121499999999994E-3</v>
      </c>
      <c r="J680" s="38">
        <f t="shared" si="43"/>
        <v>3.42035E-3</v>
      </c>
      <c r="K680" s="32">
        <f>K679+StepSize*L679</f>
        <v>602.77670539878261</v>
      </c>
      <c r="L680" s="33">
        <f>K680*Delta+I680*K680-J680*(DeathPayment-K680)</f>
        <v>-119.86999082036243</v>
      </c>
    </row>
    <row r="681" spans="1:12" x14ac:dyDescent="0.45">
      <c r="A681" s="11">
        <v>23.52</v>
      </c>
      <c r="B681" s="14">
        <v>5.6895999999999997E-4</v>
      </c>
      <c r="C681" s="15">
        <v>2.2324000000000001E-4</v>
      </c>
      <c r="F681" s="28">
        <v>6.56</v>
      </c>
      <c r="G681" s="29">
        <f t="shared" si="40"/>
        <v>61.56</v>
      </c>
      <c r="H681" s="29">
        <f t="shared" si="41"/>
        <v>56.56</v>
      </c>
      <c r="I681" s="38">
        <f t="shared" si="42"/>
        <v>9.1226799999999993E-3</v>
      </c>
      <c r="J681" s="38">
        <f t="shared" si="43"/>
        <v>3.4237199999999999E-3</v>
      </c>
      <c r="K681" s="32">
        <f>K680+StepSize*L680</f>
        <v>601.57800549057902</v>
      </c>
      <c r="L681" s="33">
        <f>K681*Delta+I681*K681-J681*(DeathPayment-K681)</f>
        <v>-120.13184236308238</v>
      </c>
    </row>
    <row r="682" spans="1:12" x14ac:dyDescent="0.45">
      <c r="A682" s="11">
        <v>23.53</v>
      </c>
      <c r="B682" s="14">
        <v>5.6893999999999998E-4</v>
      </c>
      <c r="C682" s="15">
        <v>2.2336E-4</v>
      </c>
      <c r="F682" s="28">
        <v>6.57</v>
      </c>
      <c r="G682" s="29">
        <f t="shared" si="40"/>
        <v>61.57</v>
      </c>
      <c r="H682" s="29">
        <f t="shared" si="41"/>
        <v>56.57</v>
      </c>
      <c r="I682" s="38">
        <f t="shared" si="42"/>
        <v>9.1332099999999992E-3</v>
      </c>
      <c r="J682" s="38">
        <f t="shared" si="43"/>
        <v>3.4270899999999998E-3</v>
      </c>
      <c r="K682" s="32">
        <f>K681+StepSize*L681</f>
        <v>600.37668706694819</v>
      </c>
      <c r="L682" s="33">
        <f>K682*Delta+I682*K682-J682*(DeathPayment-K682)</f>
        <v>-120.39394949176716</v>
      </c>
    </row>
    <row r="683" spans="1:12" x14ac:dyDescent="0.45">
      <c r="A683" s="11">
        <v>23.54</v>
      </c>
      <c r="B683" s="14">
        <v>5.6891999999999999E-4</v>
      </c>
      <c r="C683" s="15">
        <v>2.2347999999999999E-4</v>
      </c>
      <c r="F683" s="28">
        <v>6.58</v>
      </c>
      <c r="G683" s="29">
        <f t="shared" si="40"/>
        <v>61.58</v>
      </c>
      <c r="H683" s="29">
        <f t="shared" si="41"/>
        <v>56.58</v>
      </c>
      <c r="I683" s="38">
        <f t="shared" si="42"/>
        <v>9.1437399999999992E-3</v>
      </c>
      <c r="J683" s="38">
        <f t="shared" si="43"/>
        <v>3.4304600000000002E-3</v>
      </c>
      <c r="K683" s="32">
        <f>K682+StepSize*L682</f>
        <v>599.17274757203052</v>
      </c>
      <c r="L683" s="33">
        <f>K683*Delta+I683*K683-J683*(DeathPayment-K683)</f>
        <v>-120.65631253258823</v>
      </c>
    </row>
    <row r="684" spans="1:12" x14ac:dyDescent="0.45">
      <c r="A684" s="11">
        <v>23.55</v>
      </c>
      <c r="B684" s="14">
        <v>5.689E-4</v>
      </c>
      <c r="C684" s="15">
        <v>2.2359999999999999E-4</v>
      </c>
      <c r="F684" s="28">
        <v>6.59</v>
      </c>
      <c r="G684" s="29">
        <f t="shared" si="40"/>
        <v>61.59</v>
      </c>
      <c r="H684" s="29">
        <f t="shared" si="41"/>
        <v>56.59</v>
      </c>
      <c r="I684" s="38">
        <f t="shared" si="42"/>
        <v>9.1542700000000008E-3</v>
      </c>
      <c r="J684" s="38">
        <f t="shared" si="43"/>
        <v>3.4338300000000001E-3</v>
      </c>
      <c r="K684" s="32">
        <f>K683+StepSize*L683</f>
        <v>597.96618444670469</v>
      </c>
      <c r="L684" s="33">
        <f>K684*Delta+I684*K684-J684*(DeathPayment-K684)</f>
        <v>-120.91893181213604</v>
      </c>
    </row>
    <row r="685" spans="1:12" x14ac:dyDescent="0.45">
      <c r="A685" s="11">
        <v>23.56</v>
      </c>
      <c r="B685" s="14">
        <v>5.6888000000000001E-4</v>
      </c>
      <c r="C685" s="15">
        <v>2.2372000000000001E-4</v>
      </c>
      <c r="F685" s="28">
        <v>6.6</v>
      </c>
      <c r="G685" s="29">
        <f t="shared" si="40"/>
        <v>61.6</v>
      </c>
      <c r="H685" s="29">
        <f t="shared" si="41"/>
        <v>56.6</v>
      </c>
      <c r="I685" s="38">
        <f t="shared" si="42"/>
        <v>9.1648000000000007E-3</v>
      </c>
      <c r="J685" s="38">
        <f t="shared" si="43"/>
        <v>3.4372000000000001E-3</v>
      </c>
      <c r="K685" s="32">
        <f>K684+StepSize*L684</f>
        <v>596.7569951285833</v>
      </c>
      <c r="L685" s="33">
        <f>K685*Delta+I685*K685-J685*(DeathPayment-K685)</f>
        <v>-121.18180765742076</v>
      </c>
    </row>
    <row r="686" spans="1:12" x14ac:dyDescent="0.45">
      <c r="A686" s="11">
        <v>23.57</v>
      </c>
      <c r="B686" s="14">
        <v>5.6886000000000003E-4</v>
      </c>
      <c r="C686" s="15">
        <v>2.2384E-4</v>
      </c>
      <c r="F686" s="28">
        <v>6.61</v>
      </c>
      <c r="G686" s="29">
        <f t="shared" si="40"/>
        <v>61.61</v>
      </c>
      <c r="H686" s="29">
        <f t="shared" si="41"/>
        <v>56.61</v>
      </c>
      <c r="I686" s="38">
        <f t="shared" si="42"/>
        <v>9.1753300000000006E-3</v>
      </c>
      <c r="J686" s="38">
        <f t="shared" si="43"/>
        <v>3.44057E-3</v>
      </c>
      <c r="K686" s="32">
        <f>K685+StepSize*L685</f>
        <v>595.54517705200908</v>
      </c>
      <c r="L686" s="33">
        <f>K686*Delta+I686*K686-J686*(DeathPayment-K686)</f>
        <v>-121.44494039587272</v>
      </c>
    </row>
    <row r="687" spans="1:12" x14ac:dyDescent="0.45">
      <c r="A687" s="11">
        <v>23.58</v>
      </c>
      <c r="B687" s="14">
        <v>5.6884000000000004E-4</v>
      </c>
      <c r="C687" s="15">
        <v>2.2395999999999999E-4</v>
      </c>
      <c r="F687" s="28">
        <v>6.62</v>
      </c>
      <c r="G687" s="29">
        <f t="shared" si="40"/>
        <v>61.62</v>
      </c>
      <c r="H687" s="29">
        <f t="shared" si="41"/>
        <v>56.62</v>
      </c>
      <c r="I687" s="38">
        <f t="shared" si="42"/>
        <v>9.1858600000000006E-3</v>
      </c>
      <c r="J687" s="38">
        <f t="shared" si="43"/>
        <v>3.4439399999999999E-3</v>
      </c>
      <c r="K687" s="32">
        <f>K686+StepSize*L686</f>
        <v>594.33072764805036</v>
      </c>
      <c r="L687" s="33">
        <f>K687*Delta+I687*K687-J687*(DeathPayment-K687)</f>
        <v>-121.70833035534311</v>
      </c>
    </row>
    <row r="688" spans="1:12" x14ac:dyDescent="0.45">
      <c r="A688" s="11">
        <v>23.59</v>
      </c>
      <c r="B688" s="14">
        <v>5.6882000000000005E-4</v>
      </c>
      <c r="C688" s="15">
        <v>2.2408000000000001E-4</v>
      </c>
      <c r="F688" s="28">
        <v>6.63</v>
      </c>
      <c r="G688" s="29">
        <f t="shared" si="40"/>
        <v>61.63</v>
      </c>
      <c r="H688" s="29">
        <f t="shared" si="41"/>
        <v>56.63</v>
      </c>
      <c r="I688" s="38">
        <f t="shared" si="42"/>
        <v>9.1963900000000005E-3</v>
      </c>
      <c r="J688" s="38">
        <f t="shared" si="43"/>
        <v>3.4473099999999999E-3</v>
      </c>
      <c r="K688" s="32">
        <f>K687+StepSize*L687</f>
        <v>593.11364434449695</v>
      </c>
      <c r="L688" s="33">
        <f>K688*Delta+I688*K688-J688*(DeathPayment-K688)</f>
        <v>-121.97197786410442</v>
      </c>
    </row>
    <row r="689" spans="1:12" x14ac:dyDescent="0.45">
      <c r="A689" s="11">
        <v>23.6</v>
      </c>
      <c r="B689" s="14">
        <v>5.6879999999999995E-4</v>
      </c>
      <c r="C689" s="15">
        <v>2.242E-4</v>
      </c>
      <c r="F689" s="28">
        <v>6.64</v>
      </c>
      <c r="G689" s="29">
        <f t="shared" si="40"/>
        <v>61.64</v>
      </c>
      <c r="H689" s="29">
        <f t="shared" si="41"/>
        <v>56.64</v>
      </c>
      <c r="I689" s="38">
        <f t="shared" si="42"/>
        <v>9.2069200000000004E-3</v>
      </c>
      <c r="J689" s="38">
        <f t="shared" si="43"/>
        <v>3.4506799999999998E-3</v>
      </c>
      <c r="K689" s="32">
        <f>K688+StepSize*L688</f>
        <v>591.89392456585585</v>
      </c>
      <c r="L689" s="33">
        <f>K689*Delta+I689*K689-J689*(DeathPayment-K689)</f>
        <v>-122.23588325085123</v>
      </c>
    </row>
    <row r="690" spans="1:12" x14ac:dyDescent="0.45">
      <c r="A690" s="11">
        <v>23.61</v>
      </c>
      <c r="B690" s="14">
        <v>5.6877999999999996E-4</v>
      </c>
      <c r="C690" s="15">
        <v>2.2431999999999999E-4</v>
      </c>
      <c r="F690" s="28">
        <v>6.65</v>
      </c>
      <c r="G690" s="29">
        <f t="shared" si="40"/>
        <v>61.65</v>
      </c>
      <c r="H690" s="29">
        <f t="shared" si="41"/>
        <v>56.65</v>
      </c>
      <c r="I690" s="38">
        <f t="shared" si="42"/>
        <v>9.2174500000000003E-3</v>
      </c>
      <c r="J690" s="38">
        <f t="shared" si="43"/>
        <v>3.4540500000000002E-3</v>
      </c>
      <c r="K690" s="32">
        <f>K689+StepSize*L689</f>
        <v>590.67156573334739</v>
      </c>
      <c r="L690" s="33">
        <f>K690*Delta+I690*K690-J690*(DeathPayment-K690)</f>
        <v>-122.50004684470062</v>
      </c>
    </row>
    <row r="691" spans="1:12" x14ac:dyDescent="0.45">
      <c r="A691" s="11">
        <v>23.62</v>
      </c>
      <c r="B691" s="14">
        <v>5.6875999999999997E-4</v>
      </c>
      <c r="C691" s="15">
        <v>2.2444000000000001E-4</v>
      </c>
      <c r="F691" s="28">
        <v>6.66</v>
      </c>
      <c r="G691" s="29">
        <f t="shared" si="40"/>
        <v>61.66</v>
      </c>
      <c r="H691" s="29">
        <f t="shared" si="41"/>
        <v>56.66</v>
      </c>
      <c r="I691" s="38">
        <f t="shared" si="42"/>
        <v>9.2279800000000002E-3</v>
      </c>
      <c r="J691" s="38">
        <f t="shared" si="43"/>
        <v>3.4574200000000001E-3</v>
      </c>
      <c r="K691" s="32">
        <f>K690+StepSize*L690</f>
        <v>589.44656526490041</v>
      </c>
      <c r="L691" s="33">
        <f>K691*Delta+I691*K691-J691*(DeathPayment-K691)</f>
        <v>-122.76446897519281</v>
      </c>
    </row>
    <row r="692" spans="1:12" x14ac:dyDescent="0.45">
      <c r="A692" s="11">
        <v>23.63</v>
      </c>
      <c r="B692" s="14">
        <v>5.6873999999999998E-4</v>
      </c>
      <c r="C692" s="15">
        <v>2.2456E-4</v>
      </c>
      <c r="F692" s="28">
        <v>6.67</v>
      </c>
      <c r="G692" s="29">
        <f t="shared" si="40"/>
        <v>61.67</v>
      </c>
      <c r="H692" s="29">
        <f t="shared" si="41"/>
        <v>56.67</v>
      </c>
      <c r="I692" s="38">
        <f t="shared" si="42"/>
        <v>9.2385100000000001E-3</v>
      </c>
      <c r="J692" s="38">
        <f t="shared" si="43"/>
        <v>3.46079E-3</v>
      </c>
      <c r="K692" s="32">
        <f>K691+StepSize*L691</f>
        <v>588.21892057514845</v>
      </c>
      <c r="L692" s="33">
        <f>K692*Delta+I692*K692-J692*(DeathPayment-K692)</f>
        <v>-123.02914997229176</v>
      </c>
    </row>
    <row r="693" spans="1:12" x14ac:dyDescent="0.45">
      <c r="A693" s="11">
        <v>23.64</v>
      </c>
      <c r="B693" s="14">
        <v>5.6871999999999999E-4</v>
      </c>
      <c r="C693" s="15">
        <v>2.2468E-4</v>
      </c>
      <c r="F693" s="28">
        <v>6.68</v>
      </c>
      <c r="G693" s="29">
        <f t="shared" si="40"/>
        <v>61.68</v>
      </c>
      <c r="H693" s="29">
        <f t="shared" si="41"/>
        <v>56.68</v>
      </c>
      <c r="I693" s="38">
        <f t="shared" si="42"/>
        <v>9.24904E-3</v>
      </c>
      <c r="J693" s="38">
        <f t="shared" si="43"/>
        <v>3.46416E-3</v>
      </c>
      <c r="K693" s="32">
        <f>K692+StepSize*L692</f>
        <v>586.98862907542548</v>
      </c>
      <c r="L693" s="33">
        <f>K693*Delta+I693*K693-J693*(DeathPayment-K693)</f>
        <v>-123.29409016638579</v>
      </c>
    </row>
    <row r="694" spans="1:12" x14ac:dyDescent="0.45">
      <c r="A694" s="11">
        <v>23.65</v>
      </c>
      <c r="B694" s="14">
        <v>5.687E-4</v>
      </c>
      <c r="C694" s="15">
        <v>2.2479999999999999E-4</v>
      </c>
      <c r="F694" s="28">
        <v>6.69</v>
      </c>
      <c r="G694" s="29">
        <f t="shared" si="40"/>
        <v>61.69</v>
      </c>
      <c r="H694" s="29">
        <f t="shared" si="41"/>
        <v>56.69</v>
      </c>
      <c r="I694" s="38">
        <f t="shared" si="42"/>
        <v>9.25957E-3</v>
      </c>
      <c r="J694" s="38">
        <f t="shared" si="43"/>
        <v>3.4675299999999999E-3</v>
      </c>
      <c r="K694" s="32">
        <f>K693+StepSize*L693</f>
        <v>585.75568817376165</v>
      </c>
      <c r="L694" s="33">
        <f>K694*Delta+I694*K694-J694*(DeathPayment-K694)</f>
        <v>-123.55928988828813</v>
      </c>
    </row>
    <row r="695" spans="1:12" x14ac:dyDescent="0.45">
      <c r="A695" s="11">
        <v>23.66</v>
      </c>
      <c r="B695" s="14">
        <v>5.6868000000000001E-4</v>
      </c>
      <c r="C695" s="15">
        <v>2.2492000000000001E-4</v>
      </c>
      <c r="F695" s="28">
        <v>6.7</v>
      </c>
      <c r="G695" s="29">
        <f t="shared" si="40"/>
        <v>61.7</v>
      </c>
      <c r="H695" s="29">
        <f t="shared" si="41"/>
        <v>56.7</v>
      </c>
      <c r="I695" s="38">
        <f t="shared" si="42"/>
        <v>9.2700999999999999E-3</v>
      </c>
      <c r="J695" s="38">
        <f t="shared" si="43"/>
        <v>3.4708999999999999E-3</v>
      </c>
      <c r="K695" s="32">
        <f>K694+StepSize*L694</f>
        <v>584.52009527487883</v>
      </c>
      <c r="L695" s="33">
        <f>K695*Delta+I695*K695-J695*(DeathPayment-K695)</f>
        <v>-123.82474946923747</v>
      </c>
    </row>
    <row r="696" spans="1:12" x14ac:dyDescent="0.45">
      <c r="A696" s="11">
        <v>23.67</v>
      </c>
      <c r="B696" s="14">
        <v>5.6866000000000002E-4</v>
      </c>
      <c r="C696" s="15">
        <v>2.2504E-4</v>
      </c>
      <c r="F696" s="28">
        <v>6.71</v>
      </c>
      <c r="G696" s="29">
        <f t="shared" si="40"/>
        <v>61.71</v>
      </c>
      <c r="H696" s="29">
        <f t="shared" si="41"/>
        <v>56.71</v>
      </c>
      <c r="I696" s="38">
        <f t="shared" si="42"/>
        <v>9.2806299999999998E-3</v>
      </c>
      <c r="J696" s="38">
        <f t="shared" si="43"/>
        <v>3.4742699999999998E-3</v>
      </c>
      <c r="K696" s="32">
        <f>K695+StepSize*L695</f>
        <v>583.28184778018647</v>
      </c>
      <c r="L696" s="33">
        <f>K696*Delta+I696*K696-J696*(DeathPayment-K696)</f>
        <v>-124.09046924089864</v>
      </c>
    </row>
    <row r="697" spans="1:12" x14ac:dyDescent="0.45">
      <c r="A697" s="11">
        <v>23.68</v>
      </c>
      <c r="B697" s="14">
        <v>5.6864000000000003E-4</v>
      </c>
      <c r="C697" s="15">
        <v>2.2515999999999999E-4</v>
      </c>
      <c r="F697" s="28">
        <v>6.72</v>
      </c>
      <c r="G697" s="29">
        <f t="shared" si="40"/>
        <v>61.72</v>
      </c>
      <c r="H697" s="29">
        <f t="shared" si="41"/>
        <v>56.72</v>
      </c>
      <c r="I697" s="38">
        <f t="shared" si="42"/>
        <v>9.2911599999999997E-3</v>
      </c>
      <c r="J697" s="38">
        <f t="shared" si="43"/>
        <v>3.4776400000000002E-3</v>
      </c>
      <c r="K697" s="32">
        <f>K696+StepSize*L696</f>
        <v>582.04094308777746</v>
      </c>
      <c r="L697" s="33">
        <f>K697*Delta+I697*K697-J697*(DeathPayment-K697)</f>
        <v>-124.35644953536325</v>
      </c>
    </row>
    <row r="698" spans="1:12" x14ac:dyDescent="0.45">
      <c r="A698" s="11">
        <v>23.69</v>
      </c>
      <c r="B698" s="14">
        <v>5.6862000000000004E-4</v>
      </c>
      <c r="C698" s="15">
        <v>2.2528000000000001E-4</v>
      </c>
      <c r="F698" s="28">
        <v>6.73</v>
      </c>
      <c r="G698" s="29">
        <f t="shared" si="40"/>
        <v>61.73</v>
      </c>
      <c r="H698" s="29">
        <f t="shared" si="41"/>
        <v>56.73</v>
      </c>
      <c r="I698" s="38">
        <f t="shared" si="42"/>
        <v>9.3016899999999996E-3</v>
      </c>
      <c r="J698" s="38">
        <f t="shared" si="43"/>
        <v>3.4810100000000001E-3</v>
      </c>
      <c r="K698" s="32">
        <f>K697+StepSize*L697</f>
        <v>580.7973785924238</v>
      </c>
      <c r="L698" s="33">
        <f>K698*Delta+I698*K698-J698*(DeathPayment-K698)</f>
        <v>-124.62269068514999</v>
      </c>
    </row>
    <row r="699" spans="1:12" x14ac:dyDescent="0.45">
      <c r="A699" s="11">
        <v>23.7</v>
      </c>
      <c r="B699" s="14">
        <v>5.6860000000000005E-4</v>
      </c>
      <c r="C699" s="15">
        <v>2.254E-4</v>
      </c>
      <c r="F699" s="28">
        <v>6.74</v>
      </c>
      <c r="G699" s="29">
        <f t="shared" si="40"/>
        <v>61.74</v>
      </c>
      <c r="H699" s="29">
        <f t="shared" si="41"/>
        <v>56.74</v>
      </c>
      <c r="I699" s="38">
        <f t="shared" si="42"/>
        <v>9.3122199999999995E-3</v>
      </c>
      <c r="J699" s="38">
        <f t="shared" si="43"/>
        <v>3.48438E-3</v>
      </c>
      <c r="K699" s="32">
        <f>K698+StepSize*L698</f>
        <v>579.55115168557234</v>
      </c>
      <c r="L699" s="33">
        <f>K699*Delta+I699*K699-J699*(DeathPayment-K699)</f>
        <v>-124.88919302320559</v>
      </c>
    </row>
    <row r="700" spans="1:12" x14ac:dyDescent="0.45">
      <c r="A700" s="11">
        <v>23.71</v>
      </c>
      <c r="B700" s="14">
        <v>5.6857999999999995E-4</v>
      </c>
      <c r="C700" s="15">
        <v>2.2552E-4</v>
      </c>
      <c r="F700" s="28">
        <v>6.75</v>
      </c>
      <c r="G700" s="29">
        <f t="shared" si="40"/>
        <v>61.75</v>
      </c>
      <c r="H700" s="29">
        <f t="shared" si="41"/>
        <v>56.75</v>
      </c>
      <c r="I700" s="38">
        <f t="shared" si="42"/>
        <v>9.3227499999999994E-3</v>
      </c>
      <c r="J700" s="38">
        <f t="shared" si="43"/>
        <v>3.48775E-3</v>
      </c>
      <c r="K700" s="32">
        <f>K699+StepSize*L699</f>
        <v>578.30225975534029</v>
      </c>
      <c r="L700" s="33">
        <f>K700*Delta+I700*K700-J700*(DeathPayment-K700)</f>
        <v>-125.15595688290522</v>
      </c>
    </row>
    <row r="701" spans="1:12" x14ac:dyDescent="0.45">
      <c r="A701" s="11">
        <v>23.72</v>
      </c>
      <c r="B701" s="14">
        <v>5.6855999999999996E-4</v>
      </c>
      <c r="C701" s="15">
        <v>2.2563999999999999E-4</v>
      </c>
      <c r="F701" s="28">
        <v>6.76</v>
      </c>
      <c r="G701" s="29">
        <f t="shared" si="40"/>
        <v>61.76</v>
      </c>
      <c r="H701" s="29">
        <f t="shared" si="41"/>
        <v>56.76</v>
      </c>
      <c r="I701" s="38">
        <f t="shared" si="42"/>
        <v>9.3332799999999994E-3</v>
      </c>
      <c r="J701" s="38">
        <f t="shared" si="43"/>
        <v>3.4911199999999999E-3</v>
      </c>
      <c r="K701" s="32">
        <f>K700+StepSize*L700</f>
        <v>577.05070018651122</v>
      </c>
      <c r="L701" s="33">
        <f>K701*Delta+I701*K701-J701*(DeathPayment-K701)</f>
        <v>-125.42298259805314</v>
      </c>
    </row>
    <row r="702" spans="1:12" x14ac:dyDescent="0.45">
      <c r="A702" s="11">
        <v>23.73</v>
      </c>
      <c r="B702" s="14">
        <v>5.6853999999999997E-4</v>
      </c>
      <c r="C702" s="15">
        <v>2.2576000000000001E-4</v>
      </c>
      <c r="F702" s="28">
        <v>6.77</v>
      </c>
      <c r="G702" s="29">
        <f t="shared" si="40"/>
        <v>61.77</v>
      </c>
      <c r="H702" s="29">
        <f t="shared" si="41"/>
        <v>56.77</v>
      </c>
      <c r="I702" s="38">
        <f t="shared" si="42"/>
        <v>9.3438099999999993E-3</v>
      </c>
      <c r="J702" s="38">
        <f t="shared" si="43"/>
        <v>3.4944899999999998E-3</v>
      </c>
      <c r="K702" s="32">
        <f>K701+StepSize*L701</f>
        <v>575.79647036053063</v>
      </c>
      <c r="L702" s="33">
        <f>K702*Delta+I702*K702-J702*(DeathPayment-K702)</f>
        <v>-125.69027050288327</v>
      </c>
    </row>
    <row r="703" spans="1:12" x14ac:dyDescent="0.45">
      <c r="A703" s="11">
        <v>23.74</v>
      </c>
      <c r="B703" s="14">
        <v>5.6851999999999998E-4</v>
      </c>
      <c r="C703" s="15">
        <v>2.2588E-4</v>
      </c>
      <c r="F703" s="28">
        <v>6.78</v>
      </c>
      <c r="G703" s="29">
        <f t="shared" si="40"/>
        <v>61.78</v>
      </c>
      <c r="H703" s="29">
        <f t="shared" si="41"/>
        <v>56.78</v>
      </c>
      <c r="I703" s="38">
        <f t="shared" si="42"/>
        <v>9.3543399999999992E-3</v>
      </c>
      <c r="J703" s="38">
        <f t="shared" si="43"/>
        <v>3.4978600000000002E-3</v>
      </c>
      <c r="K703" s="32">
        <f>K702+StepSize*L702</f>
        <v>574.53956765550186</v>
      </c>
      <c r="L703" s="33">
        <f>K703*Delta+I703*K703-J703*(DeathPayment-K703)</f>
        <v>-125.95782093205973</v>
      </c>
    </row>
    <row r="704" spans="1:12" x14ac:dyDescent="0.45">
      <c r="A704" s="11">
        <v>23.75</v>
      </c>
      <c r="B704" s="14">
        <v>5.6849999999999999E-4</v>
      </c>
      <c r="C704" s="15">
        <v>2.2599999999999999E-4</v>
      </c>
      <c r="F704" s="28">
        <v>6.79</v>
      </c>
      <c r="G704" s="29">
        <f t="shared" si="40"/>
        <v>61.79</v>
      </c>
      <c r="H704" s="29">
        <f t="shared" si="41"/>
        <v>56.79</v>
      </c>
      <c r="I704" s="38">
        <f t="shared" si="42"/>
        <v>9.3648700000000008E-3</v>
      </c>
      <c r="J704" s="38">
        <f t="shared" si="43"/>
        <v>3.5012300000000001E-3</v>
      </c>
      <c r="K704" s="32">
        <f>K703+StepSize*L703</f>
        <v>573.27998944618128</v>
      </c>
      <c r="L704" s="33">
        <f>K704*Delta+I704*K704-J704*(DeathPayment-K704)</f>
        <v>-126.22563422067762</v>
      </c>
    </row>
    <row r="705" spans="1:12" x14ac:dyDescent="0.45">
      <c r="A705" s="11">
        <v>23.76</v>
      </c>
      <c r="B705" s="14">
        <v>5.6848000000000001E-4</v>
      </c>
      <c r="C705" s="15">
        <v>2.2612000000000001E-4</v>
      </c>
      <c r="F705" s="28">
        <v>6.8</v>
      </c>
      <c r="G705" s="29">
        <f t="shared" si="40"/>
        <v>61.8</v>
      </c>
      <c r="H705" s="29">
        <f t="shared" si="41"/>
        <v>56.8</v>
      </c>
      <c r="I705" s="38">
        <f t="shared" si="42"/>
        <v>9.3754000000000007E-3</v>
      </c>
      <c r="J705" s="38">
        <f t="shared" si="43"/>
        <v>3.5046000000000001E-3</v>
      </c>
      <c r="K705" s="32">
        <f>K704+StepSize*L704</f>
        <v>572.01773310397448</v>
      </c>
      <c r="L705" s="33">
        <f>K705*Delta+I705*K705-J705*(DeathPayment-K705)</f>
        <v>-126.49371070426341</v>
      </c>
    </row>
    <row r="706" spans="1:12" x14ac:dyDescent="0.45">
      <c r="A706" s="11">
        <v>23.77</v>
      </c>
      <c r="B706" s="14">
        <v>5.6846000000000002E-4</v>
      </c>
      <c r="C706" s="15">
        <v>2.2624E-4</v>
      </c>
      <c r="F706" s="28">
        <v>6.81</v>
      </c>
      <c r="G706" s="29">
        <f t="shared" si="40"/>
        <v>61.81</v>
      </c>
      <c r="H706" s="29">
        <f t="shared" si="41"/>
        <v>56.81</v>
      </c>
      <c r="I706" s="38">
        <f t="shared" si="42"/>
        <v>9.3859300000000007E-3</v>
      </c>
      <c r="J706" s="38">
        <f t="shared" si="43"/>
        <v>3.50797E-3</v>
      </c>
      <c r="K706" s="32">
        <f>K705+StepSize*L705</f>
        <v>570.75279599693181</v>
      </c>
      <c r="L706" s="33">
        <f>K706*Delta+I706*K706-J706*(DeathPayment-K706)</f>
        <v>-126.7620507187757</v>
      </c>
    </row>
    <row r="707" spans="1:12" x14ac:dyDescent="0.45">
      <c r="A707" s="11">
        <v>23.78</v>
      </c>
      <c r="B707" s="14">
        <v>5.6844000000000003E-4</v>
      </c>
      <c r="C707" s="15">
        <v>2.2635999999999999E-4</v>
      </c>
      <c r="F707" s="28">
        <v>6.82</v>
      </c>
      <c r="G707" s="29">
        <f t="shared" si="40"/>
        <v>61.82</v>
      </c>
      <c r="H707" s="29">
        <f t="shared" si="41"/>
        <v>56.82</v>
      </c>
      <c r="I707" s="38">
        <f t="shared" si="42"/>
        <v>9.3964600000000006E-3</v>
      </c>
      <c r="J707" s="38">
        <f t="shared" si="43"/>
        <v>3.5113399999999999E-3</v>
      </c>
      <c r="K707" s="32">
        <f>K706+StepSize*L706</f>
        <v>569.48517548974405</v>
      </c>
      <c r="L707" s="33">
        <f>K707*Delta+I707*K707-J707*(DeathPayment-K707)</f>
        <v>-127.03065460060571</v>
      </c>
    </row>
    <row r="708" spans="1:12" x14ac:dyDescent="0.45">
      <c r="A708" s="11">
        <v>23.79</v>
      </c>
      <c r="B708" s="14">
        <v>5.6842000000000004E-4</v>
      </c>
      <c r="C708" s="15">
        <v>2.2647999999999999E-4</v>
      </c>
      <c r="F708" s="28">
        <v>6.83</v>
      </c>
      <c r="G708" s="29">
        <f t="shared" si="40"/>
        <v>61.83</v>
      </c>
      <c r="H708" s="29">
        <f t="shared" si="41"/>
        <v>56.83</v>
      </c>
      <c r="I708" s="38">
        <f t="shared" si="42"/>
        <v>9.4069900000000005E-3</v>
      </c>
      <c r="J708" s="38">
        <f t="shared" si="43"/>
        <v>3.5147099999999999E-3</v>
      </c>
      <c r="K708" s="32">
        <f>K707+StepSize*L707</f>
        <v>568.214868943738</v>
      </c>
      <c r="L708" s="33">
        <f>K708*Delta+I708*K708-J708*(DeathPayment-K708)</f>
        <v>-127.29952268657804</v>
      </c>
    </row>
    <row r="709" spans="1:12" x14ac:dyDescent="0.45">
      <c r="A709" s="11">
        <v>23.8</v>
      </c>
      <c r="B709" s="14">
        <v>5.6840000000000005E-4</v>
      </c>
      <c r="C709" s="15">
        <v>2.2660000000000001E-4</v>
      </c>
      <c r="F709" s="28">
        <v>6.84</v>
      </c>
      <c r="G709" s="29">
        <f t="shared" si="40"/>
        <v>61.84</v>
      </c>
      <c r="H709" s="29">
        <f t="shared" si="41"/>
        <v>56.84</v>
      </c>
      <c r="I709" s="38">
        <f t="shared" si="42"/>
        <v>9.4175200000000004E-3</v>
      </c>
      <c r="J709" s="38">
        <f t="shared" si="43"/>
        <v>3.5180799999999998E-3</v>
      </c>
      <c r="K709" s="32">
        <f>K708+StepSize*L708</f>
        <v>566.94187371687224</v>
      </c>
      <c r="L709" s="33">
        <f>K709*Delta+I709*K709-J709*(DeathPayment-K709)</f>
        <v>-127.568655313951</v>
      </c>
    </row>
    <row r="710" spans="1:12" x14ac:dyDescent="0.45">
      <c r="A710" s="11">
        <v>23.81</v>
      </c>
      <c r="B710" s="14">
        <v>5.6837999999999995E-4</v>
      </c>
      <c r="C710" s="15">
        <v>2.2672E-4</v>
      </c>
      <c r="F710" s="28">
        <v>6.85</v>
      </c>
      <c r="G710" s="29">
        <f t="shared" si="40"/>
        <v>61.85</v>
      </c>
      <c r="H710" s="29">
        <f t="shared" si="41"/>
        <v>56.85</v>
      </c>
      <c r="I710" s="38">
        <f t="shared" si="42"/>
        <v>9.4280500000000003E-3</v>
      </c>
      <c r="J710" s="38">
        <f t="shared" si="43"/>
        <v>3.5214500000000002E-3</v>
      </c>
      <c r="K710" s="32">
        <f>K709+StepSize*L709</f>
        <v>565.66618716373273</v>
      </c>
      <c r="L710" s="33">
        <f>K710*Delta+I710*K710-J710*(DeathPayment-K710)</f>
        <v>-127.8380528204175</v>
      </c>
    </row>
    <row r="711" spans="1:12" x14ac:dyDescent="0.45">
      <c r="A711" s="11">
        <v>23.82</v>
      </c>
      <c r="B711" s="14">
        <v>5.6835999999999996E-4</v>
      </c>
      <c r="C711" s="15">
        <v>2.2683999999999999E-4</v>
      </c>
      <c r="F711" s="28">
        <v>6.86</v>
      </c>
      <c r="G711" s="29">
        <f t="shared" si="40"/>
        <v>61.86</v>
      </c>
      <c r="H711" s="29">
        <f t="shared" si="41"/>
        <v>56.86</v>
      </c>
      <c r="I711" s="38">
        <f t="shared" si="42"/>
        <v>9.4385800000000002E-3</v>
      </c>
      <c r="J711" s="38">
        <f t="shared" si="43"/>
        <v>3.5248200000000001E-3</v>
      </c>
      <c r="K711" s="32">
        <f>K710+StepSize*L710</f>
        <v>564.38780663552859</v>
      </c>
      <c r="L711" s="33">
        <f>K711*Delta+I711*K711-J711*(DeathPayment-K711)</f>
        <v>-128.10771554410547</v>
      </c>
    </row>
    <row r="712" spans="1:12" x14ac:dyDescent="0.45">
      <c r="A712" s="11">
        <v>23.83</v>
      </c>
      <c r="B712" s="14">
        <v>5.6833999999999997E-4</v>
      </c>
      <c r="C712" s="15">
        <v>2.2696000000000001E-4</v>
      </c>
      <c r="F712" s="28">
        <v>6.87</v>
      </c>
      <c r="G712" s="29">
        <f t="shared" si="40"/>
        <v>61.87</v>
      </c>
      <c r="H712" s="29">
        <f t="shared" si="41"/>
        <v>56.87</v>
      </c>
      <c r="I712" s="38">
        <f t="shared" si="42"/>
        <v>9.4491100000000001E-3</v>
      </c>
      <c r="J712" s="38">
        <f t="shared" si="43"/>
        <v>3.5281900000000001E-3</v>
      </c>
      <c r="K712" s="32">
        <f>K711+StepSize*L711</f>
        <v>563.10672948008755</v>
      </c>
      <c r="L712" s="33">
        <f>K712*Delta+I712*K712-J712*(DeathPayment-K712)</f>
        <v>-128.37764382357858</v>
      </c>
    </row>
    <row r="713" spans="1:12" x14ac:dyDescent="0.45">
      <c r="A713" s="11">
        <v>23.84</v>
      </c>
      <c r="B713" s="14">
        <v>5.6831999999999998E-4</v>
      </c>
      <c r="C713" s="15">
        <v>2.2708E-4</v>
      </c>
      <c r="F713" s="28">
        <v>6.88</v>
      </c>
      <c r="G713" s="29">
        <f t="shared" si="40"/>
        <v>61.88</v>
      </c>
      <c r="H713" s="29">
        <f t="shared" si="41"/>
        <v>56.88</v>
      </c>
      <c r="I713" s="38">
        <f t="shared" si="42"/>
        <v>9.4596400000000001E-3</v>
      </c>
      <c r="J713" s="38">
        <f t="shared" si="43"/>
        <v>3.53156E-3</v>
      </c>
      <c r="K713" s="32">
        <f>K712+StepSize*L712</f>
        <v>561.82295304185175</v>
      </c>
      <c r="L713" s="33">
        <f>K713*Delta+I713*K713-J713*(DeathPayment-K713)</f>
        <v>-128.64783799783677</v>
      </c>
    </row>
    <row r="714" spans="1:12" x14ac:dyDescent="0.45">
      <c r="A714" s="11">
        <v>23.85</v>
      </c>
      <c r="B714" s="14">
        <v>5.6829999999999999E-4</v>
      </c>
      <c r="C714" s="15">
        <v>2.2719999999999999E-4</v>
      </c>
      <c r="F714" s="28">
        <v>6.89</v>
      </c>
      <c r="G714" s="29">
        <f t="shared" si="40"/>
        <v>61.89</v>
      </c>
      <c r="H714" s="29">
        <f t="shared" si="41"/>
        <v>56.89</v>
      </c>
      <c r="I714" s="38">
        <f t="shared" si="42"/>
        <v>9.47017E-3</v>
      </c>
      <c r="J714" s="38">
        <f t="shared" si="43"/>
        <v>3.5349299999999999E-3</v>
      </c>
      <c r="K714" s="32">
        <f>K713+StepSize*L713</f>
        <v>560.5364746618734</v>
      </c>
      <c r="L714" s="33">
        <f>K714*Delta+I714*K714-J714*(DeathPayment-K714)</f>
        <v>-128.91829840631686</v>
      </c>
    </row>
    <row r="715" spans="1:12" x14ac:dyDescent="0.45">
      <c r="A715" s="11">
        <v>23.86</v>
      </c>
      <c r="B715" s="14">
        <v>5.6828E-4</v>
      </c>
      <c r="C715" s="15">
        <v>2.2732000000000001E-4</v>
      </c>
      <c r="F715" s="28">
        <v>6.9</v>
      </c>
      <c r="G715" s="29">
        <f t="shared" si="40"/>
        <v>61.9</v>
      </c>
      <c r="H715" s="29">
        <f t="shared" si="41"/>
        <v>56.9</v>
      </c>
      <c r="I715" s="38">
        <f t="shared" si="42"/>
        <v>9.4806999999999999E-3</v>
      </c>
      <c r="J715" s="38">
        <f t="shared" si="43"/>
        <v>3.5382999999999999E-3</v>
      </c>
      <c r="K715" s="32">
        <f>K714+StepSize*L714</f>
        <v>559.24729167781027</v>
      </c>
      <c r="L715" s="33">
        <f>K715*Delta+I715*K715-J715*(DeathPayment-K715)</f>
        <v>-129.18902538889324</v>
      </c>
    </row>
    <row r="716" spans="1:12" x14ac:dyDescent="0.45">
      <c r="A716" s="11">
        <v>23.87</v>
      </c>
      <c r="B716" s="14">
        <v>5.6826000000000001E-4</v>
      </c>
      <c r="C716" s="15">
        <v>2.2744E-4</v>
      </c>
      <c r="F716" s="28">
        <v>6.91</v>
      </c>
      <c r="G716" s="29">
        <f t="shared" si="40"/>
        <v>61.91</v>
      </c>
      <c r="H716" s="29">
        <f t="shared" si="41"/>
        <v>56.91</v>
      </c>
      <c r="I716" s="38">
        <f t="shared" si="42"/>
        <v>9.4912299999999998E-3</v>
      </c>
      <c r="J716" s="38">
        <f t="shared" si="43"/>
        <v>3.5416699999999998E-3</v>
      </c>
      <c r="K716" s="32">
        <f>K715+StepSize*L715</f>
        <v>557.95540142392133</v>
      </c>
      <c r="L716" s="33">
        <f>K716*Delta+I716*K716-J716*(DeathPayment-K716)</f>
        <v>-129.46001928587836</v>
      </c>
    </row>
    <row r="717" spans="1:12" x14ac:dyDescent="0.45">
      <c r="A717" s="11">
        <v>23.88</v>
      </c>
      <c r="B717" s="14">
        <v>5.6824000000000002E-4</v>
      </c>
      <c r="C717" s="15">
        <v>2.2756E-4</v>
      </c>
      <c r="F717" s="28">
        <v>6.92</v>
      </c>
      <c r="G717" s="29">
        <f t="shared" si="40"/>
        <v>61.92</v>
      </c>
      <c r="H717" s="29">
        <f t="shared" si="41"/>
        <v>56.92</v>
      </c>
      <c r="I717" s="38">
        <f t="shared" si="42"/>
        <v>9.5017599999999997E-3</v>
      </c>
      <c r="J717" s="38">
        <f t="shared" si="43"/>
        <v>3.5450400000000002E-3</v>
      </c>
      <c r="K717" s="32">
        <f>K716+StepSize*L716</f>
        <v>556.66080123106258</v>
      </c>
      <c r="L717" s="33">
        <f>K717*Delta+I717*K717-J717*(DeathPayment-K717)</f>
        <v>-129.73128043802342</v>
      </c>
    </row>
    <row r="718" spans="1:12" x14ac:dyDescent="0.45">
      <c r="A718" s="11">
        <v>23.89</v>
      </c>
      <c r="B718" s="14">
        <v>5.6822000000000003E-4</v>
      </c>
      <c r="C718" s="15">
        <v>2.2767999999999999E-4</v>
      </c>
      <c r="F718" s="28">
        <v>6.93</v>
      </c>
      <c r="G718" s="29">
        <f t="shared" si="40"/>
        <v>61.93</v>
      </c>
      <c r="H718" s="29">
        <f t="shared" si="41"/>
        <v>56.93</v>
      </c>
      <c r="I718" s="38">
        <f t="shared" si="42"/>
        <v>9.5122899999999996E-3</v>
      </c>
      <c r="J718" s="38">
        <f t="shared" si="43"/>
        <v>3.5484100000000001E-3</v>
      </c>
      <c r="K718" s="32">
        <f>K717+StepSize*L717</f>
        <v>555.36348842668235</v>
      </c>
      <c r="L718" s="33">
        <f>K718*Delta+I718*K718-J718*(DeathPayment-K718)</f>
        <v>-130.00280918651896</v>
      </c>
    </row>
    <row r="719" spans="1:12" x14ac:dyDescent="0.45">
      <c r="A719" s="11">
        <v>23.9</v>
      </c>
      <c r="B719" s="14">
        <v>5.6820000000000004E-4</v>
      </c>
      <c r="C719" s="15">
        <v>2.2780000000000001E-4</v>
      </c>
      <c r="F719" s="28">
        <v>6.94</v>
      </c>
      <c r="G719" s="29">
        <f t="shared" si="40"/>
        <v>61.94</v>
      </c>
      <c r="H719" s="29">
        <f t="shared" si="41"/>
        <v>56.94</v>
      </c>
      <c r="I719" s="38">
        <f t="shared" si="42"/>
        <v>9.5228199999999995E-3</v>
      </c>
      <c r="J719" s="38">
        <f t="shared" si="43"/>
        <v>3.55178E-3</v>
      </c>
      <c r="K719" s="32">
        <f>K718+StepSize*L718</f>
        <v>554.06346033481714</v>
      </c>
      <c r="L719" s="33">
        <f>K719*Delta+I719*K719-J719*(DeathPayment-K719)</f>
        <v>-130.27460587299549</v>
      </c>
    </row>
    <row r="720" spans="1:12" x14ac:dyDescent="0.45">
      <c r="A720" s="11">
        <v>23.91</v>
      </c>
      <c r="B720" s="14">
        <v>5.6818000000000005E-4</v>
      </c>
      <c r="C720" s="15">
        <v>2.2792E-4</v>
      </c>
      <c r="F720" s="28">
        <v>6.95</v>
      </c>
      <c r="G720" s="29">
        <f t="shared" si="40"/>
        <v>61.95</v>
      </c>
      <c r="H720" s="29">
        <f t="shared" si="41"/>
        <v>56.95</v>
      </c>
      <c r="I720" s="38">
        <f t="shared" si="42"/>
        <v>9.5333499999999995E-3</v>
      </c>
      <c r="J720" s="38">
        <f t="shared" si="43"/>
        <v>3.55515E-3</v>
      </c>
      <c r="K720" s="32">
        <f>K719+StepSize*L719</f>
        <v>552.76071427608713</v>
      </c>
      <c r="L720" s="33">
        <f>K720*Delta+I720*K720-J720*(DeathPayment-K720)</f>
        <v>-130.54667083952415</v>
      </c>
    </row>
    <row r="721" spans="1:12" x14ac:dyDescent="0.45">
      <c r="A721" s="11">
        <v>23.92</v>
      </c>
      <c r="B721" s="14">
        <v>5.6815999999999995E-4</v>
      </c>
      <c r="C721" s="15">
        <v>2.2803999999999999E-4</v>
      </c>
      <c r="F721" s="28">
        <v>6.96</v>
      </c>
      <c r="G721" s="29">
        <f t="shared" si="40"/>
        <v>61.96</v>
      </c>
      <c r="H721" s="29">
        <f t="shared" si="41"/>
        <v>56.96</v>
      </c>
      <c r="I721" s="38">
        <f t="shared" si="42"/>
        <v>9.5438799999999994E-3</v>
      </c>
      <c r="J721" s="38">
        <f t="shared" si="43"/>
        <v>3.5585199999999999E-3</v>
      </c>
      <c r="K721" s="32">
        <f>K720+StepSize*L720</f>
        <v>551.45524756769191</v>
      </c>
      <c r="L721" s="33">
        <f>K721*Delta+I721*K721-J721*(DeathPayment-K721)</f>
        <v>-130.81900442861712</v>
      </c>
    </row>
    <row r="722" spans="1:12" x14ac:dyDescent="0.45">
      <c r="A722" s="11">
        <v>23.93</v>
      </c>
      <c r="B722" s="14">
        <v>5.6813999999999996E-4</v>
      </c>
      <c r="C722" s="15">
        <v>2.2816000000000001E-4</v>
      </c>
      <c r="F722" s="28">
        <v>6.97</v>
      </c>
      <c r="G722" s="29">
        <f t="shared" si="40"/>
        <v>61.97</v>
      </c>
      <c r="H722" s="29">
        <f t="shared" si="41"/>
        <v>56.97</v>
      </c>
      <c r="I722" s="38">
        <f t="shared" si="42"/>
        <v>9.5544099999999993E-3</v>
      </c>
      <c r="J722" s="38">
        <f t="shared" si="43"/>
        <v>3.5618899999999998E-3</v>
      </c>
      <c r="K722" s="32">
        <f>K721+StepSize*L721</f>
        <v>550.14705752340569</v>
      </c>
      <c r="L722" s="33">
        <f>K722*Delta+I722*K722-J722*(DeathPayment-K722)</f>
        <v>-131.09160698322842</v>
      </c>
    </row>
    <row r="723" spans="1:12" x14ac:dyDescent="0.45">
      <c r="A723" s="11">
        <v>23.94</v>
      </c>
      <c r="B723" s="14">
        <v>5.6811999999999997E-4</v>
      </c>
      <c r="C723" s="15">
        <v>2.2828E-4</v>
      </c>
      <c r="F723" s="28">
        <v>6.98</v>
      </c>
      <c r="G723" s="29">
        <f t="shared" si="40"/>
        <v>61.98</v>
      </c>
      <c r="H723" s="29">
        <f t="shared" si="41"/>
        <v>56.98</v>
      </c>
      <c r="I723" s="38">
        <f t="shared" si="42"/>
        <v>9.5649399999999992E-3</v>
      </c>
      <c r="J723" s="38">
        <f t="shared" si="43"/>
        <v>3.5652599999999998E-3</v>
      </c>
      <c r="K723" s="32">
        <f>K722+StepSize*L722</f>
        <v>548.83614145357342</v>
      </c>
      <c r="L723" s="33">
        <f>K723*Delta+I723*K723-J723*(DeathPayment-K723)</f>
        <v>-131.36447884675459</v>
      </c>
    </row>
    <row r="724" spans="1:12" x14ac:dyDescent="0.45">
      <c r="A724" s="11">
        <v>23.95</v>
      </c>
      <c r="B724" s="14">
        <v>5.6809999999999999E-4</v>
      </c>
      <c r="C724" s="15">
        <v>2.284E-4</v>
      </c>
      <c r="F724" s="28">
        <v>6.99</v>
      </c>
      <c r="G724" s="29">
        <f t="shared" si="40"/>
        <v>61.99</v>
      </c>
      <c r="H724" s="29">
        <f t="shared" si="41"/>
        <v>56.99</v>
      </c>
      <c r="I724" s="38">
        <f t="shared" si="42"/>
        <v>9.5754700000000009E-3</v>
      </c>
      <c r="J724" s="38">
        <f t="shared" si="43"/>
        <v>3.5686300000000002E-3</v>
      </c>
      <c r="K724" s="32">
        <f>K723+StepSize*L723</f>
        <v>547.5224966651059</v>
      </c>
      <c r="L724" s="33">
        <f>K724*Delta+I724*K724-J724*(DeathPayment-K724)</f>
        <v>-131.6376203630351</v>
      </c>
    </row>
    <row r="725" spans="1:12" x14ac:dyDescent="0.45">
      <c r="A725" s="11">
        <v>23.96</v>
      </c>
      <c r="B725" s="14">
        <v>5.6808E-4</v>
      </c>
      <c r="C725" s="15">
        <v>2.2851999999999999E-4</v>
      </c>
      <c r="F725" s="28">
        <v>7</v>
      </c>
      <c r="G725" s="29">
        <f t="shared" si="40"/>
        <v>62</v>
      </c>
      <c r="H725" s="29">
        <f t="shared" si="41"/>
        <v>57</v>
      </c>
      <c r="I725" s="38">
        <f t="shared" si="42"/>
        <v>9.5860000000000008E-3</v>
      </c>
      <c r="J725" s="38">
        <f t="shared" si="43"/>
        <v>3.5720000000000001E-3</v>
      </c>
      <c r="K725" s="32">
        <f>K724+StepSize*L724</f>
        <v>546.20612046147551</v>
      </c>
      <c r="L725" s="33">
        <f>K725*Delta+I725*K725-J725*(DeathPayment-K725)</f>
        <v>-131.91103187635309</v>
      </c>
    </row>
    <row r="726" spans="1:12" x14ac:dyDescent="0.45">
      <c r="A726" s="11">
        <v>23.97</v>
      </c>
      <c r="B726" s="14">
        <v>5.6806000000000001E-4</v>
      </c>
      <c r="C726" s="15">
        <v>2.2864000000000001E-4</v>
      </c>
      <c r="F726" s="28">
        <v>7.01</v>
      </c>
      <c r="G726" s="29">
        <f t="shared" si="40"/>
        <v>62.01</v>
      </c>
      <c r="H726" s="29">
        <f t="shared" si="41"/>
        <v>57.01</v>
      </c>
      <c r="I726" s="38">
        <f t="shared" si="42"/>
        <v>9.5977700000000003E-3</v>
      </c>
      <c r="J726" s="38">
        <f t="shared" si="43"/>
        <v>3.5757499999999999E-3</v>
      </c>
      <c r="K726" s="32">
        <f>K725+StepSize*L725</f>
        <v>544.88701014271203</v>
      </c>
      <c r="L726" s="33">
        <f>K726*Delta+I726*K726-J726*(DeathPayment-K726)</f>
        <v>-132.20283101447941</v>
      </c>
    </row>
    <row r="727" spans="1:12" x14ac:dyDescent="0.45">
      <c r="A727" s="11">
        <v>23.98</v>
      </c>
      <c r="B727" s="14">
        <v>5.6804000000000002E-4</v>
      </c>
      <c r="C727" s="15">
        <v>2.2876E-4</v>
      </c>
      <c r="F727" s="28">
        <v>7.02</v>
      </c>
      <c r="G727" s="29">
        <f t="shared" si="40"/>
        <v>62.02</v>
      </c>
      <c r="H727" s="29">
        <f t="shared" si="41"/>
        <v>57.02</v>
      </c>
      <c r="I727" s="38">
        <f t="shared" si="42"/>
        <v>9.6095399999999997E-3</v>
      </c>
      <c r="J727" s="38">
        <f t="shared" si="43"/>
        <v>3.5795000000000002E-3</v>
      </c>
      <c r="K727" s="32">
        <f>K726+StepSize*L726</f>
        <v>543.56498183256724</v>
      </c>
      <c r="L727" s="33">
        <f>K727*Delta+I727*K727-J727*(DeathPayment-K727)</f>
        <v>-132.49492061436231</v>
      </c>
    </row>
    <row r="728" spans="1:12" x14ac:dyDescent="0.45">
      <c r="A728" s="11">
        <v>23.99</v>
      </c>
      <c r="B728" s="14">
        <v>5.6802000000000003E-4</v>
      </c>
      <c r="C728" s="15">
        <v>2.2887999999999999E-4</v>
      </c>
      <c r="F728" s="28">
        <v>7.03</v>
      </c>
      <c r="G728" s="29">
        <f t="shared" si="40"/>
        <v>62.03</v>
      </c>
      <c r="H728" s="29">
        <f t="shared" si="41"/>
        <v>57.03</v>
      </c>
      <c r="I728" s="38">
        <f t="shared" si="42"/>
        <v>9.6213099999999992E-3</v>
      </c>
      <c r="J728" s="38">
        <f t="shared" si="43"/>
        <v>3.5832500000000001E-3</v>
      </c>
      <c r="K728" s="32">
        <f>K727+StepSize*L727</f>
        <v>542.24003262642361</v>
      </c>
      <c r="L728" s="33">
        <f>K728*Delta+I728*K728-J728*(DeathPayment-K728)</f>
        <v>-132.78730106028144</v>
      </c>
    </row>
    <row r="729" spans="1:12" x14ac:dyDescent="0.45">
      <c r="A729" s="11">
        <v>24</v>
      </c>
      <c r="B729" s="14">
        <v>5.6800000000000004E-4</v>
      </c>
      <c r="C729" s="15">
        <v>2.2900000000000001E-4</v>
      </c>
      <c r="F729" s="28">
        <v>7.04</v>
      </c>
      <c r="G729" s="29">
        <f t="shared" ref="G729:G792" si="44">ROUND(MaleAgeStart+F729,2)</f>
        <v>62.04</v>
      </c>
      <c r="H729" s="29">
        <f t="shared" ref="H729:H792" si="45">ROUND(FemaleAgeStart+F729,2)</f>
        <v>57.04</v>
      </c>
      <c r="I729" s="38">
        <f t="shared" ref="I729:I792" si="46">VLOOKUP(G729,muValues,2,FALSE)</f>
        <v>9.6330800000000005E-3</v>
      </c>
      <c r="J729" s="38">
        <f t="shared" ref="J729:J792" si="47">VLOOKUP(H729,muValues,3,FALSE)</f>
        <v>3.5869999999999999E-3</v>
      </c>
      <c r="K729" s="32">
        <f>K728+StepSize*L728</f>
        <v>540.91215961582077</v>
      </c>
      <c r="L729" s="33">
        <f>K729*Delta+I729*K729-J729*(DeathPayment-K729)</f>
        <v>-133.07997273702563</v>
      </c>
    </row>
    <row r="730" spans="1:12" x14ac:dyDescent="0.45">
      <c r="A730" s="11">
        <v>24.01</v>
      </c>
      <c r="B730" s="14">
        <v>5.6798000000000005E-4</v>
      </c>
      <c r="C730" s="15">
        <v>2.2912E-4</v>
      </c>
      <c r="F730" s="28">
        <v>7.05</v>
      </c>
      <c r="G730" s="29">
        <f t="shared" si="44"/>
        <v>62.05</v>
      </c>
      <c r="H730" s="29">
        <f t="shared" si="45"/>
        <v>57.05</v>
      </c>
      <c r="I730" s="38">
        <f t="shared" si="46"/>
        <v>9.64485E-3</v>
      </c>
      <c r="J730" s="38">
        <f t="shared" si="47"/>
        <v>3.5907500000000002E-3</v>
      </c>
      <c r="K730" s="32">
        <f>K729+StepSize*L729</f>
        <v>539.58135988845049</v>
      </c>
      <c r="L730" s="33">
        <f>K730*Delta+I730*K730-J730*(DeathPayment-K730)</f>
        <v>-133.37293602989337</v>
      </c>
    </row>
    <row r="731" spans="1:12" x14ac:dyDescent="0.45">
      <c r="A731" s="11">
        <v>24.02</v>
      </c>
      <c r="B731" s="14">
        <v>5.6795999999999995E-4</v>
      </c>
      <c r="C731" s="15">
        <v>2.2923999999999999E-4</v>
      </c>
      <c r="F731" s="28">
        <v>7.06</v>
      </c>
      <c r="G731" s="29">
        <f t="shared" si="44"/>
        <v>62.06</v>
      </c>
      <c r="H731" s="29">
        <f t="shared" si="45"/>
        <v>57.06</v>
      </c>
      <c r="I731" s="38">
        <f t="shared" si="46"/>
        <v>9.6566199999999994E-3</v>
      </c>
      <c r="J731" s="38">
        <f t="shared" si="47"/>
        <v>3.5945E-3</v>
      </c>
      <c r="K731" s="32">
        <f>K730+StepSize*L730</f>
        <v>538.2476305281516</v>
      </c>
      <c r="L731" s="33">
        <f>K731*Delta+I731*K731-J731*(DeathPayment-K731)</f>
        <v>-133.66619132469373</v>
      </c>
    </row>
    <row r="732" spans="1:12" x14ac:dyDescent="0.45">
      <c r="A732" s="11">
        <v>24.03</v>
      </c>
      <c r="B732" s="14">
        <v>5.6793999999999996E-4</v>
      </c>
      <c r="C732" s="15">
        <v>2.2936000000000001E-4</v>
      </c>
      <c r="F732" s="28">
        <v>7.07</v>
      </c>
      <c r="G732" s="29">
        <f t="shared" si="44"/>
        <v>62.07</v>
      </c>
      <c r="H732" s="29">
        <f t="shared" si="45"/>
        <v>57.07</v>
      </c>
      <c r="I732" s="38">
        <f t="shared" si="46"/>
        <v>9.6683900000000007E-3</v>
      </c>
      <c r="J732" s="38">
        <f t="shared" si="47"/>
        <v>3.5982499999999999E-3</v>
      </c>
      <c r="K732" s="32">
        <f>K731+StepSize*L731</f>
        <v>536.91096861490462</v>
      </c>
      <c r="L732" s="33">
        <f>K732*Delta+I732*K732-J732*(DeathPayment-K732)</f>
        <v>-133.959739007747</v>
      </c>
    </row>
    <row r="733" spans="1:12" x14ac:dyDescent="0.45">
      <c r="A733" s="11">
        <v>24.04</v>
      </c>
      <c r="B733" s="14">
        <v>5.6791999999999997E-4</v>
      </c>
      <c r="C733" s="15">
        <v>2.2948000000000001E-4</v>
      </c>
      <c r="F733" s="28">
        <v>7.08</v>
      </c>
      <c r="G733" s="29">
        <f t="shared" si="44"/>
        <v>62.08</v>
      </c>
      <c r="H733" s="29">
        <f t="shared" si="45"/>
        <v>57.08</v>
      </c>
      <c r="I733" s="38">
        <f t="shared" si="46"/>
        <v>9.6801600000000002E-3</v>
      </c>
      <c r="J733" s="38">
        <f t="shared" si="47"/>
        <v>3.6020000000000002E-3</v>
      </c>
      <c r="K733" s="32">
        <f>K732+StepSize*L732</f>
        <v>535.5713712248272</v>
      </c>
      <c r="L733" s="33">
        <f>K733*Delta+I733*K733-J733*(DeathPayment-K733)</f>
        <v>-134.25357946588545</v>
      </c>
    </row>
    <row r="734" spans="1:12" x14ac:dyDescent="0.45">
      <c r="A734" s="11">
        <v>24.05</v>
      </c>
      <c r="B734" s="14">
        <v>5.6789999999999998E-4</v>
      </c>
      <c r="C734" s="15">
        <v>2.296E-4</v>
      </c>
      <c r="F734" s="28">
        <v>7.09</v>
      </c>
      <c r="G734" s="29">
        <f t="shared" si="44"/>
        <v>62.09</v>
      </c>
      <c r="H734" s="29">
        <f t="shared" si="45"/>
        <v>57.09</v>
      </c>
      <c r="I734" s="38">
        <f t="shared" si="46"/>
        <v>9.6919299999999996E-3</v>
      </c>
      <c r="J734" s="38">
        <f t="shared" si="47"/>
        <v>3.60575E-3</v>
      </c>
      <c r="K734" s="32">
        <f>K733+StepSize*L733</f>
        <v>534.22883543016837</v>
      </c>
      <c r="L734" s="33">
        <f>K734*Delta+I734*K734-J734*(DeathPayment-K734)</f>
        <v>-134.547713086454</v>
      </c>
    </row>
    <row r="735" spans="1:12" x14ac:dyDescent="0.45">
      <c r="A735" s="11">
        <v>24.06</v>
      </c>
      <c r="B735" s="14">
        <v>5.6787999999999999E-4</v>
      </c>
      <c r="C735" s="15">
        <v>2.2971999999999999E-4</v>
      </c>
      <c r="F735" s="28">
        <v>7.1</v>
      </c>
      <c r="G735" s="29">
        <f t="shared" si="44"/>
        <v>62.1</v>
      </c>
      <c r="H735" s="29">
        <f t="shared" si="45"/>
        <v>57.1</v>
      </c>
      <c r="I735" s="38">
        <f t="shared" si="46"/>
        <v>9.7037000000000009E-3</v>
      </c>
      <c r="J735" s="38">
        <f t="shared" si="47"/>
        <v>3.6094999999999999E-3</v>
      </c>
      <c r="K735" s="32">
        <f>K734+StepSize*L734</f>
        <v>532.88335829930384</v>
      </c>
      <c r="L735" s="33">
        <f>K735*Delta+I735*K735-J735*(DeathPayment-K735)</f>
        <v>-134.84214025731112</v>
      </c>
    </row>
    <row r="736" spans="1:12" x14ac:dyDescent="0.45">
      <c r="A736" s="11">
        <v>24.07</v>
      </c>
      <c r="B736" s="14">
        <v>5.6786E-4</v>
      </c>
      <c r="C736" s="15">
        <v>2.2984000000000001E-4</v>
      </c>
      <c r="F736" s="28">
        <v>7.11</v>
      </c>
      <c r="G736" s="29">
        <f t="shared" si="44"/>
        <v>62.11</v>
      </c>
      <c r="H736" s="29">
        <f t="shared" si="45"/>
        <v>57.11</v>
      </c>
      <c r="I736" s="38">
        <f t="shared" si="46"/>
        <v>9.7154700000000004E-3</v>
      </c>
      <c r="J736" s="38">
        <f t="shared" si="47"/>
        <v>3.6132500000000001E-3</v>
      </c>
      <c r="K736" s="32">
        <f>K735+StepSize*L735</f>
        <v>531.53493689673076</v>
      </c>
      <c r="L736" s="33">
        <f>K736*Delta+I736*K736-J736*(DeathPayment-K736)</f>
        <v>-135.13686136682946</v>
      </c>
    </row>
    <row r="737" spans="1:12" x14ac:dyDescent="0.45">
      <c r="A737" s="11">
        <v>24.08</v>
      </c>
      <c r="B737" s="14">
        <v>5.6784000000000001E-4</v>
      </c>
      <c r="C737" s="15">
        <v>2.2996E-4</v>
      </c>
      <c r="F737" s="28">
        <v>7.12</v>
      </c>
      <c r="G737" s="29">
        <f t="shared" si="44"/>
        <v>62.12</v>
      </c>
      <c r="H737" s="29">
        <f t="shared" si="45"/>
        <v>57.12</v>
      </c>
      <c r="I737" s="38">
        <f t="shared" si="46"/>
        <v>9.7272399999999998E-3</v>
      </c>
      <c r="J737" s="38">
        <f t="shared" si="47"/>
        <v>3.617E-3</v>
      </c>
      <c r="K737" s="32">
        <f>K736+StepSize*L736</f>
        <v>530.18356828306241</v>
      </c>
      <c r="L737" s="33">
        <f>K737*Delta+I737*K737-J737*(DeathPayment-K737)</f>
        <v>-135.4318768038965</v>
      </c>
    </row>
    <row r="738" spans="1:12" x14ac:dyDescent="0.45">
      <c r="A738" s="11">
        <v>24.09</v>
      </c>
      <c r="B738" s="14">
        <v>5.6782000000000002E-4</v>
      </c>
      <c r="C738" s="15">
        <v>2.3007999999999999E-4</v>
      </c>
      <c r="F738" s="28">
        <v>7.13</v>
      </c>
      <c r="G738" s="29">
        <f t="shared" si="44"/>
        <v>62.13</v>
      </c>
      <c r="H738" s="29">
        <f t="shared" si="45"/>
        <v>57.13</v>
      </c>
      <c r="I738" s="38">
        <f t="shared" si="46"/>
        <v>9.7390099999999993E-3</v>
      </c>
      <c r="J738" s="38">
        <f t="shared" si="47"/>
        <v>3.6207499999999998E-3</v>
      </c>
      <c r="K738" s="32">
        <f>K737+StepSize*L737</f>
        <v>528.82924951502343</v>
      </c>
      <c r="L738" s="33">
        <f>K738*Delta+I738*K738-J738*(DeathPayment-K738)</f>
        <v>-135.72718695791554</v>
      </c>
    </row>
    <row r="739" spans="1:12" x14ac:dyDescent="0.45">
      <c r="A739" s="11">
        <v>24.1</v>
      </c>
      <c r="B739" s="14">
        <v>5.6780000000000003E-4</v>
      </c>
      <c r="C739" s="15">
        <v>2.3020000000000001E-4</v>
      </c>
      <c r="F739" s="28">
        <v>7.14</v>
      </c>
      <c r="G739" s="29">
        <f t="shared" si="44"/>
        <v>62.14</v>
      </c>
      <c r="H739" s="29">
        <f t="shared" si="45"/>
        <v>57.14</v>
      </c>
      <c r="I739" s="38">
        <f t="shared" si="46"/>
        <v>9.7507800000000006E-3</v>
      </c>
      <c r="J739" s="38">
        <f t="shared" si="47"/>
        <v>3.6245000000000001E-3</v>
      </c>
      <c r="K739" s="32">
        <f>K738+StepSize*L738</f>
        <v>527.47197764544433</v>
      </c>
      <c r="L739" s="33">
        <f>K739*Delta+I739*K739-J739*(DeathPayment-K739)</f>
        <v>-136.02279221880619</v>
      </c>
    </row>
    <row r="740" spans="1:12" x14ac:dyDescent="0.45">
      <c r="A740" s="11">
        <v>24.11</v>
      </c>
      <c r="B740" s="14">
        <v>5.6778000000000004E-4</v>
      </c>
      <c r="C740" s="15">
        <v>2.3032E-4</v>
      </c>
      <c r="F740" s="28">
        <v>7.15</v>
      </c>
      <c r="G740" s="29">
        <f t="shared" si="44"/>
        <v>62.15</v>
      </c>
      <c r="H740" s="29">
        <f t="shared" si="45"/>
        <v>57.15</v>
      </c>
      <c r="I740" s="38">
        <f t="shared" si="46"/>
        <v>9.76255E-3</v>
      </c>
      <c r="J740" s="38">
        <f t="shared" si="47"/>
        <v>3.62825E-3</v>
      </c>
      <c r="K740" s="32">
        <f>K739+StepSize*L739</f>
        <v>526.11174972325625</v>
      </c>
      <c r="L740" s="33">
        <f>K740*Delta+I740*K740-J740*(DeathPayment-K740)</f>
        <v>-136.31869297700524</v>
      </c>
    </row>
    <row r="741" spans="1:12" x14ac:dyDescent="0.45">
      <c r="A741" s="11">
        <v>24.12</v>
      </c>
      <c r="B741" s="14">
        <v>5.6776000000000005E-4</v>
      </c>
      <c r="C741" s="15">
        <v>2.3044E-4</v>
      </c>
      <c r="F741" s="28">
        <v>7.16</v>
      </c>
      <c r="G741" s="29">
        <f t="shared" si="44"/>
        <v>62.16</v>
      </c>
      <c r="H741" s="29">
        <f t="shared" si="45"/>
        <v>57.16</v>
      </c>
      <c r="I741" s="38">
        <f t="shared" si="46"/>
        <v>9.7743199999999995E-3</v>
      </c>
      <c r="J741" s="38">
        <f t="shared" si="47"/>
        <v>3.6319999999999998E-3</v>
      </c>
      <c r="K741" s="32">
        <f>K740+StepSize*L740</f>
        <v>524.74856279348614</v>
      </c>
      <c r="L741" s="33">
        <f>K741*Delta+I741*K741-J741*(DeathPayment-K741)</f>
        <v>-136.61488962346755</v>
      </c>
    </row>
    <row r="742" spans="1:12" x14ac:dyDescent="0.45">
      <c r="A742" s="11">
        <v>24.13</v>
      </c>
      <c r="B742" s="14">
        <v>5.6773999999999995E-4</v>
      </c>
      <c r="C742" s="15">
        <v>2.3055999999999999E-4</v>
      </c>
      <c r="F742" s="28">
        <v>7.17</v>
      </c>
      <c r="G742" s="29">
        <f t="shared" si="44"/>
        <v>62.17</v>
      </c>
      <c r="H742" s="29">
        <f t="shared" si="45"/>
        <v>57.17</v>
      </c>
      <c r="I742" s="38">
        <f t="shared" si="46"/>
        <v>9.7860900000000008E-3</v>
      </c>
      <c r="J742" s="38">
        <f t="shared" si="47"/>
        <v>3.6357500000000001E-3</v>
      </c>
      <c r="K742" s="32">
        <f>K741+StepSize*L741</f>
        <v>523.38241389725147</v>
      </c>
      <c r="L742" s="33">
        <f>K742*Delta+I742*K742-J742*(DeathPayment-K742)</f>
        <v>-136.91138254966643</v>
      </c>
    </row>
    <row r="743" spans="1:12" x14ac:dyDescent="0.45">
      <c r="A743" s="11">
        <v>24.14</v>
      </c>
      <c r="B743" s="14">
        <v>5.6771999999999997E-4</v>
      </c>
      <c r="C743" s="15">
        <v>2.3068000000000001E-4</v>
      </c>
      <c r="F743" s="28">
        <v>7.18</v>
      </c>
      <c r="G743" s="29">
        <f t="shared" si="44"/>
        <v>62.18</v>
      </c>
      <c r="H743" s="29">
        <f t="shared" si="45"/>
        <v>57.18</v>
      </c>
      <c r="I743" s="38">
        <f t="shared" si="46"/>
        <v>9.7978600000000002E-3</v>
      </c>
      <c r="J743" s="38">
        <f t="shared" si="47"/>
        <v>3.6394999999999999E-3</v>
      </c>
      <c r="K743" s="32">
        <f>K742+StepSize*L742</f>
        <v>522.01330007175477</v>
      </c>
      <c r="L743" s="33">
        <f>K743*Delta+I743*K743-J743*(DeathPayment-K743)</f>
        <v>-137.20817214759464</v>
      </c>
    </row>
    <row r="744" spans="1:12" x14ac:dyDescent="0.45">
      <c r="A744" s="11">
        <v>24.15</v>
      </c>
      <c r="B744" s="14">
        <v>5.6769999999999998E-4</v>
      </c>
      <c r="C744" s="15">
        <v>2.308E-4</v>
      </c>
      <c r="F744" s="28">
        <v>7.19</v>
      </c>
      <c r="G744" s="29">
        <f t="shared" si="44"/>
        <v>62.19</v>
      </c>
      <c r="H744" s="29">
        <f t="shared" si="45"/>
        <v>57.19</v>
      </c>
      <c r="I744" s="38">
        <f t="shared" si="46"/>
        <v>9.8096299999999997E-3</v>
      </c>
      <c r="J744" s="38">
        <f t="shared" si="47"/>
        <v>3.6432499999999998E-3</v>
      </c>
      <c r="K744" s="32">
        <f>K743+StepSize*L743</f>
        <v>520.64121835027879</v>
      </c>
      <c r="L744" s="33">
        <f>K744*Delta+I744*K744-J744*(DeathPayment-K744)</f>
        <v>-137.50525880976517</v>
      </c>
    </row>
    <row r="745" spans="1:12" x14ac:dyDescent="0.45">
      <c r="A745" s="11">
        <v>24.16</v>
      </c>
      <c r="B745" s="14">
        <v>5.6767999999999999E-4</v>
      </c>
      <c r="C745" s="15">
        <v>2.3091999999999999E-4</v>
      </c>
      <c r="F745" s="28">
        <v>7.2</v>
      </c>
      <c r="G745" s="29">
        <f t="shared" si="44"/>
        <v>62.2</v>
      </c>
      <c r="H745" s="29">
        <f t="shared" si="45"/>
        <v>57.2</v>
      </c>
      <c r="I745" s="38">
        <f t="shared" si="46"/>
        <v>9.8213999999999992E-3</v>
      </c>
      <c r="J745" s="38">
        <f t="shared" si="47"/>
        <v>3.6470000000000001E-3</v>
      </c>
      <c r="K745" s="32">
        <f>K744+StepSize*L744</f>
        <v>519.26616576218112</v>
      </c>
      <c r="L745" s="33">
        <f>K745*Delta+I745*K745-J745*(DeathPayment-K745)</f>
        <v>-137.80264292921194</v>
      </c>
    </row>
    <row r="746" spans="1:12" x14ac:dyDescent="0.45">
      <c r="A746" s="11">
        <v>24.17</v>
      </c>
      <c r="B746" s="14">
        <v>5.6766E-4</v>
      </c>
      <c r="C746" s="15">
        <v>2.3104000000000001E-4</v>
      </c>
      <c r="F746" s="28">
        <v>7.21</v>
      </c>
      <c r="G746" s="29">
        <f t="shared" si="44"/>
        <v>62.21</v>
      </c>
      <c r="H746" s="29">
        <f t="shared" si="45"/>
        <v>57.21</v>
      </c>
      <c r="I746" s="38">
        <f t="shared" si="46"/>
        <v>9.8331700000000005E-3</v>
      </c>
      <c r="J746" s="38">
        <f t="shared" si="47"/>
        <v>3.6507499999999999E-3</v>
      </c>
      <c r="K746" s="32">
        <f>K745+StepSize*L745</f>
        <v>517.88813933288895</v>
      </c>
      <c r="L746" s="33">
        <f>K746*Delta+I746*K746-J746*(DeathPayment-K746)</f>
        <v>-138.10032489949035</v>
      </c>
    </row>
    <row r="747" spans="1:12" x14ac:dyDescent="0.45">
      <c r="A747" s="11">
        <v>24.18</v>
      </c>
      <c r="B747" s="14">
        <v>5.6764000000000001E-4</v>
      </c>
      <c r="C747" s="15">
        <v>2.3116E-4</v>
      </c>
      <c r="F747" s="28">
        <v>7.22</v>
      </c>
      <c r="G747" s="29">
        <f t="shared" si="44"/>
        <v>62.22</v>
      </c>
      <c r="H747" s="29">
        <f t="shared" si="45"/>
        <v>57.22</v>
      </c>
      <c r="I747" s="38">
        <f t="shared" si="46"/>
        <v>9.8449399999999999E-3</v>
      </c>
      <c r="J747" s="38">
        <f t="shared" si="47"/>
        <v>3.6545000000000002E-3</v>
      </c>
      <c r="K747" s="32">
        <f>K746+StepSize*L746</f>
        <v>516.50713608389401</v>
      </c>
      <c r="L747" s="33">
        <f>K747*Delta+I747*K747-J747*(DeathPayment-K747)</f>
        <v>-138.39830511467846</v>
      </c>
    </row>
    <row r="748" spans="1:12" x14ac:dyDescent="0.45">
      <c r="A748" s="11">
        <v>24.19</v>
      </c>
      <c r="B748" s="14">
        <v>5.6762000000000002E-4</v>
      </c>
      <c r="C748" s="15">
        <v>2.3127999999999999E-4</v>
      </c>
      <c r="F748" s="28">
        <v>7.23</v>
      </c>
      <c r="G748" s="29">
        <f t="shared" si="44"/>
        <v>62.23</v>
      </c>
      <c r="H748" s="29">
        <f t="shared" si="45"/>
        <v>57.23</v>
      </c>
      <c r="I748" s="38">
        <f t="shared" si="46"/>
        <v>9.8567099999999994E-3</v>
      </c>
      <c r="J748" s="38">
        <f t="shared" si="47"/>
        <v>3.65825E-3</v>
      </c>
      <c r="K748" s="32">
        <f>K747+StepSize*L747</f>
        <v>515.12315303274727</v>
      </c>
      <c r="L748" s="33">
        <f>K748*Delta+I748*K748-J748*(DeathPayment-K748)</f>
        <v>-138.69658396937729</v>
      </c>
    </row>
    <row r="749" spans="1:12" x14ac:dyDescent="0.45">
      <c r="A749" s="11">
        <v>24.2</v>
      </c>
      <c r="B749" s="14">
        <v>5.6760000000000003E-4</v>
      </c>
      <c r="C749" s="15">
        <v>2.3139999999999999E-4</v>
      </c>
      <c r="F749" s="28">
        <v>7.24</v>
      </c>
      <c r="G749" s="29">
        <f t="shared" si="44"/>
        <v>62.24</v>
      </c>
      <c r="H749" s="29">
        <f t="shared" si="45"/>
        <v>57.24</v>
      </c>
      <c r="I749" s="38">
        <f t="shared" si="46"/>
        <v>9.8684800000000007E-3</v>
      </c>
      <c r="J749" s="38">
        <f t="shared" si="47"/>
        <v>3.6619999999999999E-3</v>
      </c>
      <c r="K749" s="32">
        <f>K748+StepSize*L748</f>
        <v>513.73618719305352</v>
      </c>
      <c r="L749" s="33">
        <f>K749*Delta+I749*K749-J749*(DeathPayment-K749)</f>
        <v>-138.99516185871187</v>
      </c>
    </row>
    <row r="750" spans="1:12" x14ac:dyDescent="0.45">
      <c r="A750" s="11">
        <v>24.21</v>
      </c>
      <c r="B750" s="14">
        <v>5.6758000000000004E-4</v>
      </c>
      <c r="C750" s="15">
        <v>2.3152000000000001E-4</v>
      </c>
      <c r="F750" s="28">
        <v>7.25</v>
      </c>
      <c r="G750" s="29">
        <f t="shared" si="44"/>
        <v>62.25</v>
      </c>
      <c r="H750" s="29">
        <f t="shared" si="45"/>
        <v>57.25</v>
      </c>
      <c r="I750" s="38">
        <f t="shared" si="46"/>
        <v>9.8802500000000001E-3</v>
      </c>
      <c r="J750" s="38">
        <f t="shared" si="47"/>
        <v>3.6657500000000002E-3</v>
      </c>
      <c r="K750" s="32">
        <f>K749+StepSize*L749</f>
        <v>512.34623557446639</v>
      </c>
      <c r="L750" s="33">
        <f>K750*Delta+I750*K750-J750*(DeathPayment-K750)</f>
        <v>-139.29403917833193</v>
      </c>
    </row>
    <row r="751" spans="1:12" x14ac:dyDescent="0.45">
      <c r="A751" s="11">
        <v>24.22</v>
      </c>
      <c r="B751" s="14">
        <v>5.6756000000000005E-4</v>
      </c>
      <c r="C751" s="15">
        <v>2.3164E-4</v>
      </c>
      <c r="F751" s="28">
        <v>7.26</v>
      </c>
      <c r="G751" s="29">
        <f t="shared" si="44"/>
        <v>62.26</v>
      </c>
      <c r="H751" s="29">
        <f t="shared" si="45"/>
        <v>57.26</v>
      </c>
      <c r="I751" s="38">
        <f t="shared" si="46"/>
        <v>9.8920199999999996E-3</v>
      </c>
      <c r="J751" s="38">
        <f t="shared" si="47"/>
        <v>3.6695E-3</v>
      </c>
      <c r="K751" s="32">
        <f>K750+StepSize*L750</f>
        <v>510.95329518268306</v>
      </c>
      <c r="L751" s="33">
        <f>K751*Delta+I751*K751-J751*(DeathPayment-K751)</f>
        <v>-139.59321632441254</v>
      </c>
    </row>
    <row r="752" spans="1:12" x14ac:dyDescent="0.45">
      <c r="A752" s="11">
        <v>24.23</v>
      </c>
      <c r="B752" s="14">
        <v>5.6753999999999995E-4</v>
      </c>
      <c r="C752" s="15">
        <v>2.3175999999999999E-4</v>
      </c>
      <c r="F752" s="28">
        <v>7.27</v>
      </c>
      <c r="G752" s="29">
        <f t="shared" si="44"/>
        <v>62.27</v>
      </c>
      <c r="H752" s="29">
        <f t="shared" si="45"/>
        <v>57.27</v>
      </c>
      <c r="I752" s="38">
        <f t="shared" si="46"/>
        <v>9.9037900000000009E-3</v>
      </c>
      <c r="J752" s="38">
        <f t="shared" si="47"/>
        <v>3.6732499999999999E-3</v>
      </c>
      <c r="K752" s="32">
        <f>K751+StepSize*L751</f>
        <v>509.55736301943892</v>
      </c>
      <c r="L752" s="33">
        <f>K752*Delta+I752*K752-J752*(DeathPayment-K752)</f>
        <v>-139.89269369365505</v>
      </c>
    </row>
    <row r="753" spans="1:12" x14ac:dyDescent="0.45">
      <c r="A753" s="11">
        <v>24.24</v>
      </c>
      <c r="B753" s="14">
        <v>5.6751999999999996E-4</v>
      </c>
      <c r="C753" s="15">
        <v>2.3188000000000001E-4</v>
      </c>
      <c r="F753" s="28">
        <v>7.28</v>
      </c>
      <c r="G753" s="29">
        <f t="shared" si="44"/>
        <v>62.28</v>
      </c>
      <c r="H753" s="29">
        <f t="shared" si="45"/>
        <v>57.28</v>
      </c>
      <c r="I753" s="38">
        <f t="shared" si="46"/>
        <v>9.9155600000000003E-3</v>
      </c>
      <c r="J753" s="38">
        <f t="shared" si="47"/>
        <v>3.6770000000000001E-3</v>
      </c>
      <c r="K753" s="32">
        <f>K752+StepSize*L752</f>
        <v>508.15843608250236</v>
      </c>
      <c r="L753" s="33">
        <f>K753*Delta+I753*K753-J753*(DeathPayment-K753)</f>
        <v>-140.19247168328772</v>
      </c>
    </row>
    <row r="754" spans="1:12" x14ac:dyDescent="0.45">
      <c r="A754" s="11">
        <v>24.25</v>
      </c>
      <c r="B754" s="14">
        <v>5.6749999999999997E-4</v>
      </c>
      <c r="C754" s="15">
        <v>2.32E-4</v>
      </c>
      <c r="F754" s="28">
        <v>7.29</v>
      </c>
      <c r="G754" s="29">
        <f t="shared" si="44"/>
        <v>62.29</v>
      </c>
      <c r="H754" s="29">
        <f t="shared" si="45"/>
        <v>57.29</v>
      </c>
      <c r="I754" s="38">
        <f t="shared" si="46"/>
        <v>9.9273299999999998E-3</v>
      </c>
      <c r="J754" s="38">
        <f t="shared" si="47"/>
        <v>3.68075E-3</v>
      </c>
      <c r="K754" s="32">
        <f>K753+StepSize*L753</f>
        <v>506.7565113656695</v>
      </c>
      <c r="L754" s="33">
        <f>K754*Delta+I754*K754-J754*(DeathPayment-K754)</f>
        <v>-140.49255069106655</v>
      </c>
    </row>
    <row r="755" spans="1:12" x14ac:dyDescent="0.45">
      <c r="A755" s="11">
        <v>24.26</v>
      </c>
      <c r="B755" s="14">
        <v>5.6747999999999998E-4</v>
      </c>
      <c r="C755" s="15">
        <v>2.3211999999999999E-4</v>
      </c>
      <c r="F755" s="28">
        <v>7.3</v>
      </c>
      <c r="G755" s="29">
        <f t="shared" si="44"/>
        <v>62.3</v>
      </c>
      <c r="H755" s="29">
        <f t="shared" si="45"/>
        <v>57.3</v>
      </c>
      <c r="I755" s="38">
        <f t="shared" si="46"/>
        <v>9.9390999999999993E-3</v>
      </c>
      <c r="J755" s="38">
        <f t="shared" si="47"/>
        <v>3.6844999999999998E-3</v>
      </c>
      <c r="K755" s="32">
        <f>K754+StepSize*L754</f>
        <v>505.35158585875882</v>
      </c>
      <c r="L755" s="33">
        <f>K755*Delta+I755*K755-J755*(DeathPayment-K755)</f>
        <v>-140.79293111527596</v>
      </c>
    </row>
    <row r="756" spans="1:12" x14ac:dyDescent="0.45">
      <c r="A756" s="11">
        <v>24.27</v>
      </c>
      <c r="B756" s="14">
        <v>5.6745999999999999E-4</v>
      </c>
      <c r="C756" s="15">
        <v>2.3224000000000001E-4</v>
      </c>
      <c r="F756" s="28">
        <v>7.31</v>
      </c>
      <c r="G756" s="29">
        <f t="shared" si="44"/>
        <v>62.31</v>
      </c>
      <c r="H756" s="29">
        <f t="shared" si="45"/>
        <v>57.31</v>
      </c>
      <c r="I756" s="38">
        <f t="shared" si="46"/>
        <v>9.9508700000000005E-3</v>
      </c>
      <c r="J756" s="38">
        <f t="shared" si="47"/>
        <v>3.6882500000000001E-3</v>
      </c>
      <c r="K756" s="32">
        <f>K755+StepSize*L755</f>
        <v>503.94365654760605</v>
      </c>
      <c r="L756" s="33">
        <f>K756*Delta+I756*K756-J756*(DeathPayment-K756)</f>
        <v>-141.09361335472968</v>
      </c>
    </row>
    <row r="757" spans="1:12" x14ac:dyDescent="0.45">
      <c r="A757" s="11">
        <v>24.28</v>
      </c>
      <c r="B757" s="14">
        <v>5.6744E-4</v>
      </c>
      <c r="C757" s="15">
        <v>2.3236E-4</v>
      </c>
      <c r="F757" s="28">
        <v>7.32</v>
      </c>
      <c r="G757" s="29">
        <f t="shared" si="44"/>
        <v>62.32</v>
      </c>
      <c r="H757" s="29">
        <f t="shared" si="45"/>
        <v>57.32</v>
      </c>
      <c r="I757" s="38">
        <f t="shared" si="46"/>
        <v>9.96264E-3</v>
      </c>
      <c r="J757" s="38">
        <f t="shared" si="47"/>
        <v>3.692E-3</v>
      </c>
      <c r="K757" s="32">
        <f>K756+StepSize*L756</f>
        <v>502.53272041405876</v>
      </c>
      <c r="L757" s="33">
        <f>K757*Delta+I757*K757-J757*(DeathPayment-K757)</f>
        <v>-141.39459780877138</v>
      </c>
    </row>
    <row r="758" spans="1:12" x14ac:dyDescent="0.45">
      <c r="A758" s="11">
        <v>24.29</v>
      </c>
      <c r="B758" s="14">
        <v>5.6742000000000001E-4</v>
      </c>
      <c r="C758" s="15">
        <v>2.3248E-4</v>
      </c>
      <c r="F758" s="28">
        <v>7.33</v>
      </c>
      <c r="G758" s="29">
        <f t="shared" si="44"/>
        <v>62.33</v>
      </c>
      <c r="H758" s="29">
        <f t="shared" si="45"/>
        <v>57.33</v>
      </c>
      <c r="I758" s="38">
        <f t="shared" si="46"/>
        <v>9.9744099999999995E-3</v>
      </c>
      <c r="J758" s="38">
        <f t="shared" si="47"/>
        <v>3.6957499999999998E-3</v>
      </c>
      <c r="K758" s="32">
        <f>K757+StepSize*L757</f>
        <v>501.11877443597103</v>
      </c>
      <c r="L758" s="33">
        <f>K758*Delta+I758*K758-J758*(DeathPayment-K758)</f>
        <v>-141.69588487727555</v>
      </c>
    </row>
    <row r="759" spans="1:12" x14ac:dyDescent="0.45">
      <c r="A759" s="11">
        <v>24.3</v>
      </c>
      <c r="B759" s="14">
        <v>5.6740000000000002E-4</v>
      </c>
      <c r="C759" s="15">
        <v>2.3259999999999999E-4</v>
      </c>
      <c r="F759" s="28">
        <v>7.34</v>
      </c>
      <c r="G759" s="29">
        <f t="shared" si="44"/>
        <v>62.34</v>
      </c>
      <c r="H759" s="29">
        <f t="shared" si="45"/>
        <v>57.34</v>
      </c>
      <c r="I759" s="38">
        <f t="shared" si="46"/>
        <v>9.9861800000000008E-3</v>
      </c>
      <c r="J759" s="38">
        <f t="shared" si="47"/>
        <v>3.6995000000000001E-3</v>
      </c>
      <c r="K759" s="32">
        <f>K758+StepSize*L758</f>
        <v>499.70181558719827</v>
      </c>
      <c r="L759" s="33">
        <f>K759*Delta+I759*K759-J759*(DeathPayment-K759)</f>
        <v>-141.99747496064811</v>
      </c>
    </row>
    <row r="760" spans="1:12" x14ac:dyDescent="0.45">
      <c r="A760" s="11">
        <v>24.31</v>
      </c>
      <c r="B760" s="14">
        <v>5.6738000000000003E-4</v>
      </c>
      <c r="C760" s="15">
        <v>2.3272000000000001E-4</v>
      </c>
      <c r="F760" s="28">
        <v>7.35</v>
      </c>
      <c r="G760" s="29">
        <f t="shared" si="44"/>
        <v>62.35</v>
      </c>
      <c r="H760" s="29">
        <f t="shared" si="45"/>
        <v>57.35</v>
      </c>
      <c r="I760" s="38">
        <f t="shared" si="46"/>
        <v>9.9979500000000002E-3</v>
      </c>
      <c r="J760" s="38">
        <f t="shared" si="47"/>
        <v>3.7032499999999999E-3</v>
      </c>
      <c r="K760" s="32">
        <f>K759+StepSize*L759</f>
        <v>498.2818408375918</v>
      </c>
      <c r="L760" s="33">
        <f>K760*Delta+I760*K760-J760*(DeathPayment-K760)</f>
        <v>-142.29936845982741</v>
      </c>
    </row>
    <row r="761" spans="1:12" x14ac:dyDescent="0.45">
      <c r="A761" s="11">
        <v>24.32</v>
      </c>
      <c r="B761" s="14">
        <v>5.6736000000000004E-4</v>
      </c>
      <c r="C761" s="15">
        <v>2.3284E-4</v>
      </c>
      <c r="F761" s="28">
        <v>7.36</v>
      </c>
      <c r="G761" s="29">
        <f t="shared" si="44"/>
        <v>62.36</v>
      </c>
      <c r="H761" s="29">
        <f t="shared" si="45"/>
        <v>57.36</v>
      </c>
      <c r="I761" s="38">
        <f t="shared" si="46"/>
        <v>1.000972E-2</v>
      </c>
      <c r="J761" s="38">
        <f t="shared" si="47"/>
        <v>3.7069999999999998E-3</v>
      </c>
      <c r="K761" s="32">
        <f>K760+StepSize*L760</f>
        <v>496.85884715299352</v>
      </c>
      <c r="L761" s="33">
        <f>K761*Delta+I761*K761-J761*(DeathPayment-K761)</f>
        <v>-142.60156577628476</v>
      </c>
    </row>
    <row r="762" spans="1:12" x14ac:dyDescent="0.45">
      <c r="A762" s="11">
        <v>24.33</v>
      </c>
      <c r="B762" s="14">
        <v>5.6734000000000005E-4</v>
      </c>
      <c r="C762" s="15">
        <v>2.3295999999999999E-4</v>
      </c>
      <c r="F762" s="28">
        <v>7.37</v>
      </c>
      <c r="G762" s="29">
        <f t="shared" si="44"/>
        <v>62.37</v>
      </c>
      <c r="H762" s="29">
        <f t="shared" si="45"/>
        <v>57.37</v>
      </c>
      <c r="I762" s="38">
        <f t="shared" si="46"/>
        <v>1.0021489999999999E-2</v>
      </c>
      <c r="J762" s="38">
        <f t="shared" si="47"/>
        <v>3.7107500000000001E-3</v>
      </c>
      <c r="K762" s="32">
        <f>K761+StepSize*L761</f>
        <v>495.43283149523069</v>
      </c>
      <c r="L762" s="33">
        <f>K762*Delta+I762*K762-J762*(DeathPayment-K762)</f>
        <v>-142.90406731202546</v>
      </c>
    </row>
    <row r="763" spans="1:12" x14ac:dyDescent="0.45">
      <c r="A763" s="11">
        <v>24.34</v>
      </c>
      <c r="B763" s="14">
        <v>5.6731999999999996E-4</v>
      </c>
      <c r="C763" s="15">
        <v>2.3308000000000001E-4</v>
      </c>
      <c r="F763" s="28">
        <v>7.38</v>
      </c>
      <c r="G763" s="29">
        <f t="shared" si="44"/>
        <v>62.38</v>
      </c>
      <c r="H763" s="29">
        <f t="shared" si="45"/>
        <v>57.38</v>
      </c>
      <c r="I763" s="38">
        <f t="shared" si="46"/>
        <v>1.003326E-2</v>
      </c>
      <c r="J763" s="38">
        <f t="shared" si="47"/>
        <v>3.7144999999999999E-3</v>
      </c>
      <c r="K763" s="32">
        <f>K762+StepSize*L762</f>
        <v>494.00379082211043</v>
      </c>
      <c r="L763" s="33">
        <f>K763*Delta+I763*K763-J763*(DeathPayment-K763)</f>
        <v>-143.20687346958917</v>
      </c>
    </row>
    <row r="764" spans="1:12" x14ac:dyDescent="0.45">
      <c r="A764" s="11">
        <v>24.35</v>
      </c>
      <c r="B764" s="14">
        <v>5.6729999999999997E-4</v>
      </c>
      <c r="C764" s="15">
        <v>2.332E-4</v>
      </c>
      <c r="F764" s="28">
        <v>7.39</v>
      </c>
      <c r="G764" s="29">
        <f t="shared" si="44"/>
        <v>62.39</v>
      </c>
      <c r="H764" s="29">
        <f t="shared" si="45"/>
        <v>57.39</v>
      </c>
      <c r="I764" s="38">
        <f t="shared" si="46"/>
        <v>1.004503E-2</v>
      </c>
      <c r="J764" s="38">
        <f t="shared" si="47"/>
        <v>3.7182500000000002E-3</v>
      </c>
      <c r="K764" s="32">
        <f>K763+StepSize*L763</f>
        <v>492.57172208741451</v>
      </c>
      <c r="L764" s="33">
        <f>K764*Delta+I764*K764-J764*(DeathPayment-K764)</f>
        <v>-143.5099846520512</v>
      </c>
    </row>
    <row r="765" spans="1:12" x14ac:dyDescent="0.45">
      <c r="A765" s="11">
        <v>24.36</v>
      </c>
      <c r="B765" s="14">
        <v>5.6727999999999998E-4</v>
      </c>
      <c r="C765" s="15">
        <v>2.3332E-4</v>
      </c>
      <c r="F765" s="28">
        <v>7.4</v>
      </c>
      <c r="G765" s="29">
        <f t="shared" si="44"/>
        <v>62.4</v>
      </c>
      <c r="H765" s="29">
        <f t="shared" si="45"/>
        <v>57.4</v>
      </c>
      <c r="I765" s="38">
        <f t="shared" si="46"/>
        <v>1.0056799999999999E-2</v>
      </c>
      <c r="J765" s="38">
        <f t="shared" si="47"/>
        <v>3.722E-3</v>
      </c>
      <c r="K765" s="32">
        <f>K764+StepSize*L764</f>
        <v>491.13662224089398</v>
      </c>
      <c r="L765" s="33">
        <f>K765*Delta+I765*K765-J765*(DeathPayment-K765)</f>
        <v>-143.81340126302283</v>
      </c>
    </row>
    <row r="766" spans="1:12" x14ac:dyDescent="0.45">
      <c r="A766" s="11">
        <v>24.37</v>
      </c>
      <c r="B766" s="14">
        <v>5.6725999999999999E-4</v>
      </c>
      <c r="C766" s="15">
        <v>2.3343999999999999E-4</v>
      </c>
      <c r="F766" s="28">
        <v>7.41</v>
      </c>
      <c r="G766" s="29">
        <f t="shared" si="44"/>
        <v>62.41</v>
      </c>
      <c r="H766" s="29">
        <f t="shared" si="45"/>
        <v>57.41</v>
      </c>
      <c r="I766" s="38">
        <f t="shared" si="46"/>
        <v>1.0068570000000001E-2</v>
      </c>
      <c r="J766" s="38">
        <f t="shared" si="47"/>
        <v>3.7257499999999999E-3</v>
      </c>
      <c r="K766" s="32">
        <f>K765+StepSize*L765</f>
        <v>489.69848822826378</v>
      </c>
      <c r="L766" s="33">
        <f>K766*Delta+I766*K766-J766*(DeathPayment-K766)</f>
        <v>-144.11712370665234</v>
      </c>
    </row>
    <row r="767" spans="1:12" x14ac:dyDescent="0.45">
      <c r="A767" s="11">
        <v>24.38</v>
      </c>
      <c r="B767" s="14">
        <v>5.6724E-4</v>
      </c>
      <c r="C767" s="15">
        <v>2.3356000000000001E-4</v>
      </c>
      <c r="F767" s="28">
        <v>7.42</v>
      </c>
      <c r="G767" s="29">
        <f t="shared" si="44"/>
        <v>62.42</v>
      </c>
      <c r="H767" s="29">
        <f t="shared" si="45"/>
        <v>57.42</v>
      </c>
      <c r="I767" s="38">
        <f t="shared" si="46"/>
        <v>1.008034E-2</v>
      </c>
      <c r="J767" s="38">
        <f t="shared" si="47"/>
        <v>3.7295000000000002E-3</v>
      </c>
      <c r="K767" s="32">
        <f>K766+StepSize*L766</f>
        <v>488.25731699119729</v>
      </c>
      <c r="L767" s="33">
        <f>K767*Delta+I767*K767-J767*(DeathPayment-K767)</f>
        <v>-144.42115238762571</v>
      </c>
    </row>
    <row r="768" spans="1:12" x14ac:dyDescent="0.45">
      <c r="A768" s="11">
        <v>24.39</v>
      </c>
      <c r="B768" s="14">
        <v>5.6722000000000001E-4</v>
      </c>
      <c r="C768" s="15">
        <v>2.3368E-4</v>
      </c>
      <c r="F768" s="28">
        <v>7.43</v>
      </c>
      <c r="G768" s="29">
        <f t="shared" si="44"/>
        <v>62.43</v>
      </c>
      <c r="H768" s="29">
        <f t="shared" si="45"/>
        <v>57.43</v>
      </c>
      <c r="I768" s="38">
        <f t="shared" si="46"/>
        <v>1.009211E-2</v>
      </c>
      <c r="J768" s="38">
        <f t="shared" si="47"/>
        <v>3.73325E-3</v>
      </c>
      <c r="K768" s="32">
        <f>K767+StepSize*L767</f>
        <v>486.81310546732101</v>
      </c>
      <c r="L768" s="33">
        <f>K768*Delta+I768*K768-J768*(DeathPayment-K768)</f>
        <v>-144.72548771116737</v>
      </c>
    </row>
    <row r="769" spans="1:12" x14ac:dyDescent="0.45">
      <c r="A769" s="11">
        <v>24.4</v>
      </c>
      <c r="B769" s="14">
        <v>5.6720000000000002E-4</v>
      </c>
      <c r="C769" s="15">
        <v>2.3379999999999999E-4</v>
      </c>
      <c r="F769" s="28">
        <v>7.44</v>
      </c>
      <c r="G769" s="29">
        <f t="shared" si="44"/>
        <v>62.44</v>
      </c>
      <c r="H769" s="29">
        <f t="shared" si="45"/>
        <v>57.44</v>
      </c>
      <c r="I769" s="38">
        <f t="shared" si="46"/>
        <v>1.0103880000000001E-2</v>
      </c>
      <c r="J769" s="38">
        <f t="shared" si="47"/>
        <v>3.7369999999999999E-3</v>
      </c>
      <c r="K769" s="32">
        <f>K768+StepSize*L768</f>
        <v>485.36585059020933</v>
      </c>
      <c r="L769" s="33">
        <f>K769*Delta+I769*K769-J769*(DeathPayment-K769)</f>
        <v>-145.03013008304109</v>
      </c>
    </row>
    <row r="770" spans="1:12" x14ac:dyDescent="0.45">
      <c r="A770" s="11">
        <v>24.41</v>
      </c>
      <c r="B770" s="14">
        <v>5.6718000000000003E-4</v>
      </c>
      <c r="C770" s="15">
        <v>2.3392000000000001E-4</v>
      </c>
      <c r="F770" s="28">
        <v>7.45</v>
      </c>
      <c r="G770" s="29">
        <f t="shared" si="44"/>
        <v>62.45</v>
      </c>
      <c r="H770" s="29">
        <f t="shared" si="45"/>
        <v>57.45</v>
      </c>
      <c r="I770" s="38">
        <f t="shared" si="46"/>
        <v>1.011565E-2</v>
      </c>
      <c r="J770" s="38">
        <f t="shared" si="47"/>
        <v>3.7407500000000002E-3</v>
      </c>
      <c r="K770" s="32">
        <f>K769+StepSize*L769</f>
        <v>483.91554928937893</v>
      </c>
      <c r="L770" s="33">
        <f>K770*Delta+I770*K770-J770*(DeathPayment-K770)</f>
        <v>-145.33507990955061</v>
      </c>
    </row>
    <row r="771" spans="1:12" x14ac:dyDescent="0.45">
      <c r="A771" s="11">
        <v>24.42</v>
      </c>
      <c r="B771" s="14">
        <v>5.6716000000000004E-4</v>
      </c>
      <c r="C771" s="15">
        <v>2.3404E-4</v>
      </c>
      <c r="F771" s="28">
        <v>7.46</v>
      </c>
      <c r="G771" s="29">
        <f t="shared" si="44"/>
        <v>62.46</v>
      </c>
      <c r="H771" s="29">
        <f t="shared" si="45"/>
        <v>57.46</v>
      </c>
      <c r="I771" s="38">
        <f t="shared" si="46"/>
        <v>1.012742E-2</v>
      </c>
      <c r="J771" s="38">
        <f t="shared" si="47"/>
        <v>3.7445E-3</v>
      </c>
      <c r="K771" s="32">
        <f>K770+StepSize*L770</f>
        <v>482.46219849028341</v>
      </c>
      <c r="L771" s="33">
        <f>K771*Delta+I771*K771-J771*(DeathPayment-K771)</f>
        <v>-145.64033759754051</v>
      </c>
    </row>
    <row r="772" spans="1:12" x14ac:dyDescent="0.45">
      <c r="A772" s="11">
        <v>24.43</v>
      </c>
      <c r="B772" s="14">
        <v>5.6714000000000005E-4</v>
      </c>
      <c r="C772" s="15">
        <v>2.3415999999999999E-4</v>
      </c>
      <c r="F772" s="28">
        <v>7.47</v>
      </c>
      <c r="G772" s="29">
        <f t="shared" si="44"/>
        <v>62.47</v>
      </c>
      <c r="H772" s="29">
        <f t="shared" si="45"/>
        <v>57.47</v>
      </c>
      <c r="I772" s="38">
        <f t="shared" si="46"/>
        <v>1.0139189999999999E-2</v>
      </c>
      <c r="J772" s="38">
        <f t="shared" si="47"/>
        <v>3.7482499999999998E-3</v>
      </c>
      <c r="K772" s="32">
        <f>K771+StepSize*L771</f>
        <v>481.005795114308</v>
      </c>
      <c r="L772" s="33">
        <f>K772*Delta+I772*K772-J772*(DeathPayment-K772)</f>
        <v>-145.94590355439692</v>
      </c>
    </row>
    <row r="773" spans="1:12" x14ac:dyDescent="0.45">
      <c r="A773" s="11">
        <v>24.44</v>
      </c>
      <c r="B773" s="14">
        <v>5.6711999999999995E-4</v>
      </c>
      <c r="C773" s="15">
        <v>2.3428000000000001E-4</v>
      </c>
      <c r="F773" s="28">
        <v>7.48</v>
      </c>
      <c r="G773" s="29">
        <f t="shared" si="44"/>
        <v>62.48</v>
      </c>
      <c r="H773" s="29">
        <f t="shared" si="45"/>
        <v>57.48</v>
      </c>
      <c r="I773" s="38">
        <f t="shared" si="46"/>
        <v>1.0150960000000001E-2</v>
      </c>
      <c r="J773" s="38">
        <f t="shared" si="47"/>
        <v>3.7520000000000001E-3</v>
      </c>
      <c r="K773" s="32">
        <f>K772+StepSize*L772</f>
        <v>479.54633607876406</v>
      </c>
      <c r="L773" s="33">
        <f>K773*Delta+I773*K773-J773*(DeathPayment-K773)</f>
        <v>-146.25177818804846</v>
      </c>
    </row>
    <row r="774" spans="1:12" x14ac:dyDescent="0.45">
      <c r="A774" s="11">
        <v>24.45</v>
      </c>
      <c r="B774" s="14">
        <v>5.6709999999999996E-4</v>
      </c>
      <c r="C774" s="15">
        <v>2.3440000000000001E-4</v>
      </c>
      <c r="F774" s="28">
        <v>7.49</v>
      </c>
      <c r="G774" s="29">
        <f t="shared" si="44"/>
        <v>62.49</v>
      </c>
      <c r="H774" s="29">
        <f t="shared" si="45"/>
        <v>57.49</v>
      </c>
      <c r="I774" s="38">
        <f t="shared" si="46"/>
        <v>1.016273E-2</v>
      </c>
      <c r="J774" s="38">
        <f t="shared" si="47"/>
        <v>3.75575E-3</v>
      </c>
      <c r="K774" s="32">
        <f>K773+StepSize*L773</f>
        <v>478.08381829688358</v>
      </c>
      <c r="L774" s="33">
        <f>K774*Delta+I774*K774-J774*(DeathPayment-K774)</f>
        <v>-146.55796190696685</v>
      </c>
    </row>
    <row r="775" spans="1:12" x14ac:dyDescent="0.45">
      <c r="A775" s="11">
        <v>24.46</v>
      </c>
      <c r="B775" s="14">
        <v>5.6707999999999997E-4</v>
      </c>
      <c r="C775" s="15">
        <v>2.3452E-4</v>
      </c>
      <c r="F775" s="28">
        <v>7.5</v>
      </c>
      <c r="G775" s="29">
        <f t="shared" si="44"/>
        <v>62.5</v>
      </c>
      <c r="H775" s="29">
        <f t="shared" si="45"/>
        <v>57.5</v>
      </c>
      <c r="I775" s="38">
        <f t="shared" si="46"/>
        <v>1.01745E-2</v>
      </c>
      <c r="J775" s="38">
        <f t="shared" si="47"/>
        <v>3.7594999999999998E-3</v>
      </c>
      <c r="K775" s="32">
        <f>K774+StepSize*L774</f>
        <v>476.61823867781391</v>
      </c>
      <c r="L775" s="33">
        <f>K775*Delta+I775*K775-J775*(DeathPayment-K775)</f>
        <v>-146.86445512016769</v>
      </c>
    </row>
    <row r="776" spans="1:12" x14ac:dyDescent="0.45">
      <c r="A776" s="11">
        <v>24.47</v>
      </c>
      <c r="B776" s="14">
        <v>5.6705999999999998E-4</v>
      </c>
      <c r="C776" s="15">
        <v>2.3463999999999999E-4</v>
      </c>
      <c r="F776" s="28">
        <v>7.51</v>
      </c>
      <c r="G776" s="29">
        <f t="shared" si="44"/>
        <v>62.51</v>
      </c>
      <c r="H776" s="29">
        <f t="shared" si="45"/>
        <v>57.51</v>
      </c>
      <c r="I776" s="38">
        <f t="shared" si="46"/>
        <v>1.0186270000000001E-2</v>
      </c>
      <c r="J776" s="38">
        <f t="shared" si="47"/>
        <v>3.7632500000000001E-3</v>
      </c>
      <c r="K776" s="32">
        <f>K775+StepSize*L775</f>
        <v>475.14959412661221</v>
      </c>
      <c r="L776" s="33">
        <f>K776*Delta+I776*K776-J776*(DeathPayment-K776)</f>
        <v>-147.17125823721153</v>
      </c>
    </row>
    <row r="777" spans="1:12" x14ac:dyDescent="0.45">
      <c r="A777" s="11">
        <v>24.48</v>
      </c>
      <c r="B777" s="14">
        <v>5.6703999999999999E-4</v>
      </c>
      <c r="C777" s="15">
        <v>2.3476000000000001E-4</v>
      </c>
      <c r="F777" s="28">
        <v>7.52</v>
      </c>
      <c r="G777" s="29">
        <f t="shared" si="44"/>
        <v>62.52</v>
      </c>
      <c r="H777" s="29">
        <f t="shared" si="45"/>
        <v>57.52</v>
      </c>
      <c r="I777" s="38">
        <f t="shared" si="46"/>
        <v>1.019804E-2</v>
      </c>
      <c r="J777" s="38">
        <f t="shared" si="47"/>
        <v>3.7669999999999999E-3</v>
      </c>
      <c r="K777" s="32">
        <f>K776+StepSize*L776</f>
        <v>473.67788154424011</v>
      </c>
      <c r="L777" s="33">
        <f>K777*Delta+I777*K777-J777*(DeathPayment-K777)</f>
        <v>-147.47837166820426</v>
      </c>
    </row>
    <row r="778" spans="1:12" x14ac:dyDescent="0.45">
      <c r="A778" s="11">
        <v>24.49</v>
      </c>
      <c r="B778" s="14">
        <v>5.6702E-4</v>
      </c>
      <c r="C778" s="15">
        <v>2.3488E-4</v>
      </c>
      <c r="F778" s="28">
        <v>7.53</v>
      </c>
      <c r="G778" s="29">
        <f t="shared" si="44"/>
        <v>62.53</v>
      </c>
      <c r="H778" s="29">
        <f t="shared" si="45"/>
        <v>57.53</v>
      </c>
      <c r="I778" s="38">
        <f t="shared" si="46"/>
        <v>1.020981E-2</v>
      </c>
      <c r="J778" s="38">
        <f t="shared" si="47"/>
        <v>3.7707499999999998E-3</v>
      </c>
      <c r="K778" s="32">
        <f>K777+StepSize*L777</f>
        <v>472.20309782755805</v>
      </c>
      <c r="L778" s="33">
        <f>K778*Delta+I778*K778-J778*(DeathPayment-K778)</f>
        <v>-147.78579582379805</v>
      </c>
    </row>
    <row r="779" spans="1:12" x14ac:dyDescent="0.45">
      <c r="A779" s="11">
        <v>24.5</v>
      </c>
      <c r="B779" s="14">
        <v>5.6700000000000001E-4</v>
      </c>
      <c r="C779" s="15">
        <v>2.3499999999999999E-4</v>
      </c>
      <c r="F779" s="28">
        <v>7.54</v>
      </c>
      <c r="G779" s="29">
        <f t="shared" si="44"/>
        <v>62.54</v>
      </c>
      <c r="H779" s="29">
        <f t="shared" si="45"/>
        <v>57.54</v>
      </c>
      <c r="I779" s="38">
        <f t="shared" si="46"/>
        <v>1.0221579999999999E-2</v>
      </c>
      <c r="J779" s="38">
        <f t="shared" si="47"/>
        <v>3.7745000000000001E-3</v>
      </c>
      <c r="K779" s="32">
        <f>K778+StepSize*L778</f>
        <v>470.72523986932009</v>
      </c>
      <c r="L779" s="33">
        <f>K779*Delta+I779*K779-J779*(DeathPayment-K779)</f>
        <v>-148.09353111519241</v>
      </c>
    </row>
    <row r="780" spans="1:12" x14ac:dyDescent="0.45">
      <c r="A780" s="11">
        <v>24.51</v>
      </c>
      <c r="B780" s="14">
        <v>5.6698000000000002E-4</v>
      </c>
      <c r="C780" s="15">
        <v>2.3512000000000001E-4</v>
      </c>
      <c r="F780" s="28">
        <v>7.55</v>
      </c>
      <c r="G780" s="29">
        <f t="shared" si="44"/>
        <v>62.55</v>
      </c>
      <c r="H780" s="29">
        <f t="shared" si="45"/>
        <v>57.55</v>
      </c>
      <c r="I780" s="38">
        <f t="shared" si="46"/>
        <v>1.023335E-2</v>
      </c>
      <c r="J780" s="38">
        <f t="shared" si="47"/>
        <v>3.7782499999999999E-3</v>
      </c>
      <c r="K780" s="32">
        <f>K779+StepSize*L779</f>
        <v>469.24430455816815</v>
      </c>
      <c r="L780" s="33">
        <f>K780*Delta+I780*K780-J780*(DeathPayment-K780)</f>
        <v>-148.4015779541345</v>
      </c>
    </row>
    <row r="781" spans="1:12" x14ac:dyDescent="0.45">
      <c r="A781" s="11">
        <v>24.52</v>
      </c>
      <c r="B781" s="14">
        <v>5.6696000000000003E-4</v>
      </c>
      <c r="C781" s="15">
        <v>2.3524E-4</v>
      </c>
      <c r="F781" s="28">
        <v>7.56</v>
      </c>
      <c r="G781" s="29">
        <f t="shared" si="44"/>
        <v>62.56</v>
      </c>
      <c r="H781" s="29">
        <f t="shared" si="45"/>
        <v>57.56</v>
      </c>
      <c r="I781" s="38">
        <f t="shared" si="46"/>
        <v>1.024512E-2</v>
      </c>
      <c r="J781" s="38">
        <f t="shared" si="47"/>
        <v>3.7820000000000002E-3</v>
      </c>
      <c r="K781" s="32">
        <f>K780+StepSize*L780</f>
        <v>467.76028877862683</v>
      </c>
      <c r="L781" s="33">
        <f>K781*Delta+I781*K781-J781*(DeathPayment-K781)</f>
        <v>-148.70993675292033</v>
      </c>
    </row>
    <row r="782" spans="1:12" x14ac:dyDescent="0.45">
      <c r="A782" s="11">
        <v>24.53</v>
      </c>
      <c r="B782" s="14">
        <v>5.6694000000000004E-4</v>
      </c>
      <c r="C782" s="15">
        <v>2.3536E-4</v>
      </c>
      <c r="F782" s="28">
        <v>7.57</v>
      </c>
      <c r="G782" s="29">
        <f t="shared" si="44"/>
        <v>62.57</v>
      </c>
      <c r="H782" s="29">
        <f t="shared" si="45"/>
        <v>57.57</v>
      </c>
      <c r="I782" s="38">
        <f t="shared" si="46"/>
        <v>1.0256889999999999E-2</v>
      </c>
      <c r="J782" s="38">
        <f t="shared" si="47"/>
        <v>3.7857500000000001E-3</v>
      </c>
      <c r="K782" s="32">
        <f>K781+StepSize*L781</f>
        <v>466.27318941109763</v>
      </c>
      <c r="L782" s="33">
        <f>K782*Delta+I782*K782-J782*(DeathPayment-K782)</f>
        <v>-149.01860792439527</v>
      </c>
    </row>
    <row r="783" spans="1:12" x14ac:dyDescent="0.45">
      <c r="A783" s="11">
        <v>24.54</v>
      </c>
      <c r="B783" s="14">
        <v>5.6692000000000005E-4</v>
      </c>
      <c r="C783" s="15">
        <v>2.3547999999999999E-4</v>
      </c>
      <c r="F783" s="28">
        <v>7.58</v>
      </c>
      <c r="G783" s="29">
        <f t="shared" si="44"/>
        <v>62.58</v>
      </c>
      <c r="H783" s="29">
        <f t="shared" si="45"/>
        <v>57.58</v>
      </c>
      <c r="I783" s="38">
        <f t="shared" si="46"/>
        <v>1.0268660000000001E-2</v>
      </c>
      <c r="J783" s="38">
        <f t="shared" si="47"/>
        <v>3.7894999999999999E-3</v>
      </c>
      <c r="K783" s="32">
        <f>K782+StepSize*L782</f>
        <v>464.78300333185371</v>
      </c>
      <c r="L783" s="33">
        <f>K783*Delta+I783*K783-J783*(DeathPayment-K783)</f>
        <v>-149.32759188195504</v>
      </c>
    </row>
    <row r="784" spans="1:12" x14ac:dyDescent="0.45">
      <c r="A784" s="11">
        <v>24.55</v>
      </c>
      <c r="B784" s="14">
        <v>5.6689999999999996E-4</v>
      </c>
      <c r="C784" s="15">
        <v>2.3560000000000001E-4</v>
      </c>
      <c r="F784" s="28">
        <v>7.59</v>
      </c>
      <c r="G784" s="29">
        <f t="shared" si="44"/>
        <v>62.59</v>
      </c>
      <c r="H784" s="29">
        <f t="shared" si="45"/>
        <v>57.59</v>
      </c>
      <c r="I784" s="38">
        <f t="shared" si="46"/>
        <v>1.028043E-2</v>
      </c>
      <c r="J784" s="38">
        <f t="shared" si="47"/>
        <v>3.7932500000000002E-3</v>
      </c>
      <c r="K784" s="32">
        <f>K783+StepSize*L783</f>
        <v>463.28972741303414</v>
      </c>
      <c r="L784" s="33">
        <f>K784*Delta+I784*K784-J784*(DeathPayment-K784)</f>
        <v>-149.63688903954647</v>
      </c>
    </row>
    <row r="785" spans="1:12" x14ac:dyDescent="0.45">
      <c r="A785" s="11">
        <v>24.56</v>
      </c>
      <c r="B785" s="14">
        <v>5.6687999999999997E-4</v>
      </c>
      <c r="C785" s="15">
        <v>2.3572E-4</v>
      </c>
      <c r="F785" s="28">
        <v>7.6</v>
      </c>
      <c r="G785" s="29">
        <f t="shared" si="44"/>
        <v>62.6</v>
      </c>
      <c r="H785" s="29">
        <f t="shared" si="45"/>
        <v>57.6</v>
      </c>
      <c r="I785" s="38">
        <f t="shared" si="46"/>
        <v>1.02922E-2</v>
      </c>
      <c r="J785" s="38">
        <f t="shared" si="47"/>
        <v>3.797E-3</v>
      </c>
      <c r="K785" s="32">
        <f>K784+StepSize*L784</f>
        <v>461.7933585226387</v>
      </c>
      <c r="L785" s="33">
        <f>K785*Delta+I785*K785-J785*(DeathPayment-K785)</f>
        <v>-149.94649981166816</v>
      </c>
    </row>
    <row r="786" spans="1:12" x14ac:dyDescent="0.45">
      <c r="A786" s="11">
        <v>24.57</v>
      </c>
      <c r="B786" s="14">
        <v>5.6685999999999998E-4</v>
      </c>
      <c r="C786" s="15">
        <v>2.3583999999999999E-4</v>
      </c>
      <c r="F786" s="28">
        <v>7.61</v>
      </c>
      <c r="G786" s="29">
        <f t="shared" si="44"/>
        <v>62.61</v>
      </c>
      <c r="H786" s="29">
        <f t="shared" si="45"/>
        <v>57.61</v>
      </c>
      <c r="I786" s="38">
        <f t="shared" si="46"/>
        <v>1.0303970000000001E-2</v>
      </c>
      <c r="J786" s="38">
        <f t="shared" si="47"/>
        <v>3.8007499999999999E-3</v>
      </c>
      <c r="K786" s="32">
        <f>K785+StepSize*L785</f>
        <v>460.29389352452199</v>
      </c>
      <c r="L786" s="33">
        <f>K786*Delta+I786*K786-J786*(DeathPayment-K786)</f>
        <v>-150.25642461337139</v>
      </c>
    </row>
    <row r="787" spans="1:12" x14ac:dyDescent="0.45">
      <c r="A787" s="11">
        <v>24.58</v>
      </c>
      <c r="B787" s="14">
        <v>5.6683999999999999E-4</v>
      </c>
      <c r="C787" s="15">
        <v>2.3596000000000001E-4</v>
      </c>
      <c r="F787" s="28">
        <v>7.62</v>
      </c>
      <c r="G787" s="29">
        <f t="shared" si="44"/>
        <v>62.62</v>
      </c>
      <c r="H787" s="29">
        <f t="shared" si="45"/>
        <v>57.62</v>
      </c>
      <c r="I787" s="38">
        <f t="shared" si="46"/>
        <v>1.031574E-2</v>
      </c>
      <c r="J787" s="38">
        <f t="shared" si="47"/>
        <v>3.8045000000000002E-3</v>
      </c>
      <c r="K787" s="32">
        <f>K786+StepSize*L786</f>
        <v>458.79132927838828</v>
      </c>
      <c r="L787" s="33">
        <f>K787*Delta+I787*K787-J787*(DeathPayment-K787)</f>
        <v>-150.56666386026103</v>
      </c>
    </row>
    <row r="788" spans="1:12" x14ac:dyDescent="0.45">
      <c r="A788" s="11">
        <v>24.59</v>
      </c>
      <c r="B788" s="14">
        <v>5.6682E-4</v>
      </c>
      <c r="C788" s="15">
        <v>2.3608E-4</v>
      </c>
      <c r="F788" s="28">
        <v>7.63</v>
      </c>
      <c r="G788" s="29">
        <f t="shared" si="44"/>
        <v>62.63</v>
      </c>
      <c r="H788" s="29">
        <f t="shared" si="45"/>
        <v>57.63</v>
      </c>
      <c r="I788" s="38">
        <f t="shared" si="46"/>
        <v>1.032751E-2</v>
      </c>
      <c r="J788" s="38">
        <f t="shared" si="47"/>
        <v>3.80825E-3</v>
      </c>
      <c r="K788" s="32">
        <f>K787+StepSize*L787</f>
        <v>457.28566263978564</v>
      </c>
      <c r="L788" s="33">
        <f>K788*Delta+I788*K788-J788*(DeathPayment-K788)</f>
        <v>-150.87721796849601</v>
      </c>
    </row>
    <row r="789" spans="1:12" x14ac:dyDescent="0.45">
      <c r="A789" s="11">
        <v>24.6</v>
      </c>
      <c r="B789" s="14">
        <v>5.6680000000000001E-4</v>
      </c>
      <c r="C789" s="15">
        <v>2.362E-4</v>
      </c>
      <c r="F789" s="28">
        <v>7.64</v>
      </c>
      <c r="G789" s="29">
        <f t="shared" si="44"/>
        <v>62.64</v>
      </c>
      <c r="H789" s="29">
        <f t="shared" si="45"/>
        <v>57.64</v>
      </c>
      <c r="I789" s="38">
        <f t="shared" si="46"/>
        <v>1.0339279999999999E-2</v>
      </c>
      <c r="J789" s="38">
        <f t="shared" si="47"/>
        <v>3.8119999999999999E-3</v>
      </c>
      <c r="K789" s="32">
        <f>K788+StepSize*L788</f>
        <v>455.77689046010067</v>
      </c>
      <c r="L789" s="33">
        <f>K789*Delta+I789*K789-J789*(DeathPayment-K789)</f>
        <v>-151.18808735479053</v>
      </c>
    </row>
    <row r="790" spans="1:12" x14ac:dyDescent="0.45">
      <c r="A790" s="11">
        <v>24.61</v>
      </c>
      <c r="B790" s="14">
        <v>5.6678000000000002E-4</v>
      </c>
      <c r="C790" s="15">
        <v>2.3631999999999999E-4</v>
      </c>
      <c r="F790" s="28">
        <v>7.65</v>
      </c>
      <c r="G790" s="29">
        <f t="shared" si="44"/>
        <v>62.65</v>
      </c>
      <c r="H790" s="29">
        <f t="shared" si="45"/>
        <v>57.65</v>
      </c>
      <c r="I790" s="38">
        <f t="shared" si="46"/>
        <v>1.0351050000000001E-2</v>
      </c>
      <c r="J790" s="38">
        <f t="shared" si="47"/>
        <v>3.8157500000000001E-3</v>
      </c>
      <c r="K790" s="32">
        <f>K789+StepSize*L789</f>
        <v>454.26500958655276</v>
      </c>
      <c r="L790" s="33">
        <f>K790*Delta+I790*K790-J790*(DeathPayment-K790)</f>
        <v>-151.49927243641454</v>
      </c>
    </row>
    <row r="791" spans="1:12" x14ac:dyDescent="0.45">
      <c r="A791" s="11">
        <v>24.62</v>
      </c>
      <c r="B791" s="14">
        <v>5.6676000000000003E-4</v>
      </c>
      <c r="C791" s="15">
        <v>2.3644000000000001E-4</v>
      </c>
      <c r="F791" s="28">
        <v>7.66</v>
      </c>
      <c r="G791" s="29">
        <f t="shared" si="44"/>
        <v>62.66</v>
      </c>
      <c r="H791" s="29">
        <f t="shared" si="45"/>
        <v>57.66</v>
      </c>
      <c r="I791" s="38">
        <f t="shared" si="46"/>
        <v>1.036282E-2</v>
      </c>
      <c r="J791" s="38">
        <f t="shared" si="47"/>
        <v>3.8195E-3</v>
      </c>
      <c r="K791" s="32">
        <f>K790+StepSize*L790</f>
        <v>452.7500168621886</v>
      </c>
      <c r="L791" s="33">
        <f>K791*Delta+I791*K791-J791*(DeathPayment-K791)</f>
        <v>-151.81077363119471</v>
      </c>
    </row>
    <row r="792" spans="1:12" x14ac:dyDescent="0.45">
      <c r="A792" s="11">
        <v>24.63</v>
      </c>
      <c r="B792" s="14">
        <v>5.6674000000000004E-4</v>
      </c>
      <c r="C792" s="15">
        <v>2.3656E-4</v>
      </c>
      <c r="F792" s="28">
        <v>7.67</v>
      </c>
      <c r="G792" s="29">
        <f t="shared" si="44"/>
        <v>62.67</v>
      </c>
      <c r="H792" s="29">
        <f t="shared" si="45"/>
        <v>57.67</v>
      </c>
      <c r="I792" s="38">
        <f t="shared" si="46"/>
        <v>1.037459E-2</v>
      </c>
      <c r="J792" s="38">
        <f t="shared" si="47"/>
        <v>3.8232499999999998E-3</v>
      </c>
      <c r="K792" s="32">
        <f>K791+StepSize*L791</f>
        <v>451.23190912587665</v>
      </c>
      <c r="L792" s="33">
        <f>K792*Delta+I792*K792-J792*(DeathPayment-K792)</f>
        <v>-152.12259135751515</v>
      </c>
    </row>
    <row r="793" spans="1:12" x14ac:dyDescent="0.45">
      <c r="A793" s="11">
        <v>24.64</v>
      </c>
      <c r="B793" s="14">
        <v>5.6672000000000005E-4</v>
      </c>
      <c r="C793" s="15">
        <v>2.3667999999999999E-4</v>
      </c>
      <c r="F793" s="28">
        <v>7.68</v>
      </c>
      <c r="G793" s="29">
        <f t="shared" ref="G793:G856" si="48">ROUND(MaleAgeStart+F793,2)</f>
        <v>62.68</v>
      </c>
      <c r="H793" s="29">
        <f t="shared" ref="H793:H856" si="49">ROUND(FemaleAgeStart+F793,2)</f>
        <v>57.68</v>
      </c>
      <c r="I793" s="38">
        <f t="shared" ref="I793:I856" si="50">VLOOKUP(G793,muValues,2,FALSE)</f>
        <v>1.0386360000000001E-2</v>
      </c>
      <c r="J793" s="38">
        <f t="shared" ref="J793:J856" si="51">VLOOKUP(H793,muValues,3,FALSE)</f>
        <v>3.8270000000000001E-3</v>
      </c>
      <c r="K793" s="32">
        <f>K792+StepSize*L792</f>
        <v>449.71068321230149</v>
      </c>
      <c r="L793" s="33">
        <f>K793*Delta+I793*K793-J793*(DeathPayment-K793)</f>
        <v>-152.43472603431832</v>
      </c>
    </row>
    <row r="794" spans="1:12" x14ac:dyDescent="0.45">
      <c r="A794" s="11">
        <v>24.65</v>
      </c>
      <c r="B794" s="14">
        <v>5.6669999999999995E-4</v>
      </c>
      <c r="C794" s="15">
        <v>2.3680000000000001E-4</v>
      </c>
      <c r="F794" s="28">
        <v>7.69</v>
      </c>
      <c r="G794" s="29">
        <f t="shared" si="48"/>
        <v>62.69</v>
      </c>
      <c r="H794" s="29">
        <f t="shared" si="49"/>
        <v>57.69</v>
      </c>
      <c r="I794" s="38">
        <f t="shared" si="50"/>
        <v>1.039813E-2</v>
      </c>
      <c r="J794" s="38">
        <f t="shared" si="51"/>
        <v>3.83075E-3</v>
      </c>
      <c r="K794" s="32">
        <f>K793+StepSize*L793</f>
        <v>448.18633595195831</v>
      </c>
      <c r="L794" s="33">
        <f>K794*Delta+I794*K794-J794*(DeathPayment-K794)</f>
        <v>-152.74717808110574</v>
      </c>
    </row>
    <row r="795" spans="1:12" x14ac:dyDescent="0.45">
      <c r="A795" s="11">
        <v>24.66</v>
      </c>
      <c r="B795" s="14">
        <v>5.6667999999999996E-4</v>
      </c>
      <c r="C795" s="15">
        <v>2.3692E-4</v>
      </c>
      <c r="F795" s="28">
        <v>7.7</v>
      </c>
      <c r="G795" s="29">
        <f t="shared" si="48"/>
        <v>62.7</v>
      </c>
      <c r="H795" s="29">
        <f t="shared" si="49"/>
        <v>57.7</v>
      </c>
      <c r="I795" s="38">
        <f t="shared" si="50"/>
        <v>1.04099E-2</v>
      </c>
      <c r="J795" s="38">
        <f t="shared" si="51"/>
        <v>3.8344999999999998E-3</v>
      </c>
      <c r="K795" s="32">
        <f>K794+StepSize*L794</f>
        <v>446.65886417114723</v>
      </c>
      <c r="L795" s="33">
        <f>K795*Delta+I795*K795-J795*(DeathPayment-K795)</f>
        <v>-153.05994791793879</v>
      </c>
    </row>
    <row r="796" spans="1:12" x14ac:dyDescent="0.45">
      <c r="A796" s="11">
        <v>24.67</v>
      </c>
      <c r="B796" s="14">
        <v>5.6665999999999997E-4</v>
      </c>
      <c r="C796" s="15">
        <v>2.3703999999999999E-4</v>
      </c>
      <c r="F796" s="28">
        <v>7.71</v>
      </c>
      <c r="G796" s="29">
        <f t="shared" si="48"/>
        <v>62.71</v>
      </c>
      <c r="H796" s="29">
        <f t="shared" si="49"/>
        <v>57.71</v>
      </c>
      <c r="I796" s="38">
        <f t="shared" si="50"/>
        <v>1.0421669999999999E-2</v>
      </c>
      <c r="J796" s="38">
        <f t="shared" si="51"/>
        <v>3.8382500000000001E-3</v>
      </c>
      <c r="K796" s="32">
        <f>K795+StepSize*L795</f>
        <v>445.12826469196784</v>
      </c>
      <c r="L796" s="33">
        <f>K796*Delta+I796*K796-J796*(DeathPayment-K796)</f>
        <v>-153.3730359654397</v>
      </c>
    </row>
    <row r="797" spans="1:12" x14ac:dyDescent="0.45">
      <c r="A797" s="11">
        <v>24.68</v>
      </c>
      <c r="B797" s="14">
        <v>5.6663999999999998E-4</v>
      </c>
      <c r="C797" s="15">
        <v>2.3716000000000001E-4</v>
      </c>
      <c r="F797" s="28">
        <v>7.72</v>
      </c>
      <c r="G797" s="29">
        <f t="shared" si="48"/>
        <v>62.72</v>
      </c>
      <c r="H797" s="29">
        <f t="shared" si="49"/>
        <v>57.72</v>
      </c>
      <c r="I797" s="38">
        <f t="shared" si="50"/>
        <v>1.043344E-2</v>
      </c>
      <c r="J797" s="38">
        <f t="shared" si="51"/>
        <v>3.8419999999999999E-3</v>
      </c>
      <c r="K797" s="32">
        <f>K796+StepSize*L796</f>
        <v>443.59453433231346</v>
      </c>
      <c r="L797" s="33">
        <f>K797*Delta+I797*K797-J797*(DeathPayment-K797)</f>
        <v>-153.68644264479204</v>
      </c>
    </row>
    <row r="798" spans="1:12" x14ac:dyDescent="0.45">
      <c r="A798" s="11">
        <v>24.69</v>
      </c>
      <c r="B798" s="14">
        <v>5.6661999999999999E-4</v>
      </c>
      <c r="C798" s="15">
        <v>2.3728000000000001E-4</v>
      </c>
      <c r="F798" s="28">
        <v>7.73</v>
      </c>
      <c r="G798" s="29">
        <f t="shared" si="48"/>
        <v>62.73</v>
      </c>
      <c r="H798" s="29">
        <f t="shared" si="49"/>
        <v>57.73</v>
      </c>
      <c r="I798" s="38">
        <f t="shared" si="50"/>
        <v>1.044521E-2</v>
      </c>
      <c r="J798" s="38">
        <f t="shared" si="51"/>
        <v>3.8457500000000002E-3</v>
      </c>
      <c r="K798" s="32">
        <f>K797+StepSize*L797</f>
        <v>442.05766990586551</v>
      </c>
      <c r="L798" s="33">
        <f>K798*Delta+I798*K798-J798*(DeathPayment-K798)</f>
        <v>-154.00016837774191</v>
      </c>
    </row>
    <row r="799" spans="1:12" x14ac:dyDescent="0.45">
      <c r="A799" s="11">
        <v>24.7</v>
      </c>
      <c r="B799" s="14">
        <v>5.666E-4</v>
      </c>
      <c r="C799" s="15">
        <v>2.374E-4</v>
      </c>
      <c r="F799" s="28">
        <v>7.74</v>
      </c>
      <c r="G799" s="29">
        <f t="shared" si="48"/>
        <v>62.74</v>
      </c>
      <c r="H799" s="29">
        <f t="shared" si="49"/>
        <v>57.74</v>
      </c>
      <c r="I799" s="38">
        <f t="shared" si="50"/>
        <v>1.0456979999999999E-2</v>
      </c>
      <c r="J799" s="38">
        <f t="shared" si="51"/>
        <v>3.8495000000000001E-3</v>
      </c>
      <c r="K799" s="32">
        <f>K798+StepSize*L798</f>
        <v>440.5176682220881</v>
      </c>
      <c r="L799" s="33">
        <f>K799*Delta+I799*K799-J799*(DeathPayment-K799)</f>
        <v>-154.31421358659841</v>
      </c>
    </row>
    <row r="800" spans="1:12" x14ac:dyDescent="0.45">
      <c r="A800" s="11">
        <v>24.71</v>
      </c>
      <c r="B800" s="14">
        <v>5.6658000000000001E-4</v>
      </c>
      <c r="C800" s="15">
        <v>2.3751999999999999E-4</v>
      </c>
      <c r="F800" s="28">
        <v>7.75</v>
      </c>
      <c r="G800" s="29">
        <f t="shared" si="48"/>
        <v>62.75</v>
      </c>
      <c r="H800" s="29">
        <f t="shared" si="49"/>
        <v>57.75</v>
      </c>
      <c r="I800" s="38">
        <f t="shared" si="50"/>
        <v>1.0468750000000001E-2</v>
      </c>
      <c r="J800" s="38">
        <f t="shared" si="51"/>
        <v>3.8532499999999999E-3</v>
      </c>
      <c r="K800" s="32">
        <f>K799+StepSize*L799</f>
        <v>438.97452608622211</v>
      </c>
      <c r="L800" s="33">
        <f>K800*Delta+I800*K800-J800*(DeathPayment-K800)</f>
        <v>-154.6285786942347</v>
      </c>
    </row>
    <row r="801" spans="1:12" x14ac:dyDescent="0.45">
      <c r="A801" s="11">
        <v>24.72</v>
      </c>
      <c r="B801" s="14">
        <v>5.6656000000000002E-4</v>
      </c>
      <c r="C801" s="15">
        <v>2.3764000000000001E-4</v>
      </c>
      <c r="F801" s="28">
        <v>7.76</v>
      </c>
      <c r="G801" s="29">
        <f t="shared" si="48"/>
        <v>62.76</v>
      </c>
      <c r="H801" s="29">
        <f t="shared" si="49"/>
        <v>57.76</v>
      </c>
      <c r="I801" s="38">
        <f t="shared" si="50"/>
        <v>1.048052E-2</v>
      </c>
      <c r="J801" s="38">
        <f t="shared" si="51"/>
        <v>3.8570000000000002E-3</v>
      </c>
      <c r="K801" s="32">
        <f>K800+StepSize*L800</f>
        <v>437.42824029927976</v>
      </c>
      <c r="L801" s="33">
        <f>K801*Delta+I801*K801-J801*(DeathPayment-K801)</f>
        <v>-154.94326412408873</v>
      </c>
    </row>
    <row r="802" spans="1:12" x14ac:dyDescent="0.45">
      <c r="A802" s="11">
        <v>24.73</v>
      </c>
      <c r="B802" s="14">
        <v>5.6654000000000003E-4</v>
      </c>
      <c r="C802" s="15">
        <v>2.3776E-4</v>
      </c>
      <c r="F802" s="28">
        <v>7.77</v>
      </c>
      <c r="G802" s="29">
        <f t="shared" si="48"/>
        <v>62.77</v>
      </c>
      <c r="H802" s="29">
        <f t="shared" si="49"/>
        <v>57.77</v>
      </c>
      <c r="I802" s="38">
        <f t="shared" si="50"/>
        <v>1.049229E-2</v>
      </c>
      <c r="J802" s="38">
        <f t="shared" si="51"/>
        <v>3.86075E-3</v>
      </c>
      <c r="K802" s="32">
        <f>K801+StepSize*L801</f>
        <v>435.87880765803885</v>
      </c>
      <c r="L802" s="33">
        <f>K802*Delta+I802*K802-J802*(DeathPayment-K802)</f>
        <v>-155.25827030016393</v>
      </c>
    </row>
    <row r="803" spans="1:12" x14ac:dyDescent="0.45">
      <c r="A803" s="11">
        <v>24.74</v>
      </c>
      <c r="B803" s="14">
        <v>5.6652000000000004E-4</v>
      </c>
      <c r="C803" s="15">
        <v>2.3787999999999999E-4</v>
      </c>
      <c r="F803" s="28">
        <v>7.78</v>
      </c>
      <c r="G803" s="29">
        <f t="shared" si="48"/>
        <v>62.78</v>
      </c>
      <c r="H803" s="29">
        <f t="shared" si="49"/>
        <v>57.78</v>
      </c>
      <c r="I803" s="38">
        <f t="shared" si="50"/>
        <v>1.0504060000000001E-2</v>
      </c>
      <c r="J803" s="38">
        <f t="shared" si="51"/>
        <v>3.8644999999999999E-3</v>
      </c>
      <c r="K803" s="32">
        <f>K802+StepSize*L802</f>
        <v>434.32622495503722</v>
      </c>
      <c r="L803" s="33">
        <f>K803*Delta+I803*K803-J803*(DeathPayment-K803)</f>
        <v>-155.57359764703023</v>
      </c>
    </row>
    <row r="804" spans="1:12" x14ac:dyDescent="0.45">
      <c r="A804" s="11">
        <v>24.75</v>
      </c>
      <c r="B804" s="14">
        <v>5.6649999999999995E-4</v>
      </c>
      <c r="C804" s="15">
        <v>2.3800000000000001E-4</v>
      </c>
      <c r="F804" s="28">
        <v>7.79</v>
      </c>
      <c r="G804" s="29">
        <f t="shared" si="48"/>
        <v>62.79</v>
      </c>
      <c r="H804" s="29">
        <f t="shared" si="49"/>
        <v>57.79</v>
      </c>
      <c r="I804" s="38">
        <f t="shared" si="50"/>
        <v>1.051583E-2</v>
      </c>
      <c r="J804" s="38">
        <f t="shared" si="51"/>
        <v>3.8682500000000002E-3</v>
      </c>
      <c r="K804" s="32">
        <f>K803+StepSize*L803</f>
        <v>432.7704889785669</v>
      </c>
      <c r="L804" s="33">
        <f>K804*Delta+I804*K804-J804*(DeathPayment-K804)</f>
        <v>-155.88924658982495</v>
      </c>
    </row>
    <row r="805" spans="1:12" x14ac:dyDescent="0.45">
      <c r="A805" s="11">
        <v>24.76</v>
      </c>
      <c r="B805" s="14">
        <v>5.6647999999999996E-4</v>
      </c>
      <c r="C805" s="15">
        <v>2.3812E-4</v>
      </c>
      <c r="F805" s="28">
        <v>7.8</v>
      </c>
      <c r="G805" s="29">
        <f t="shared" si="48"/>
        <v>62.8</v>
      </c>
      <c r="H805" s="29">
        <f t="shared" si="49"/>
        <v>57.8</v>
      </c>
      <c r="I805" s="38">
        <f t="shared" si="50"/>
        <v>1.05276E-2</v>
      </c>
      <c r="J805" s="38">
        <f t="shared" si="51"/>
        <v>3.872E-3</v>
      </c>
      <c r="K805" s="32">
        <f>K804+StepSize*L804</f>
        <v>431.21159651266868</v>
      </c>
      <c r="L805" s="33">
        <f>K805*Delta+I805*K805-J805*(DeathPayment-K805)</f>
        <v>-156.20521755425318</v>
      </c>
    </row>
    <row r="806" spans="1:12" x14ac:dyDescent="0.45">
      <c r="A806" s="11">
        <v>24.77</v>
      </c>
      <c r="B806" s="14">
        <v>5.6645999999999997E-4</v>
      </c>
      <c r="C806" s="15">
        <v>2.3824E-4</v>
      </c>
      <c r="F806" s="28">
        <v>7.81</v>
      </c>
      <c r="G806" s="29">
        <f t="shared" si="48"/>
        <v>62.81</v>
      </c>
      <c r="H806" s="29">
        <f t="shared" si="49"/>
        <v>57.81</v>
      </c>
      <c r="I806" s="38">
        <f t="shared" si="50"/>
        <v>1.0539369999999999E-2</v>
      </c>
      <c r="J806" s="38">
        <f t="shared" si="51"/>
        <v>3.8757499999999999E-3</v>
      </c>
      <c r="K806" s="32">
        <f>K805+StepSize*L805</f>
        <v>429.64954433712614</v>
      </c>
      <c r="L806" s="33">
        <f>K806*Delta+I806*K806-J806*(DeathPayment-K806)</f>
        <v>-156.52151096658915</v>
      </c>
    </row>
    <row r="807" spans="1:12" x14ac:dyDescent="0.45">
      <c r="A807" s="11">
        <v>24.78</v>
      </c>
      <c r="B807" s="14">
        <v>5.6643999999999998E-4</v>
      </c>
      <c r="C807" s="15">
        <v>2.3835999999999999E-4</v>
      </c>
      <c r="F807" s="28">
        <v>7.82</v>
      </c>
      <c r="G807" s="29">
        <f t="shared" si="48"/>
        <v>62.82</v>
      </c>
      <c r="H807" s="29">
        <f t="shared" si="49"/>
        <v>57.82</v>
      </c>
      <c r="I807" s="38">
        <f t="shared" si="50"/>
        <v>1.0551140000000001E-2</v>
      </c>
      <c r="J807" s="38">
        <f t="shared" si="51"/>
        <v>3.8795000000000001E-3</v>
      </c>
      <c r="K807" s="32">
        <f>K806+StepSize*L806</f>
        <v>428.08432922746027</v>
      </c>
      <c r="L807" s="33">
        <f>K807*Delta+I807*K807-J807*(DeathPayment-K807)</f>
        <v>-156.83812725367667</v>
      </c>
    </row>
    <row r="808" spans="1:12" x14ac:dyDescent="0.45">
      <c r="A808" s="11">
        <v>24.79</v>
      </c>
      <c r="B808" s="14">
        <v>5.6641999999999999E-4</v>
      </c>
      <c r="C808" s="15">
        <v>2.3848000000000001E-4</v>
      </c>
      <c r="F808" s="28">
        <v>7.83</v>
      </c>
      <c r="G808" s="29">
        <f t="shared" si="48"/>
        <v>62.83</v>
      </c>
      <c r="H808" s="29">
        <f t="shared" si="49"/>
        <v>57.83</v>
      </c>
      <c r="I808" s="38">
        <f t="shared" si="50"/>
        <v>1.056291E-2</v>
      </c>
      <c r="J808" s="38">
        <f t="shared" si="51"/>
        <v>3.88325E-3</v>
      </c>
      <c r="K808" s="32">
        <f>K807+StepSize*L807</f>
        <v>426.51594795492349</v>
      </c>
      <c r="L808" s="33">
        <f>K808*Delta+I808*K808-J808*(DeathPayment-K808)</f>
        <v>-157.15506684293007</v>
      </c>
    </row>
    <row r="809" spans="1:12" x14ac:dyDescent="0.45">
      <c r="A809" s="11">
        <v>24.8</v>
      </c>
      <c r="B809" s="14">
        <v>5.664E-4</v>
      </c>
      <c r="C809" s="15">
        <v>2.386E-4</v>
      </c>
      <c r="F809" s="28">
        <v>7.84</v>
      </c>
      <c r="G809" s="29">
        <f t="shared" si="48"/>
        <v>62.84</v>
      </c>
      <c r="H809" s="29">
        <f t="shared" si="49"/>
        <v>57.84</v>
      </c>
      <c r="I809" s="38">
        <f t="shared" si="50"/>
        <v>1.0574679999999999E-2</v>
      </c>
      <c r="J809" s="38">
        <f t="shared" si="51"/>
        <v>3.8869999999999998E-3</v>
      </c>
      <c r="K809" s="32">
        <f>K808+StepSize*L808</f>
        <v>424.94439728649417</v>
      </c>
      <c r="L809" s="33">
        <f>K809*Delta+I809*K809-J809*(DeathPayment-K809)</f>
        <v>-157.47233016233511</v>
      </c>
    </row>
    <row r="810" spans="1:12" x14ac:dyDescent="0.45">
      <c r="A810" s="11">
        <v>24.81</v>
      </c>
      <c r="B810" s="14">
        <v>5.6638000000000001E-4</v>
      </c>
      <c r="C810" s="15">
        <v>2.3871999999999999E-4</v>
      </c>
      <c r="F810" s="28">
        <v>7.85</v>
      </c>
      <c r="G810" s="29">
        <f t="shared" si="48"/>
        <v>62.85</v>
      </c>
      <c r="H810" s="29">
        <f t="shared" si="49"/>
        <v>57.85</v>
      </c>
      <c r="I810" s="38">
        <f t="shared" si="50"/>
        <v>1.0586450000000001E-2</v>
      </c>
      <c r="J810" s="38">
        <f t="shared" si="51"/>
        <v>3.8907500000000001E-3</v>
      </c>
      <c r="K810" s="32">
        <f>K809+StepSize*L809</f>
        <v>423.36967398487081</v>
      </c>
      <c r="L810" s="33">
        <f>K810*Delta+I810*K810-J810*(DeathPayment-K810)</f>
        <v>-157.7899176404498</v>
      </c>
    </row>
    <row r="811" spans="1:12" x14ac:dyDescent="0.45">
      <c r="A811" s="11">
        <v>24.82</v>
      </c>
      <c r="B811" s="14">
        <v>5.6636000000000002E-4</v>
      </c>
      <c r="C811" s="15">
        <v>2.3884000000000001E-4</v>
      </c>
      <c r="F811" s="28">
        <v>7.86</v>
      </c>
      <c r="G811" s="29">
        <f t="shared" si="48"/>
        <v>62.86</v>
      </c>
      <c r="H811" s="29">
        <f t="shared" si="49"/>
        <v>57.86</v>
      </c>
      <c r="I811" s="38">
        <f t="shared" si="50"/>
        <v>1.059822E-2</v>
      </c>
      <c r="J811" s="38">
        <f t="shared" si="51"/>
        <v>3.8945E-3</v>
      </c>
      <c r="K811" s="32">
        <f>K810+StepSize*L810</f>
        <v>421.7917748084663</v>
      </c>
      <c r="L811" s="33">
        <f>K811*Delta+I811*K811-J811*(DeathPayment-K811)</f>
        <v>-158.10782970640489</v>
      </c>
    </row>
    <row r="812" spans="1:12" x14ac:dyDescent="0.45">
      <c r="A812" s="11">
        <v>24.83</v>
      </c>
      <c r="B812" s="14">
        <v>5.6634000000000003E-4</v>
      </c>
      <c r="C812" s="15">
        <v>2.3896E-4</v>
      </c>
      <c r="F812" s="28">
        <v>7.87</v>
      </c>
      <c r="G812" s="29">
        <f t="shared" si="48"/>
        <v>62.87</v>
      </c>
      <c r="H812" s="29">
        <f t="shared" si="49"/>
        <v>57.87</v>
      </c>
      <c r="I812" s="38">
        <f t="shared" si="50"/>
        <v>1.060999E-2</v>
      </c>
      <c r="J812" s="38">
        <f t="shared" si="51"/>
        <v>3.8982499999999998E-3</v>
      </c>
      <c r="K812" s="32">
        <f>K811+StepSize*L811</f>
        <v>420.21069651140226</v>
      </c>
      <c r="L812" s="33">
        <f>K812*Delta+I812*K812-J812*(DeathPayment-K812)</f>
        <v>-158.42606678990532</v>
      </c>
    </row>
    <row r="813" spans="1:12" x14ac:dyDescent="0.45">
      <c r="A813" s="11">
        <v>24.84</v>
      </c>
      <c r="B813" s="14">
        <v>5.6632000000000004E-4</v>
      </c>
      <c r="C813" s="15">
        <v>2.3907999999999999E-4</v>
      </c>
      <c r="F813" s="28">
        <v>7.88</v>
      </c>
      <c r="G813" s="29">
        <f t="shared" si="48"/>
        <v>62.88</v>
      </c>
      <c r="H813" s="29">
        <f t="shared" si="49"/>
        <v>57.88</v>
      </c>
      <c r="I813" s="38">
        <f t="shared" si="50"/>
        <v>1.0621759999999999E-2</v>
      </c>
      <c r="J813" s="38">
        <f t="shared" si="51"/>
        <v>3.9020000000000001E-3</v>
      </c>
      <c r="K813" s="32">
        <f>K812+StepSize*L812</f>
        <v>418.6264358435032</v>
      </c>
      <c r="L813" s="33">
        <f>K813*Delta+I813*K813-J813*(DeathPayment-K813)</f>
        <v>-158.74462932123052</v>
      </c>
    </row>
    <row r="814" spans="1:12" x14ac:dyDescent="0.45">
      <c r="A814" s="11">
        <v>24.85</v>
      </c>
      <c r="B814" s="14">
        <v>5.6630000000000005E-4</v>
      </c>
      <c r="C814" s="15">
        <v>2.3919999999999999E-4</v>
      </c>
      <c r="F814" s="28">
        <v>7.89</v>
      </c>
      <c r="G814" s="29">
        <f t="shared" si="48"/>
        <v>62.89</v>
      </c>
      <c r="H814" s="29">
        <f t="shared" si="49"/>
        <v>57.89</v>
      </c>
      <c r="I814" s="38">
        <f t="shared" si="50"/>
        <v>1.063353E-2</v>
      </c>
      <c r="J814" s="38">
        <f t="shared" si="51"/>
        <v>3.9057499999999999E-3</v>
      </c>
      <c r="K814" s="32">
        <f>K813+StepSize*L813</f>
        <v>417.03898955029092</v>
      </c>
      <c r="L814" s="33">
        <f>K814*Delta+I814*K814-J814*(DeathPayment-K814)</f>
        <v>-159.06351773123544</v>
      </c>
    </row>
    <row r="815" spans="1:12" x14ac:dyDescent="0.45">
      <c r="A815" s="11">
        <v>24.86</v>
      </c>
      <c r="B815" s="14">
        <v>5.6627999999999995E-4</v>
      </c>
      <c r="C815" s="15">
        <v>2.3932000000000001E-4</v>
      </c>
      <c r="F815" s="28">
        <v>7.9</v>
      </c>
      <c r="G815" s="29">
        <f t="shared" si="48"/>
        <v>62.9</v>
      </c>
      <c r="H815" s="29">
        <f t="shared" si="49"/>
        <v>57.9</v>
      </c>
      <c r="I815" s="38">
        <f t="shared" si="50"/>
        <v>1.06453E-2</v>
      </c>
      <c r="J815" s="38">
        <f t="shared" si="51"/>
        <v>3.9094999999999998E-3</v>
      </c>
      <c r="K815" s="32">
        <f>K814+StepSize*L814</f>
        <v>415.44835437297854</v>
      </c>
      <c r="L815" s="33">
        <f>K815*Delta+I815*K815-J815*(DeathPayment-K815)</f>
        <v>-159.38273245135142</v>
      </c>
    </row>
    <row r="816" spans="1:12" x14ac:dyDescent="0.45">
      <c r="A816" s="11">
        <v>24.87</v>
      </c>
      <c r="B816" s="14">
        <v>5.6625999999999996E-4</v>
      </c>
      <c r="C816" s="15">
        <v>2.3944E-4</v>
      </c>
      <c r="F816" s="28">
        <v>7.91</v>
      </c>
      <c r="G816" s="29">
        <f t="shared" si="48"/>
        <v>62.91</v>
      </c>
      <c r="H816" s="29">
        <f t="shared" si="49"/>
        <v>57.91</v>
      </c>
      <c r="I816" s="38">
        <f t="shared" si="50"/>
        <v>1.0657069999999999E-2</v>
      </c>
      <c r="J816" s="38">
        <f t="shared" si="51"/>
        <v>3.9132500000000001E-3</v>
      </c>
      <c r="K816" s="32">
        <f>K815+StepSize*L815</f>
        <v>413.854527048465</v>
      </c>
      <c r="L816" s="33">
        <f>K816*Delta+I816*K816-J816*(DeathPayment-K816)</f>
        <v>-159.70227391358696</v>
      </c>
    </row>
    <row r="817" spans="1:12" x14ac:dyDescent="0.45">
      <c r="A817" s="11">
        <v>24.88</v>
      </c>
      <c r="B817" s="14">
        <v>5.6623999999999997E-4</v>
      </c>
      <c r="C817" s="15">
        <v>2.3955999999999999E-4</v>
      </c>
      <c r="F817" s="28">
        <v>7.92</v>
      </c>
      <c r="G817" s="29">
        <f t="shared" si="48"/>
        <v>62.92</v>
      </c>
      <c r="H817" s="29">
        <f t="shared" si="49"/>
        <v>57.92</v>
      </c>
      <c r="I817" s="38">
        <f t="shared" si="50"/>
        <v>1.0668840000000001E-2</v>
      </c>
      <c r="J817" s="38">
        <f t="shared" si="51"/>
        <v>3.9170000000000003E-3</v>
      </c>
      <c r="K817" s="32">
        <f>K816+StepSize*L816</f>
        <v>412.25750430932914</v>
      </c>
      <c r="L817" s="33">
        <f>K817*Delta+I817*K817-J817*(DeathPayment-K817)</f>
        <v>-160.02214255052857</v>
      </c>
    </row>
    <row r="818" spans="1:12" x14ac:dyDescent="0.45">
      <c r="A818" s="11">
        <v>24.89</v>
      </c>
      <c r="B818" s="14">
        <v>5.6621999999999998E-4</v>
      </c>
      <c r="C818" s="15">
        <v>2.3968000000000001E-4</v>
      </c>
      <c r="F818" s="28">
        <v>7.93</v>
      </c>
      <c r="G818" s="29">
        <f t="shared" si="48"/>
        <v>62.93</v>
      </c>
      <c r="H818" s="29">
        <f t="shared" si="49"/>
        <v>57.93</v>
      </c>
      <c r="I818" s="38">
        <f t="shared" si="50"/>
        <v>1.068061E-2</v>
      </c>
      <c r="J818" s="38">
        <f t="shared" si="51"/>
        <v>3.9207499999999998E-3</v>
      </c>
      <c r="K818" s="32">
        <f>K817+StepSize*L817</f>
        <v>410.65728288382383</v>
      </c>
      <c r="L818" s="33">
        <f>K818*Delta+I818*K818-J818*(DeathPayment-K818)</f>
        <v>-160.34233879534162</v>
      </c>
    </row>
    <row r="819" spans="1:12" x14ac:dyDescent="0.45">
      <c r="A819" s="11">
        <v>24.9</v>
      </c>
      <c r="B819" s="14">
        <v>5.6619999999999999E-4</v>
      </c>
      <c r="C819" s="15">
        <v>2.398E-4</v>
      </c>
      <c r="F819" s="28">
        <v>7.94</v>
      </c>
      <c r="G819" s="29">
        <f t="shared" si="48"/>
        <v>62.94</v>
      </c>
      <c r="H819" s="29">
        <f t="shared" si="49"/>
        <v>57.94</v>
      </c>
      <c r="I819" s="38">
        <f t="shared" si="50"/>
        <v>1.069238E-2</v>
      </c>
      <c r="J819" s="38">
        <f t="shared" si="51"/>
        <v>3.9245E-3</v>
      </c>
      <c r="K819" s="32">
        <f>K818+StepSize*L818</f>
        <v>409.05385949587043</v>
      </c>
      <c r="L819" s="33">
        <f>K819*Delta+I819*K819-J819*(DeathPayment-K819)</f>
        <v>-160.66286308177123</v>
      </c>
    </row>
    <row r="820" spans="1:12" x14ac:dyDescent="0.45">
      <c r="A820" s="11">
        <v>24.91</v>
      </c>
      <c r="B820" s="14">
        <v>5.6618E-4</v>
      </c>
      <c r="C820" s="15">
        <v>2.3991999999999999E-4</v>
      </c>
      <c r="F820" s="28">
        <v>7.95</v>
      </c>
      <c r="G820" s="29">
        <f t="shared" si="48"/>
        <v>62.95</v>
      </c>
      <c r="H820" s="29">
        <f t="shared" si="49"/>
        <v>57.95</v>
      </c>
      <c r="I820" s="38">
        <f t="shared" si="50"/>
        <v>1.0704150000000001E-2</v>
      </c>
      <c r="J820" s="38">
        <f t="shared" si="51"/>
        <v>3.9282500000000003E-3</v>
      </c>
      <c r="K820" s="32">
        <f>K819+StepSize*L819</f>
        <v>407.44723086505269</v>
      </c>
      <c r="L820" s="33">
        <f>K820*Delta+I820*K820-J820*(DeathPayment-K820)</f>
        <v>-160.98371584414298</v>
      </c>
    </row>
    <row r="821" spans="1:12" x14ac:dyDescent="0.45">
      <c r="A821" s="11">
        <v>24.92</v>
      </c>
      <c r="B821" s="14">
        <v>5.6616000000000001E-4</v>
      </c>
      <c r="C821" s="15">
        <v>2.4004000000000001E-4</v>
      </c>
      <c r="F821" s="28">
        <v>7.96</v>
      </c>
      <c r="G821" s="29">
        <f t="shared" si="48"/>
        <v>62.96</v>
      </c>
      <c r="H821" s="29">
        <f t="shared" si="49"/>
        <v>57.96</v>
      </c>
      <c r="I821" s="38">
        <f t="shared" si="50"/>
        <v>1.071592E-2</v>
      </c>
      <c r="J821" s="38">
        <f t="shared" si="51"/>
        <v>3.9319999999999997E-3</v>
      </c>
      <c r="K821" s="32">
        <f>K820+StepSize*L820</f>
        <v>405.83739370661124</v>
      </c>
      <c r="L821" s="33">
        <f>K821*Delta+I821*K821-J821*(DeathPayment-K821)</f>
        <v>-161.30489751736374</v>
      </c>
    </row>
    <row r="822" spans="1:12" x14ac:dyDescent="0.45">
      <c r="A822" s="11">
        <v>24.93</v>
      </c>
      <c r="B822" s="14">
        <v>5.6614000000000002E-4</v>
      </c>
      <c r="C822" s="15">
        <v>2.4016E-4</v>
      </c>
      <c r="F822" s="28">
        <v>7.97</v>
      </c>
      <c r="G822" s="29">
        <f t="shared" si="48"/>
        <v>62.97</v>
      </c>
      <c r="H822" s="29">
        <f t="shared" si="49"/>
        <v>57.97</v>
      </c>
      <c r="I822" s="38">
        <f t="shared" si="50"/>
        <v>1.072769E-2</v>
      </c>
      <c r="J822" s="38">
        <f t="shared" si="51"/>
        <v>3.93575E-3</v>
      </c>
      <c r="K822" s="32">
        <f>K821+StepSize*L821</f>
        <v>404.22434473143761</v>
      </c>
      <c r="L822" s="33">
        <f>K822*Delta+I822*K822-J822*(DeathPayment-K822)</f>
        <v>-161.62640853692284</v>
      </c>
    </row>
    <row r="823" spans="1:12" x14ac:dyDescent="0.45">
      <c r="A823" s="11">
        <v>24.94</v>
      </c>
      <c r="B823" s="14">
        <v>5.6612000000000003E-4</v>
      </c>
      <c r="C823" s="15">
        <v>2.4028E-4</v>
      </c>
      <c r="F823" s="28">
        <v>7.98</v>
      </c>
      <c r="G823" s="29">
        <f t="shared" si="48"/>
        <v>62.98</v>
      </c>
      <c r="H823" s="29">
        <f t="shared" si="49"/>
        <v>57.98</v>
      </c>
      <c r="I823" s="38">
        <f t="shared" si="50"/>
        <v>1.0739459999999999E-2</v>
      </c>
      <c r="J823" s="38">
        <f t="shared" si="51"/>
        <v>3.9395000000000003E-3</v>
      </c>
      <c r="K823" s="32">
        <f>K822+StepSize*L822</f>
        <v>402.6080806460684</v>
      </c>
      <c r="L823" s="33">
        <f>K823*Delta+I823*K823-J823*(DeathPayment-K823)</f>
        <v>-161.94824933889248</v>
      </c>
    </row>
    <row r="824" spans="1:12" x14ac:dyDescent="0.45">
      <c r="A824" s="11">
        <v>24.95</v>
      </c>
      <c r="B824" s="14">
        <v>5.6610000000000005E-4</v>
      </c>
      <c r="C824" s="15">
        <v>2.4039999999999999E-4</v>
      </c>
      <c r="F824" s="28">
        <v>7.99</v>
      </c>
      <c r="G824" s="29">
        <f t="shared" si="48"/>
        <v>62.99</v>
      </c>
      <c r="H824" s="29">
        <f t="shared" si="49"/>
        <v>57.99</v>
      </c>
      <c r="I824" s="38">
        <f t="shared" si="50"/>
        <v>1.0751230000000001E-2</v>
      </c>
      <c r="J824" s="38">
        <f t="shared" si="51"/>
        <v>3.9432499999999997E-3</v>
      </c>
      <c r="K824" s="32">
        <f>K823+StepSize*L823</f>
        <v>400.98859815267946</v>
      </c>
      <c r="L824" s="33">
        <f>K824*Delta+I824*K824-J824*(DeathPayment-K824)</f>
        <v>-162.27042035992878</v>
      </c>
    </row>
    <row r="825" spans="1:12" x14ac:dyDescent="0.45">
      <c r="A825" s="11">
        <v>24.96</v>
      </c>
      <c r="B825" s="14">
        <v>5.6607999999999995E-4</v>
      </c>
      <c r="C825" s="15">
        <v>2.4052000000000001E-4</v>
      </c>
      <c r="F825" s="28">
        <v>8</v>
      </c>
      <c r="G825" s="29">
        <f t="shared" si="48"/>
        <v>63</v>
      </c>
      <c r="H825" s="29">
        <f t="shared" si="49"/>
        <v>58</v>
      </c>
      <c r="I825" s="38">
        <f t="shared" si="50"/>
        <v>1.0763E-2</v>
      </c>
      <c r="J825" s="38">
        <f t="shared" si="51"/>
        <v>3.947E-3</v>
      </c>
      <c r="K825" s="32">
        <f>K824+StepSize*L824</f>
        <v>399.36589394908015</v>
      </c>
      <c r="L825" s="33">
        <f>K825*Delta+I825*K825-J825*(DeathPayment-K825)</f>
        <v>-162.59292203727279</v>
      </c>
    </row>
    <row r="826" spans="1:12" x14ac:dyDescent="0.45">
      <c r="A826" s="11">
        <v>24.97</v>
      </c>
      <c r="B826" s="14">
        <v>5.6605999999999996E-4</v>
      </c>
      <c r="C826" s="15">
        <v>2.4064E-4</v>
      </c>
      <c r="F826" s="28">
        <v>8.01</v>
      </c>
      <c r="G826" s="29">
        <f t="shared" si="48"/>
        <v>63.01</v>
      </c>
      <c r="H826" s="29">
        <f t="shared" si="49"/>
        <v>58.01</v>
      </c>
      <c r="I826" s="38">
        <f t="shared" si="50"/>
        <v>1.077615E-2</v>
      </c>
      <c r="J826" s="38">
        <f t="shared" si="51"/>
        <v>3.9511499999999996E-3</v>
      </c>
      <c r="K826" s="32">
        <f>K825+StepSize*L825</f>
        <v>397.73996472870743</v>
      </c>
      <c r="L826" s="33">
        <f>K826*Delta+I826*K826-J826*(DeathPayment-K826)</f>
        <v>-162.93504683161362</v>
      </c>
    </row>
    <row r="827" spans="1:12" x14ac:dyDescent="0.45">
      <c r="A827" s="11">
        <v>24.98</v>
      </c>
      <c r="B827" s="14">
        <v>5.6603999999999997E-4</v>
      </c>
      <c r="C827" s="15">
        <v>2.4075999999999999E-4</v>
      </c>
      <c r="F827" s="28">
        <v>8.02</v>
      </c>
      <c r="G827" s="29">
        <f t="shared" si="48"/>
        <v>63.02</v>
      </c>
      <c r="H827" s="29">
        <f t="shared" si="49"/>
        <v>58.02</v>
      </c>
      <c r="I827" s="38">
        <f t="shared" si="50"/>
        <v>1.07893E-2</v>
      </c>
      <c r="J827" s="38">
        <f t="shared" si="51"/>
        <v>3.9553000000000001E-3</v>
      </c>
      <c r="K827" s="32">
        <f>K826+StepSize*L826</f>
        <v>396.11061426039129</v>
      </c>
      <c r="L827" s="33">
        <f>K827*Delta+I827*K827-J827*(DeathPayment-K827)</f>
        <v>-163.27752575495268</v>
      </c>
    </row>
    <row r="828" spans="1:12" x14ac:dyDescent="0.45">
      <c r="A828" s="11">
        <v>24.99</v>
      </c>
      <c r="B828" s="14">
        <v>5.6601999999999998E-4</v>
      </c>
      <c r="C828" s="15">
        <v>2.4088000000000001E-4</v>
      </c>
      <c r="F828" s="28">
        <v>8.0299999999999994</v>
      </c>
      <c r="G828" s="29">
        <f t="shared" si="48"/>
        <v>63.03</v>
      </c>
      <c r="H828" s="29">
        <f t="shared" si="49"/>
        <v>58.03</v>
      </c>
      <c r="I828" s="38">
        <f t="shared" si="50"/>
        <v>1.080245E-2</v>
      </c>
      <c r="J828" s="38">
        <f t="shared" si="51"/>
        <v>3.9594499999999998E-3</v>
      </c>
      <c r="K828" s="32">
        <f>K827+StepSize*L827</f>
        <v>394.47783900284173</v>
      </c>
      <c r="L828" s="33">
        <f>K828*Delta+I828*K828-J828*(DeathPayment-K828)</f>
        <v>-163.62035929323721</v>
      </c>
    </row>
    <row r="829" spans="1:12" x14ac:dyDescent="0.45">
      <c r="A829" s="11">
        <v>25</v>
      </c>
      <c r="B829" s="14">
        <v>5.6599999999999999E-4</v>
      </c>
      <c r="C829" s="15">
        <v>2.41E-4</v>
      </c>
      <c r="F829" s="28">
        <v>8.0399999999999991</v>
      </c>
      <c r="G829" s="29">
        <f t="shared" si="48"/>
        <v>63.04</v>
      </c>
      <c r="H829" s="29">
        <f t="shared" si="49"/>
        <v>58.04</v>
      </c>
      <c r="I829" s="38">
        <f t="shared" si="50"/>
        <v>1.08156E-2</v>
      </c>
      <c r="J829" s="38">
        <f t="shared" si="51"/>
        <v>3.9636000000000003E-3</v>
      </c>
      <c r="K829" s="32">
        <f>K828+StepSize*L828</f>
        <v>392.84163540990937</v>
      </c>
      <c r="L829" s="33">
        <f>K829*Delta+I829*K829-J829*(DeathPayment-K829)</f>
        <v>-163.96354793308296</v>
      </c>
    </row>
    <row r="830" spans="1:12" x14ac:dyDescent="0.45">
      <c r="A830" s="11">
        <v>25.01</v>
      </c>
      <c r="B830" s="14">
        <v>5.6599999999999999E-4</v>
      </c>
      <c r="C830" s="15">
        <v>2.4114000000000001E-4</v>
      </c>
      <c r="F830" s="28">
        <v>8.0500000000000007</v>
      </c>
      <c r="G830" s="29">
        <f t="shared" si="48"/>
        <v>63.05</v>
      </c>
      <c r="H830" s="29">
        <f t="shared" si="49"/>
        <v>58.05</v>
      </c>
      <c r="I830" s="38">
        <f t="shared" si="50"/>
        <v>1.082875E-2</v>
      </c>
      <c r="J830" s="38">
        <f t="shared" si="51"/>
        <v>3.9677499999999999E-3</v>
      </c>
      <c r="K830" s="32">
        <f>K829+StepSize*L829</f>
        <v>391.20199993057855</v>
      </c>
      <c r="L830" s="33">
        <f>K830*Delta+I830*K830-J830*(DeathPayment-K830)</f>
        <v>-164.3070921617749</v>
      </c>
    </row>
    <row r="831" spans="1:12" x14ac:dyDescent="0.45">
      <c r="A831" s="11">
        <v>25.02</v>
      </c>
      <c r="B831" s="14">
        <v>5.6599999999999999E-4</v>
      </c>
      <c r="C831" s="15">
        <v>2.4127999999999999E-4</v>
      </c>
      <c r="F831" s="28">
        <v>8.06</v>
      </c>
      <c r="G831" s="29">
        <f t="shared" si="48"/>
        <v>63.06</v>
      </c>
      <c r="H831" s="29">
        <f t="shared" si="49"/>
        <v>58.06</v>
      </c>
      <c r="I831" s="38">
        <f t="shared" si="50"/>
        <v>1.08419E-2</v>
      </c>
      <c r="J831" s="38">
        <f t="shared" si="51"/>
        <v>3.9719000000000004E-3</v>
      </c>
      <c r="K831" s="32">
        <f>K830+StepSize*L830</f>
        <v>389.55892900896083</v>
      </c>
      <c r="L831" s="33">
        <f>K831*Delta+I831*K831-J831*(DeathPayment-K831)</f>
        <v>-164.65099246726842</v>
      </c>
    </row>
    <row r="832" spans="1:12" x14ac:dyDescent="0.45">
      <c r="A832" s="11">
        <v>25.03</v>
      </c>
      <c r="B832" s="14">
        <v>5.6599999999999999E-4</v>
      </c>
      <c r="C832" s="15">
        <v>2.4142E-4</v>
      </c>
      <c r="F832" s="28">
        <v>8.07</v>
      </c>
      <c r="G832" s="29">
        <f t="shared" si="48"/>
        <v>63.07</v>
      </c>
      <c r="H832" s="29">
        <f t="shared" si="49"/>
        <v>58.07</v>
      </c>
      <c r="I832" s="38">
        <f t="shared" si="50"/>
        <v>1.085505E-2</v>
      </c>
      <c r="J832" s="38">
        <f t="shared" si="51"/>
        <v>3.9760500000000001E-3</v>
      </c>
      <c r="K832" s="32">
        <f>K831+StepSize*L831</f>
        <v>387.91241908428816</v>
      </c>
      <c r="L832" s="33">
        <f>K832*Delta+I832*K832-J832*(DeathPayment-K832)</f>
        <v>-164.99524933819015</v>
      </c>
    </row>
    <row r="833" spans="1:12" x14ac:dyDescent="0.45">
      <c r="A833" s="11">
        <v>25.04</v>
      </c>
      <c r="B833" s="14">
        <v>5.6599999999999999E-4</v>
      </c>
      <c r="C833" s="15">
        <v>2.4156000000000001E-4</v>
      </c>
      <c r="F833" s="28">
        <v>8.08</v>
      </c>
      <c r="G833" s="29">
        <f t="shared" si="48"/>
        <v>63.08</v>
      </c>
      <c r="H833" s="29">
        <f t="shared" si="49"/>
        <v>58.08</v>
      </c>
      <c r="I833" s="38">
        <f t="shared" si="50"/>
        <v>1.08682E-2</v>
      </c>
      <c r="J833" s="38">
        <f t="shared" si="51"/>
        <v>3.9801999999999997E-3</v>
      </c>
      <c r="K833" s="32">
        <f>K832+StepSize*L832</f>
        <v>386.26246659090629</v>
      </c>
      <c r="L833" s="33">
        <f>K833*Delta+I833*K833-J833*(DeathPayment-K833)</f>
        <v>-165.33986326383899</v>
      </c>
    </row>
    <row r="834" spans="1:12" x14ac:dyDescent="0.45">
      <c r="A834" s="11">
        <v>25.05</v>
      </c>
      <c r="B834" s="14">
        <v>5.6599999999999999E-4</v>
      </c>
      <c r="C834" s="15">
        <v>2.4169999999999999E-4</v>
      </c>
      <c r="F834" s="28">
        <v>8.09</v>
      </c>
      <c r="G834" s="29">
        <f t="shared" si="48"/>
        <v>63.09</v>
      </c>
      <c r="H834" s="29">
        <f t="shared" si="49"/>
        <v>58.09</v>
      </c>
      <c r="I834" s="38">
        <f t="shared" si="50"/>
        <v>1.088135E-2</v>
      </c>
      <c r="J834" s="38">
        <f t="shared" si="51"/>
        <v>3.9843500000000002E-3</v>
      </c>
      <c r="K834" s="32">
        <f>K833+StepSize*L833</f>
        <v>384.60906795826787</v>
      </c>
      <c r="L834" s="33">
        <f>K834*Delta+I834*K834-J834*(DeathPayment-K834)</f>
        <v>-165.68483473418749</v>
      </c>
    </row>
    <row r="835" spans="1:12" x14ac:dyDescent="0.45">
      <c r="A835" s="11">
        <v>25.06</v>
      </c>
      <c r="B835" s="14">
        <v>5.6599999999999999E-4</v>
      </c>
      <c r="C835" s="15">
        <v>2.4184E-4</v>
      </c>
      <c r="F835" s="28">
        <v>8.1</v>
      </c>
      <c r="G835" s="29">
        <f t="shared" si="48"/>
        <v>63.1</v>
      </c>
      <c r="H835" s="29">
        <f t="shared" si="49"/>
        <v>58.1</v>
      </c>
      <c r="I835" s="38">
        <f t="shared" si="50"/>
        <v>1.08945E-2</v>
      </c>
      <c r="J835" s="38">
        <f t="shared" si="51"/>
        <v>3.9884999999999999E-3</v>
      </c>
      <c r="K835" s="32">
        <f>K834+StepSize*L834</f>
        <v>382.95221961092602</v>
      </c>
      <c r="L835" s="33">
        <f>K835*Delta+I835*K835-J835*(DeathPayment-K835)</f>
        <v>-166.03016423988217</v>
      </c>
    </row>
    <row r="836" spans="1:12" x14ac:dyDescent="0.45">
      <c r="A836" s="11">
        <v>25.07</v>
      </c>
      <c r="B836" s="14">
        <v>5.6599999999999999E-4</v>
      </c>
      <c r="C836" s="15">
        <v>2.4198000000000001E-4</v>
      </c>
      <c r="F836" s="28">
        <v>8.11</v>
      </c>
      <c r="G836" s="29">
        <f t="shared" si="48"/>
        <v>63.11</v>
      </c>
      <c r="H836" s="29">
        <f t="shared" si="49"/>
        <v>58.11</v>
      </c>
      <c r="I836" s="38">
        <f t="shared" si="50"/>
        <v>1.090765E-2</v>
      </c>
      <c r="J836" s="38">
        <f t="shared" si="51"/>
        <v>3.9926500000000004E-3</v>
      </c>
      <c r="K836" s="32">
        <f>K835+StepSize*L835</f>
        <v>381.29191796852717</v>
      </c>
      <c r="L836" s="33">
        <f>K836*Delta+I836*K836-J836*(DeathPayment-K836)</f>
        <v>-166.37585227224517</v>
      </c>
    </row>
    <row r="837" spans="1:12" x14ac:dyDescent="0.45">
      <c r="A837" s="11">
        <v>25.08</v>
      </c>
      <c r="B837" s="14">
        <v>5.6599999999999999E-4</v>
      </c>
      <c r="C837" s="15">
        <v>2.4211999999999999E-4</v>
      </c>
      <c r="F837" s="28">
        <v>8.1199999999999992</v>
      </c>
      <c r="G837" s="29">
        <f t="shared" si="48"/>
        <v>63.12</v>
      </c>
      <c r="H837" s="29">
        <f t="shared" si="49"/>
        <v>58.12</v>
      </c>
      <c r="I837" s="38">
        <f t="shared" si="50"/>
        <v>1.09208E-2</v>
      </c>
      <c r="J837" s="38">
        <f t="shared" si="51"/>
        <v>3.9968E-3</v>
      </c>
      <c r="K837" s="32">
        <f>K836+StepSize*L836</f>
        <v>379.62815944580473</v>
      </c>
      <c r="L837" s="33">
        <f>K837*Delta+I837*K837-J837*(DeathPayment-K837)</f>
        <v>-166.7218993232749</v>
      </c>
    </row>
    <row r="838" spans="1:12" x14ac:dyDescent="0.45">
      <c r="A838" s="11">
        <v>25.09</v>
      </c>
      <c r="B838" s="14">
        <v>5.6599999999999999E-4</v>
      </c>
      <c r="C838" s="15">
        <v>2.4226E-4</v>
      </c>
      <c r="F838" s="28">
        <v>8.1300000000000008</v>
      </c>
      <c r="G838" s="29">
        <f t="shared" si="48"/>
        <v>63.13</v>
      </c>
      <c r="H838" s="29">
        <f t="shared" si="49"/>
        <v>58.13</v>
      </c>
      <c r="I838" s="38">
        <f t="shared" si="50"/>
        <v>1.093395E-2</v>
      </c>
      <c r="J838" s="38">
        <f t="shared" si="51"/>
        <v>4.0009499999999996E-3</v>
      </c>
      <c r="K838" s="32">
        <f>K837+StepSize*L837</f>
        <v>377.960940452572</v>
      </c>
      <c r="L838" s="33">
        <f>K838*Delta+I838*K838-J838*(DeathPayment-K838)</f>
        <v>-167.06830588564722</v>
      </c>
    </row>
    <row r="839" spans="1:12" x14ac:dyDescent="0.45">
      <c r="A839" s="11">
        <v>25.1</v>
      </c>
      <c r="B839" s="14">
        <v>5.6599999999999999E-4</v>
      </c>
      <c r="C839" s="15">
        <v>2.4240000000000001E-4</v>
      </c>
      <c r="F839" s="28">
        <v>8.14</v>
      </c>
      <c r="G839" s="29">
        <f t="shared" si="48"/>
        <v>63.14</v>
      </c>
      <c r="H839" s="29">
        <f t="shared" si="49"/>
        <v>58.14</v>
      </c>
      <c r="I839" s="38">
        <f t="shared" si="50"/>
        <v>1.09471E-2</v>
      </c>
      <c r="J839" s="38">
        <f t="shared" si="51"/>
        <v>4.0051000000000002E-3</v>
      </c>
      <c r="K839" s="32">
        <f>K838+StepSize*L838</f>
        <v>376.29025739371554</v>
      </c>
      <c r="L839" s="33">
        <f>K839*Delta+I839*K839-J839*(DeathPayment-K839)</f>
        <v>-167.4150724527164</v>
      </c>
    </row>
    <row r="840" spans="1:12" x14ac:dyDescent="0.45">
      <c r="A840" s="11">
        <v>25.11</v>
      </c>
      <c r="B840" s="14">
        <v>5.6599999999999999E-4</v>
      </c>
      <c r="C840" s="15">
        <v>2.4253999999999999E-4</v>
      </c>
      <c r="F840" s="28">
        <v>8.15</v>
      </c>
      <c r="G840" s="29">
        <f t="shared" si="48"/>
        <v>63.15</v>
      </c>
      <c r="H840" s="29">
        <f t="shared" si="49"/>
        <v>58.15</v>
      </c>
      <c r="I840" s="38">
        <f t="shared" si="50"/>
        <v>1.096025E-2</v>
      </c>
      <c r="J840" s="38">
        <f t="shared" si="51"/>
        <v>4.0092499999999998E-3</v>
      </c>
      <c r="K840" s="32">
        <f>K839+StepSize*L839</f>
        <v>374.61610666918835</v>
      </c>
      <c r="L840" s="33">
        <f>K840*Delta+I840*K840-J840*(DeathPayment-K840)</f>
        <v>-167.7621995185161</v>
      </c>
    </row>
    <row r="841" spans="1:12" x14ac:dyDescent="0.45">
      <c r="A841" s="11">
        <v>25.12</v>
      </c>
      <c r="B841" s="14">
        <v>5.6599999999999999E-4</v>
      </c>
      <c r="C841" s="15">
        <v>2.4268E-4</v>
      </c>
      <c r="F841" s="28">
        <v>8.16</v>
      </c>
      <c r="G841" s="29">
        <f t="shared" si="48"/>
        <v>63.16</v>
      </c>
      <c r="H841" s="29">
        <f t="shared" si="49"/>
        <v>58.16</v>
      </c>
      <c r="I841" s="38">
        <f t="shared" si="50"/>
        <v>1.0973399999999999E-2</v>
      </c>
      <c r="J841" s="38">
        <f t="shared" si="51"/>
        <v>4.0134000000000003E-3</v>
      </c>
      <c r="K841" s="32">
        <f>K840+StepSize*L840</f>
        <v>372.93848467400318</v>
      </c>
      <c r="L841" s="33">
        <f>K841*Delta+I841*K841-J841*(DeathPayment-K841)</f>
        <v>-168.1096875777605</v>
      </c>
    </row>
    <row r="842" spans="1:12" x14ac:dyDescent="0.45">
      <c r="A842" s="11">
        <v>25.13</v>
      </c>
      <c r="B842" s="14">
        <v>5.6599999999999999E-4</v>
      </c>
      <c r="C842" s="15">
        <v>2.4282000000000001E-4</v>
      </c>
      <c r="F842" s="28">
        <v>8.17</v>
      </c>
      <c r="G842" s="29">
        <f t="shared" si="48"/>
        <v>63.17</v>
      </c>
      <c r="H842" s="29">
        <f t="shared" si="49"/>
        <v>58.17</v>
      </c>
      <c r="I842" s="38">
        <f t="shared" si="50"/>
        <v>1.0986549999999999E-2</v>
      </c>
      <c r="J842" s="38">
        <f t="shared" si="51"/>
        <v>4.0175499999999999E-3</v>
      </c>
      <c r="K842" s="32">
        <f>K841+StepSize*L841</f>
        <v>371.25738779822558</v>
      </c>
      <c r="L842" s="33">
        <f>K842*Delta+I842*K842-J842*(DeathPayment-K842)</f>
        <v>-168.45753712584516</v>
      </c>
    </row>
    <row r="843" spans="1:12" x14ac:dyDescent="0.45">
      <c r="A843" s="11">
        <v>25.14</v>
      </c>
      <c r="B843" s="14">
        <v>5.6599999999999999E-4</v>
      </c>
      <c r="C843" s="15">
        <v>2.4295999999999999E-4</v>
      </c>
      <c r="F843" s="28">
        <v>8.18</v>
      </c>
      <c r="G843" s="29">
        <f t="shared" si="48"/>
        <v>63.18</v>
      </c>
      <c r="H843" s="29">
        <f t="shared" si="49"/>
        <v>58.18</v>
      </c>
      <c r="I843" s="38">
        <f t="shared" si="50"/>
        <v>1.0999699999999999E-2</v>
      </c>
      <c r="J843" s="38">
        <f t="shared" si="51"/>
        <v>4.0216999999999996E-3</v>
      </c>
      <c r="K843" s="32">
        <f>K842+StepSize*L842</f>
        <v>369.57281242696712</v>
      </c>
      <c r="L843" s="33">
        <f>K843*Delta+I843*K843-J843*(DeathPayment-K843)</f>
        <v>-168.80574865884822</v>
      </c>
    </row>
    <row r="844" spans="1:12" x14ac:dyDescent="0.45">
      <c r="A844" s="11">
        <v>25.15</v>
      </c>
      <c r="B844" s="14">
        <v>5.6599999999999999E-4</v>
      </c>
      <c r="C844" s="15">
        <v>2.431E-4</v>
      </c>
      <c r="F844" s="28">
        <v>8.19</v>
      </c>
      <c r="G844" s="29">
        <f t="shared" si="48"/>
        <v>63.19</v>
      </c>
      <c r="H844" s="29">
        <f t="shared" si="49"/>
        <v>58.19</v>
      </c>
      <c r="I844" s="38">
        <f t="shared" si="50"/>
        <v>1.1012849999999999E-2</v>
      </c>
      <c r="J844" s="38">
        <f t="shared" si="51"/>
        <v>4.0258500000000001E-3</v>
      </c>
      <c r="K844" s="32">
        <f>K843+StepSize*L843</f>
        <v>367.88475494037863</v>
      </c>
      <c r="L844" s="33">
        <f>K844*Delta+I844*K844-J844*(DeathPayment-K844)</f>
        <v>-169.15432267353134</v>
      </c>
    </row>
    <row r="845" spans="1:12" x14ac:dyDescent="0.45">
      <c r="A845" s="11">
        <v>25.16</v>
      </c>
      <c r="B845" s="14">
        <v>5.6599999999999999E-4</v>
      </c>
      <c r="C845" s="15">
        <v>2.4324000000000001E-4</v>
      </c>
      <c r="F845" s="28">
        <v>8.1999999999999993</v>
      </c>
      <c r="G845" s="29">
        <f t="shared" si="48"/>
        <v>63.2</v>
      </c>
      <c r="H845" s="29">
        <f t="shared" si="49"/>
        <v>58.2</v>
      </c>
      <c r="I845" s="38">
        <f t="shared" si="50"/>
        <v>1.1025999999999999E-2</v>
      </c>
      <c r="J845" s="38">
        <f t="shared" si="51"/>
        <v>4.0299999999999997E-3</v>
      </c>
      <c r="K845" s="32">
        <f>K844+StepSize*L844</f>
        <v>366.19321171364334</v>
      </c>
      <c r="L845" s="33">
        <f>K845*Delta+I845*K845-J845*(DeathPayment-K845)</f>
        <v>-169.50325966734059</v>
      </c>
    </row>
    <row r="846" spans="1:12" x14ac:dyDescent="0.45">
      <c r="A846" s="11">
        <v>25.17</v>
      </c>
      <c r="B846" s="14">
        <v>5.6599999999999999E-4</v>
      </c>
      <c r="C846" s="15">
        <v>2.4337999999999999E-4</v>
      </c>
      <c r="F846" s="28">
        <v>8.2100000000000009</v>
      </c>
      <c r="G846" s="29">
        <f t="shared" si="48"/>
        <v>63.21</v>
      </c>
      <c r="H846" s="29">
        <f t="shared" si="49"/>
        <v>58.21</v>
      </c>
      <c r="I846" s="38">
        <f t="shared" si="50"/>
        <v>1.1039149999999999E-2</v>
      </c>
      <c r="J846" s="38">
        <f t="shared" si="51"/>
        <v>4.0341500000000002E-3</v>
      </c>
      <c r="K846" s="32">
        <f>K845+StepSize*L845</f>
        <v>364.49817911696994</v>
      </c>
      <c r="L846" s="33">
        <f>K846*Delta+I846*K846-J846*(DeathPayment-K846)</f>
        <v>-169.85256013840788</v>
      </c>
    </row>
    <row r="847" spans="1:12" x14ac:dyDescent="0.45">
      <c r="A847" s="11">
        <v>25.18</v>
      </c>
      <c r="B847" s="14">
        <v>5.6599999999999999E-4</v>
      </c>
      <c r="C847" s="15">
        <v>2.4352E-4</v>
      </c>
      <c r="F847" s="28">
        <v>8.2200000000000006</v>
      </c>
      <c r="G847" s="29">
        <f t="shared" si="48"/>
        <v>63.22</v>
      </c>
      <c r="H847" s="29">
        <f t="shared" si="49"/>
        <v>58.22</v>
      </c>
      <c r="I847" s="38">
        <f t="shared" si="50"/>
        <v>1.1052299999999999E-2</v>
      </c>
      <c r="J847" s="38">
        <f t="shared" si="51"/>
        <v>4.0382999999999999E-3</v>
      </c>
      <c r="K847" s="32">
        <f>K846+StepSize*L846</f>
        <v>362.79965351558587</v>
      </c>
      <c r="L847" s="33">
        <f>K847*Delta+I847*K847-J847*(DeathPayment-K847)</f>
        <v>-170.20222458555142</v>
      </c>
    </row>
    <row r="848" spans="1:12" x14ac:dyDescent="0.45">
      <c r="A848" s="11">
        <v>25.19</v>
      </c>
      <c r="B848" s="14">
        <v>5.6599999999999999E-4</v>
      </c>
      <c r="C848" s="15">
        <v>2.4366000000000001E-4</v>
      </c>
      <c r="F848" s="28">
        <v>8.23</v>
      </c>
      <c r="G848" s="29">
        <f t="shared" si="48"/>
        <v>63.23</v>
      </c>
      <c r="H848" s="29">
        <f t="shared" si="49"/>
        <v>58.23</v>
      </c>
      <c r="I848" s="38">
        <f t="shared" si="50"/>
        <v>1.1065449999999999E-2</v>
      </c>
      <c r="J848" s="38">
        <f t="shared" si="51"/>
        <v>4.0424500000000004E-3</v>
      </c>
      <c r="K848" s="32">
        <f>K847+StepSize*L847</f>
        <v>361.09763126973036</v>
      </c>
      <c r="L848" s="33">
        <f>K848*Delta+I848*K848-J848*(DeathPayment-K848)</f>
        <v>-170.55225350827729</v>
      </c>
    </row>
    <row r="849" spans="1:12" x14ac:dyDescent="0.45">
      <c r="A849" s="11">
        <v>25.2</v>
      </c>
      <c r="B849" s="14">
        <v>5.6599999999999999E-4</v>
      </c>
      <c r="C849" s="15">
        <v>2.4379999999999999E-4</v>
      </c>
      <c r="F849" s="28">
        <v>8.24</v>
      </c>
      <c r="G849" s="29">
        <f t="shared" si="48"/>
        <v>63.24</v>
      </c>
      <c r="H849" s="29">
        <f t="shared" si="49"/>
        <v>58.24</v>
      </c>
      <c r="I849" s="38">
        <f t="shared" si="50"/>
        <v>1.1078599999999999E-2</v>
      </c>
      <c r="J849" s="38">
        <f t="shared" si="51"/>
        <v>4.0466E-3</v>
      </c>
      <c r="K849" s="32">
        <f>K848+StepSize*L848</f>
        <v>359.39210873464759</v>
      </c>
      <c r="L849" s="33">
        <f>K849*Delta+I849*K849-J849*(DeathPayment-K849)</f>
        <v>-170.90264740678009</v>
      </c>
    </row>
    <row r="850" spans="1:12" x14ac:dyDescent="0.45">
      <c r="A850" s="11">
        <v>25.21</v>
      </c>
      <c r="B850" s="14">
        <v>5.6599999999999999E-4</v>
      </c>
      <c r="C850" s="15">
        <v>2.4394E-4</v>
      </c>
      <c r="F850" s="28">
        <v>8.25</v>
      </c>
      <c r="G850" s="29">
        <f t="shared" si="48"/>
        <v>63.25</v>
      </c>
      <c r="H850" s="29">
        <f t="shared" si="49"/>
        <v>58.25</v>
      </c>
      <c r="I850" s="38">
        <f t="shared" si="50"/>
        <v>1.1091749999999999E-2</v>
      </c>
      <c r="J850" s="38">
        <f t="shared" si="51"/>
        <v>4.0507499999999997E-3</v>
      </c>
      <c r="K850" s="32">
        <f>K849+StepSize*L849</f>
        <v>357.68308226057979</v>
      </c>
      <c r="L850" s="33">
        <f>K850*Delta+I850*K850-J850*(DeathPayment-K850)</f>
        <v>-171.25340678194422</v>
      </c>
    </row>
    <row r="851" spans="1:12" x14ac:dyDescent="0.45">
      <c r="A851" s="11">
        <v>25.22</v>
      </c>
      <c r="B851" s="14">
        <v>5.6599999999999999E-4</v>
      </c>
      <c r="C851" s="15">
        <v>2.4408000000000001E-4</v>
      </c>
      <c r="F851" s="28">
        <v>8.26</v>
      </c>
      <c r="G851" s="29">
        <f t="shared" si="48"/>
        <v>63.26</v>
      </c>
      <c r="H851" s="29">
        <f t="shared" si="49"/>
        <v>58.26</v>
      </c>
      <c r="I851" s="38">
        <f t="shared" si="50"/>
        <v>1.1104899999999999E-2</v>
      </c>
      <c r="J851" s="38">
        <f t="shared" si="51"/>
        <v>4.0549000000000002E-3</v>
      </c>
      <c r="K851" s="32">
        <f>K850+StepSize*L850</f>
        <v>355.97054819276036</v>
      </c>
      <c r="L851" s="33">
        <f>K851*Delta+I851*K851-J851*(DeathPayment-K851)</f>
        <v>-171.60453213534481</v>
      </c>
    </row>
    <row r="852" spans="1:12" x14ac:dyDescent="0.45">
      <c r="A852" s="11">
        <v>25.23</v>
      </c>
      <c r="B852" s="14">
        <v>5.6599999999999999E-4</v>
      </c>
      <c r="C852" s="15">
        <v>2.4422000000000002E-4</v>
      </c>
      <c r="F852" s="28">
        <v>8.27</v>
      </c>
      <c r="G852" s="29">
        <f t="shared" si="48"/>
        <v>63.27</v>
      </c>
      <c r="H852" s="29">
        <f t="shared" si="49"/>
        <v>58.27</v>
      </c>
      <c r="I852" s="38">
        <f t="shared" si="50"/>
        <v>1.1118050000000001E-2</v>
      </c>
      <c r="J852" s="38">
        <f t="shared" si="51"/>
        <v>4.0590499999999998E-3</v>
      </c>
      <c r="K852" s="32">
        <f>K851+StepSize*L851</f>
        <v>354.25450287140688</v>
      </c>
      <c r="L852" s="33">
        <f>K852*Delta+I852*K852-J852*(DeathPayment-K852)</f>
        <v>-171.95602396924863</v>
      </c>
    </row>
    <row r="853" spans="1:12" x14ac:dyDescent="0.45">
      <c r="A853" s="11">
        <v>25.24</v>
      </c>
      <c r="B853" s="14">
        <v>5.6599999999999999E-4</v>
      </c>
      <c r="C853" s="15">
        <v>2.4436E-4</v>
      </c>
      <c r="F853" s="28">
        <v>8.2799999999999994</v>
      </c>
      <c r="G853" s="29">
        <f t="shared" si="48"/>
        <v>63.28</v>
      </c>
      <c r="H853" s="29">
        <f t="shared" si="49"/>
        <v>58.28</v>
      </c>
      <c r="I853" s="38">
        <f t="shared" si="50"/>
        <v>1.1131200000000001E-2</v>
      </c>
      <c r="J853" s="38">
        <f t="shared" si="51"/>
        <v>4.0632000000000003E-3</v>
      </c>
      <c r="K853" s="32">
        <f>K852+StepSize*L852</f>
        <v>352.53494263171439</v>
      </c>
      <c r="L853" s="33">
        <f>K853*Delta+I853*K853-J853*(DeathPayment-K853)</f>
        <v>-172.30788278661561</v>
      </c>
    </row>
    <row r="854" spans="1:12" x14ac:dyDescent="0.45">
      <c r="A854" s="11">
        <v>25.25</v>
      </c>
      <c r="B854" s="14">
        <v>5.6599999999999999E-4</v>
      </c>
      <c r="C854" s="15">
        <v>2.4449999999999998E-4</v>
      </c>
      <c r="F854" s="28">
        <v>8.2899999999999991</v>
      </c>
      <c r="G854" s="29">
        <f t="shared" si="48"/>
        <v>63.29</v>
      </c>
      <c r="H854" s="29">
        <f t="shared" si="49"/>
        <v>58.29</v>
      </c>
      <c r="I854" s="38">
        <f t="shared" si="50"/>
        <v>1.1144350000000001E-2</v>
      </c>
      <c r="J854" s="38">
        <f t="shared" si="51"/>
        <v>4.06735E-3</v>
      </c>
      <c r="K854" s="32">
        <f>K853+StepSize*L853</f>
        <v>350.81186380384821</v>
      </c>
      <c r="L854" s="33">
        <f>K854*Delta+I854*K854-J854*(DeathPayment-K854)</f>
        <v>-172.660109091099</v>
      </c>
    </row>
    <row r="855" spans="1:12" x14ac:dyDescent="0.45">
      <c r="A855" s="11">
        <v>25.26</v>
      </c>
      <c r="B855" s="14">
        <v>5.6599999999999999E-4</v>
      </c>
      <c r="C855" s="15">
        <v>2.4464000000000002E-4</v>
      </c>
      <c r="F855" s="28">
        <v>8.3000000000000007</v>
      </c>
      <c r="G855" s="29">
        <f t="shared" si="48"/>
        <v>63.3</v>
      </c>
      <c r="H855" s="29">
        <f t="shared" si="49"/>
        <v>58.3</v>
      </c>
      <c r="I855" s="38">
        <f t="shared" si="50"/>
        <v>1.1157500000000001E-2</v>
      </c>
      <c r="J855" s="38">
        <f t="shared" si="51"/>
        <v>4.0714999999999996E-3</v>
      </c>
      <c r="K855" s="32">
        <f>K854+StepSize*L854</f>
        <v>349.08526271293721</v>
      </c>
      <c r="L855" s="33">
        <f>K855*Delta+I855*K855-J855*(DeathPayment-K855)</f>
        <v>-173.01270338704748</v>
      </c>
    </row>
    <row r="856" spans="1:12" x14ac:dyDescent="0.45">
      <c r="A856" s="11">
        <v>25.27</v>
      </c>
      <c r="B856" s="14">
        <v>5.6599999999999999E-4</v>
      </c>
      <c r="C856" s="15">
        <v>2.4478E-4</v>
      </c>
      <c r="F856" s="28">
        <v>8.31</v>
      </c>
      <c r="G856" s="29">
        <f t="shared" si="48"/>
        <v>63.31</v>
      </c>
      <c r="H856" s="29">
        <f t="shared" si="49"/>
        <v>58.31</v>
      </c>
      <c r="I856" s="38">
        <f t="shared" si="50"/>
        <v>1.1170650000000001E-2</v>
      </c>
      <c r="J856" s="38">
        <f t="shared" si="51"/>
        <v>4.0756500000000001E-3</v>
      </c>
      <c r="K856" s="32">
        <f>K855+StepSize*L855</f>
        <v>347.35513567906673</v>
      </c>
      <c r="L856" s="33">
        <f>K856*Delta+I856*K856-J856*(DeathPayment-K856)</f>
        <v>-173.36566617950535</v>
      </c>
    </row>
    <row r="857" spans="1:12" x14ac:dyDescent="0.45">
      <c r="A857" s="11">
        <v>25.28</v>
      </c>
      <c r="B857" s="14">
        <v>5.6599999999999999E-4</v>
      </c>
      <c r="C857" s="15">
        <v>2.4491999999999998E-4</v>
      </c>
      <c r="F857" s="28">
        <v>8.32</v>
      </c>
      <c r="G857" s="29">
        <f t="shared" ref="G857:G920" si="52">ROUND(MaleAgeStart+F857,2)</f>
        <v>63.32</v>
      </c>
      <c r="H857" s="29">
        <f t="shared" ref="H857:H920" si="53">ROUND(FemaleAgeStart+F857,2)</f>
        <v>58.32</v>
      </c>
      <c r="I857" s="38">
        <f t="shared" ref="I857:I920" si="54">VLOOKUP(G857,muValues,2,FALSE)</f>
        <v>1.1183800000000001E-2</v>
      </c>
      <c r="J857" s="38">
        <f t="shared" ref="J857:J920" si="55">VLOOKUP(H857,muValues,3,FALSE)</f>
        <v>4.0797999999999997E-3</v>
      </c>
      <c r="K857" s="32">
        <f>K856+StepSize*L856</f>
        <v>345.62147901727167</v>
      </c>
      <c r="L857" s="33">
        <f>K857*Delta+I857*K857-J857*(DeathPayment-K857)</f>
        <v>-173.71899797421401</v>
      </c>
    </row>
    <row r="858" spans="1:12" x14ac:dyDescent="0.45">
      <c r="A858" s="11">
        <v>25.29</v>
      </c>
      <c r="B858" s="14">
        <v>5.6599999999999999E-4</v>
      </c>
      <c r="C858" s="15">
        <v>2.4506000000000002E-4</v>
      </c>
      <c r="F858" s="28">
        <v>8.33</v>
      </c>
      <c r="G858" s="29">
        <f t="shared" si="52"/>
        <v>63.33</v>
      </c>
      <c r="H858" s="29">
        <f t="shared" si="53"/>
        <v>58.33</v>
      </c>
      <c r="I858" s="38">
        <f t="shared" si="54"/>
        <v>1.1196950000000001E-2</v>
      </c>
      <c r="J858" s="38">
        <f t="shared" si="55"/>
        <v>4.0839500000000003E-3</v>
      </c>
      <c r="K858" s="32">
        <f>K857+StepSize*L857</f>
        <v>343.88428903752953</v>
      </c>
      <c r="L858" s="33">
        <f>K858*Delta+I858*K858-J858*(DeathPayment-K858)</f>
        <v>-174.07269927761294</v>
      </c>
    </row>
    <row r="859" spans="1:12" x14ac:dyDescent="0.45">
      <c r="A859" s="11">
        <v>25.3</v>
      </c>
      <c r="B859" s="14">
        <v>5.6599999999999999E-4</v>
      </c>
      <c r="C859" s="15">
        <v>2.452E-4</v>
      </c>
      <c r="F859" s="28">
        <v>8.34</v>
      </c>
      <c r="G859" s="29">
        <f t="shared" si="52"/>
        <v>63.34</v>
      </c>
      <c r="H859" s="29">
        <f t="shared" si="53"/>
        <v>58.34</v>
      </c>
      <c r="I859" s="38">
        <f t="shared" si="54"/>
        <v>1.1210100000000001E-2</v>
      </c>
      <c r="J859" s="38">
        <f t="shared" si="55"/>
        <v>4.0880999999999999E-3</v>
      </c>
      <c r="K859" s="32">
        <f>K858+StepSize*L858</f>
        <v>342.14356204475342</v>
      </c>
      <c r="L859" s="33">
        <f>K859*Delta+I859*K859-J859*(DeathPayment-K859)</f>
        <v>-174.42677059684056</v>
      </c>
    </row>
    <row r="860" spans="1:12" x14ac:dyDescent="0.45">
      <c r="A860" s="11">
        <v>25.31</v>
      </c>
      <c r="B860" s="14">
        <v>5.6599999999999999E-4</v>
      </c>
      <c r="C860" s="15">
        <v>2.4533999999999998E-4</v>
      </c>
      <c r="F860" s="28">
        <v>8.35</v>
      </c>
      <c r="G860" s="29">
        <f t="shared" si="52"/>
        <v>63.35</v>
      </c>
      <c r="H860" s="29">
        <f t="shared" si="53"/>
        <v>58.35</v>
      </c>
      <c r="I860" s="38">
        <f t="shared" si="54"/>
        <v>1.1223250000000001E-2</v>
      </c>
      <c r="J860" s="38">
        <f t="shared" si="55"/>
        <v>4.0922500000000004E-3</v>
      </c>
      <c r="K860" s="32">
        <f>K859+StepSize*L859</f>
        <v>340.39929433878501</v>
      </c>
      <c r="L860" s="33">
        <f>K860*Delta+I860*K860-J860*(DeathPayment-K860)</f>
        <v>-174.78121243973555</v>
      </c>
    </row>
    <row r="861" spans="1:12" x14ac:dyDescent="0.45">
      <c r="A861" s="11">
        <v>25.32</v>
      </c>
      <c r="B861" s="14">
        <v>5.6599999999999999E-4</v>
      </c>
      <c r="C861" s="15">
        <v>2.4548000000000001E-4</v>
      </c>
      <c r="F861" s="28">
        <v>8.36</v>
      </c>
      <c r="G861" s="29">
        <f t="shared" si="52"/>
        <v>63.36</v>
      </c>
      <c r="H861" s="29">
        <f t="shared" si="53"/>
        <v>58.36</v>
      </c>
      <c r="I861" s="38">
        <f t="shared" si="54"/>
        <v>1.1236400000000001E-2</v>
      </c>
      <c r="J861" s="38">
        <f t="shared" si="55"/>
        <v>4.0964E-3</v>
      </c>
      <c r="K861" s="32">
        <f>K860+StepSize*L860</f>
        <v>338.65148221438767</v>
      </c>
      <c r="L861" s="33">
        <f>K861*Delta+I861*K861-J861*(DeathPayment-K861)</f>
        <v>-175.13602531483775</v>
      </c>
    </row>
    <row r="862" spans="1:12" x14ac:dyDescent="0.45">
      <c r="A862" s="11">
        <v>25.33</v>
      </c>
      <c r="B862" s="14">
        <v>5.6599999999999999E-4</v>
      </c>
      <c r="C862" s="15">
        <v>2.4562E-4</v>
      </c>
      <c r="F862" s="28">
        <v>8.3699999999999992</v>
      </c>
      <c r="G862" s="29">
        <f t="shared" si="52"/>
        <v>63.37</v>
      </c>
      <c r="H862" s="29">
        <f t="shared" si="53"/>
        <v>58.37</v>
      </c>
      <c r="I862" s="38">
        <f t="shared" si="54"/>
        <v>1.1249550000000001E-2</v>
      </c>
      <c r="J862" s="38">
        <f t="shared" si="55"/>
        <v>4.1005499999999997E-3</v>
      </c>
      <c r="K862" s="32">
        <f>K861+StepSize*L861</f>
        <v>336.90012196123928</v>
      </c>
      <c r="L862" s="33">
        <f>K862*Delta+I862*K862-J862*(DeathPayment-K862)</f>
        <v>-175.49120973138923</v>
      </c>
    </row>
    <row r="863" spans="1:12" x14ac:dyDescent="0.45">
      <c r="A863" s="11">
        <v>25.34</v>
      </c>
      <c r="B863" s="14">
        <v>5.6599999999999999E-4</v>
      </c>
      <c r="C863" s="15">
        <v>2.4575999999999998E-4</v>
      </c>
      <c r="F863" s="28">
        <v>8.3800000000000008</v>
      </c>
      <c r="G863" s="29">
        <f t="shared" si="52"/>
        <v>63.38</v>
      </c>
      <c r="H863" s="29">
        <f t="shared" si="53"/>
        <v>58.38</v>
      </c>
      <c r="I863" s="38">
        <f t="shared" si="54"/>
        <v>1.12627E-2</v>
      </c>
      <c r="J863" s="38">
        <f t="shared" si="55"/>
        <v>4.1047000000000002E-3</v>
      </c>
      <c r="K863" s="32">
        <f>K862+StepSize*L862</f>
        <v>335.1452098639254</v>
      </c>
      <c r="L863" s="33">
        <f>K863*Delta+I863*K863-J863*(DeathPayment-K863)</f>
        <v>-175.84676619933541</v>
      </c>
    </row>
    <row r="864" spans="1:12" x14ac:dyDescent="0.45">
      <c r="A864" s="11">
        <v>25.35</v>
      </c>
      <c r="B864" s="14">
        <v>5.6599999999999999E-4</v>
      </c>
      <c r="C864" s="15">
        <v>2.4590000000000001E-4</v>
      </c>
      <c r="F864" s="28">
        <v>8.39</v>
      </c>
      <c r="G864" s="29">
        <f t="shared" si="52"/>
        <v>63.39</v>
      </c>
      <c r="H864" s="29">
        <f t="shared" si="53"/>
        <v>58.39</v>
      </c>
      <c r="I864" s="38">
        <f t="shared" si="54"/>
        <v>1.127585E-2</v>
      </c>
      <c r="J864" s="38">
        <f t="shared" si="55"/>
        <v>4.1088499999999998E-3</v>
      </c>
      <c r="K864" s="32">
        <f>K863+StepSize*L863</f>
        <v>333.38674220193207</v>
      </c>
      <c r="L864" s="33">
        <f>K864*Delta+I864*K864-J864*(DeathPayment-K864)</f>
        <v>-176.20269522932594</v>
      </c>
    </row>
    <row r="865" spans="1:12" x14ac:dyDescent="0.45">
      <c r="A865" s="11">
        <v>25.36</v>
      </c>
      <c r="B865" s="14">
        <v>5.6599999999999999E-4</v>
      </c>
      <c r="C865" s="15">
        <v>2.4604E-4</v>
      </c>
      <c r="F865" s="28">
        <v>8.4</v>
      </c>
      <c r="G865" s="29">
        <f t="shared" si="52"/>
        <v>63.4</v>
      </c>
      <c r="H865" s="29">
        <f t="shared" si="53"/>
        <v>58.4</v>
      </c>
      <c r="I865" s="38">
        <f t="shared" si="54"/>
        <v>1.1289E-2</v>
      </c>
      <c r="J865" s="38">
        <f t="shared" si="55"/>
        <v>4.1130000000000003E-3</v>
      </c>
      <c r="K865" s="32">
        <f>K864+StepSize*L864</f>
        <v>331.62471524963883</v>
      </c>
      <c r="L865" s="33">
        <f>K865*Delta+I865*K865-J865*(DeathPayment-K865)</f>
        <v>-176.5589973327161</v>
      </c>
    </row>
    <row r="866" spans="1:12" x14ac:dyDescent="0.45">
      <c r="A866" s="11">
        <v>25.37</v>
      </c>
      <c r="B866" s="14">
        <v>5.6599999999999999E-4</v>
      </c>
      <c r="C866" s="15">
        <v>2.4617999999999998E-4</v>
      </c>
      <c r="F866" s="28">
        <v>8.41</v>
      </c>
      <c r="G866" s="29">
        <f t="shared" si="52"/>
        <v>63.41</v>
      </c>
      <c r="H866" s="29">
        <f t="shared" si="53"/>
        <v>58.41</v>
      </c>
      <c r="I866" s="38">
        <f t="shared" si="54"/>
        <v>1.130215E-2</v>
      </c>
      <c r="J866" s="38">
        <f t="shared" si="55"/>
        <v>4.11715E-3</v>
      </c>
      <c r="K866" s="32">
        <f>K865+StepSize*L865</f>
        <v>329.85912527631166</v>
      </c>
      <c r="L866" s="33">
        <f>K866*Delta+I866*K866-J866*(DeathPayment-K866)</f>
        <v>-176.91567302156733</v>
      </c>
    </row>
    <row r="867" spans="1:12" x14ac:dyDescent="0.45">
      <c r="A867" s="11">
        <v>25.38</v>
      </c>
      <c r="B867" s="14">
        <v>5.6599999999999999E-4</v>
      </c>
      <c r="C867" s="15">
        <v>2.4632000000000001E-4</v>
      </c>
      <c r="F867" s="28">
        <v>8.42</v>
      </c>
      <c r="G867" s="29">
        <f t="shared" si="52"/>
        <v>63.42</v>
      </c>
      <c r="H867" s="29">
        <f t="shared" si="53"/>
        <v>58.42</v>
      </c>
      <c r="I867" s="38">
        <f t="shared" si="54"/>
        <v>1.13153E-2</v>
      </c>
      <c r="J867" s="38">
        <f t="shared" si="55"/>
        <v>4.1212999999999996E-3</v>
      </c>
      <c r="K867" s="32">
        <f>K866+StepSize*L866</f>
        <v>328.08996854609597</v>
      </c>
      <c r="L867" s="33">
        <f>K867*Delta+I867*K867-J867*(DeathPayment-K867)</f>
        <v>-177.27272280864895</v>
      </c>
    </row>
    <row r="868" spans="1:12" x14ac:dyDescent="0.45">
      <c r="A868" s="11">
        <v>25.39</v>
      </c>
      <c r="B868" s="14">
        <v>5.6599999999999999E-4</v>
      </c>
      <c r="C868" s="15">
        <v>2.4646E-4</v>
      </c>
      <c r="F868" s="28">
        <v>8.43</v>
      </c>
      <c r="G868" s="29">
        <f t="shared" si="52"/>
        <v>63.43</v>
      </c>
      <c r="H868" s="29">
        <f t="shared" si="53"/>
        <v>58.43</v>
      </c>
      <c r="I868" s="38">
        <f t="shared" si="54"/>
        <v>1.132845E-2</v>
      </c>
      <c r="J868" s="38">
        <f t="shared" si="55"/>
        <v>4.1254500000000001E-3</v>
      </c>
      <c r="K868" s="32">
        <f>K867+StepSize*L867</f>
        <v>326.31724131800951</v>
      </c>
      <c r="L868" s="33">
        <f>K868*Delta+I868*K868-J868*(DeathPayment-K868)</f>
        <v>-177.63014720743868</v>
      </c>
    </row>
    <row r="869" spans="1:12" x14ac:dyDescent="0.45">
      <c r="A869" s="11">
        <v>25.4</v>
      </c>
      <c r="B869" s="14">
        <v>5.6599999999999999E-4</v>
      </c>
      <c r="C869" s="15">
        <v>2.4659999999999998E-4</v>
      </c>
      <c r="F869" s="28">
        <v>8.44</v>
      </c>
      <c r="G869" s="29">
        <f t="shared" si="52"/>
        <v>63.44</v>
      </c>
      <c r="H869" s="29">
        <f t="shared" si="53"/>
        <v>58.44</v>
      </c>
      <c r="I869" s="38">
        <f t="shared" si="54"/>
        <v>1.13416E-2</v>
      </c>
      <c r="J869" s="38">
        <f t="shared" si="55"/>
        <v>4.1295999999999998E-3</v>
      </c>
      <c r="K869" s="32">
        <f>K868+StepSize*L868</f>
        <v>324.5409398459351</v>
      </c>
      <c r="L869" s="33">
        <f>K869*Delta+I869*K869-J869*(DeathPayment-K869)</f>
        <v>-177.98794673212387</v>
      </c>
    </row>
    <row r="870" spans="1:12" x14ac:dyDescent="0.45">
      <c r="A870" s="11">
        <v>25.41</v>
      </c>
      <c r="B870" s="14">
        <v>5.6599999999999999E-4</v>
      </c>
      <c r="C870" s="15">
        <v>2.4674000000000001E-4</v>
      </c>
      <c r="F870" s="28">
        <v>8.4499999999999993</v>
      </c>
      <c r="G870" s="29">
        <f t="shared" si="52"/>
        <v>63.45</v>
      </c>
      <c r="H870" s="29">
        <f t="shared" si="53"/>
        <v>58.45</v>
      </c>
      <c r="I870" s="38">
        <f t="shared" si="54"/>
        <v>1.135475E-2</v>
      </c>
      <c r="J870" s="38">
        <f t="shared" si="55"/>
        <v>4.1337500000000003E-3</v>
      </c>
      <c r="K870" s="32">
        <f>K869+StepSize*L869</f>
        <v>322.76106037861388</v>
      </c>
      <c r="L870" s="33">
        <f>K870*Delta+I870*K870-J870*(DeathPayment-K870)</f>
        <v>-178.34612189760284</v>
      </c>
    </row>
    <row r="871" spans="1:12" x14ac:dyDescent="0.45">
      <c r="A871" s="11">
        <v>25.42</v>
      </c>
      <c r="B871" s="14">
        <v>5.6599999999999999E-4</v>
      </c>
      <c r="C871" s="15">
        <v>2.4687999999999999E-4</v>
      </c>
      <c r="F871" s="28">
        <v>8.4600000000000009</v>
      </c>
      <c r="G871" s="29">
        <f t="shared" si="52"/>
        <v>63.46</v>
      </c>
      <c r="H871" s="29">
        <f t="shared" si="53"/>
        <v>58.46</v>
      </c>
      <c r="I871" s="38">
        <f t="shared" si="54"/>
        <v>1.13679E-2</v>
      </c>
      <c r="J871" s="38">
        <f t="shared" si="55"/>
        <v>4.1378999999999999E-3</v>
      </c>
      <c r="K871" s="32">
        <f>K870+StepSize*L870</f>
        <v>320.97759915963786</v>
      </c>
      <c r="L871" s="33">
        <f>K871*Delta+I871*K871-J871*(DeathPayment-K871)</f>
        <v>-178.70467321948544</v>
      </c>
    </row>
    <row r="872" spans="1:12" x14ac:dyDescent="0.45">
      <c r="A872" s="11">
        <v>25.43</v>
      </c>
      <c r="B872" s="14">
        <v>5.6599999999999999E-4</v>
      </c>
      <c r="C872" s="15">
        <v>2.4701999999999998E-4</v>
      </c>
      <c r="F872" s="28">
        <v>8.4700000000000006</v>
      </c>
      <c r="G872" s="29">
        <f t="shared" si="52"/>
        <v>63.47</v>
      </c>
      <c r="H872" s="29">
        <f t="shared" si="53"/>
        <v>58.47</v>
      </c>
      <c r="I872" s="38">
        <f t="shared" si="54"/>
        <v>1.138105E-2</v>
      </c>
      <c r="J872" s="38">
        <f t="shared" si="55"/>
        <v>4.1420500000000004E-3</v>
      </c>
      <c r="K872" s="32">
        <f>K871+StepSize*L871</f>
        <v>319.19055242744298</v>
      </c>
      <c r="L872" s="33">
        <f>K872*Delta+I872*K872-J872*(DeathPayment-K872)</f>
        <v>-179.0636012140946</v>
      </c>
    </row>
    <row r="873" spans="1:12" x14ac:dyDescent="0.45">
      <c r="A873" s="11">
        <v>25.44</v>
      </c>
      <c r="B873" s="14">
        <v>5.6599999999999999E-4</v>
      </c>
      <c r="C873" s="15">
        <v>2.4716000000000001E-4</v>
      </c>
      <c r="F873" s="28">
        <v>8.48</v>
      </c>
      <c r="G873" s="29">
        <f t="shared" si="52"/>
        <v>63.48</v>
      </c>
      <c r="H873" s="29">
        <f t="shared" si="53"/>
        <v>58.48</v>
      </c>
      <c r="I873" s="38">
        <f t="shared" si="54"/>
        <v>1.13942E-2</v>
      </c>
      <c r="J873" s="38">
        <f t="shared" si="55"/>
        <v>4.1462000000000001E-3</v>
      </c>
      <c r="K873" s="32">
        <f>K872+StepSize*L872</f>
        <v>317.39991641530202</v>
      </c>
      <c r="L873" s="33">
        <f>K873*Delta+I873*K873-J873*(DeathPayment-K873)</f>
        <v>-179.42290639846698</v>
      </c>
    </row>
    <row r="874" spans="1:12" x14ac:dyDescent="0.45">
      <c r="A874" s="11">
        <v>25.45</v>
      </c>
      <c r="B874" s="14">
        <v>5.6599999999999999E-4</v>
      </c>
      <c r="C874" s="15">
        <v>2.4729999999999999E-4</v>
      </c>
      <c r="F874" s="28">
        <v>8.49</v>
      </c>
      <c r="G874" s="29">
        <f t="shared" si="52"/>
        <v>63.49</v>
      </c>
      <c r="H874" s="29">
        <f t="shared" si="53"/>
        <v>58.49</v>
      </c>
      <c r="I874" s="38">
        <f t="shared" si="54"/>
        <v>1.140735E-2</v>
      </c>
      <c r="J874" s="38">
        <f t="shared" si="55"/>
        <v>4.1503499999999997E-3</v>
      </c>
      <c r="K874" s="32">
        <f>K873+StepSize*L873</f>
        <v>315.60568735131733</v>
      </c>
      <c r="L874" s="33">
        <f>K874*Delta+I874*K874-J874*(DeathPayment-K874)</f>
        <v>-179.78258929035451</v>
      </c>
    </row>
    <row r="875" spans="1:12" x14ac:dyDescent="0.45">
      <c r="A875" s="11">
        <v>25.46</v>
      </c>
      <c r="B875" s="14">
        <v>5.6599999999999999E-4</v>
      </c>
      <c r="C875" s="15">
        <v>2.4743999999999998E-4</v>
      </c>
      <c r="F875" s="28">
        <v>8.5</v>
      </c>
      <c r="G875" s="29">
        <f t="shared" si="52"/>
        <v>63.5</v>
      </c>
      <c r="H875" s="29">
        <f t="shared" si="53"/>
        <v>58.5</v>
      </c>
      <c r="I875" s="38">
        <f t="shared" si="54"/>
        <v>1.14205E-2</v>
      </c>
      <c r="J875" s="38">
        <f t="shared" si="55"/>
        <v>4.1545000000000002E-3</v>
      </c>
      <c r="K875" s="32">
        <f>K874+StepSize*L874</f>
        <v>313.80786145841381</v>
      </c>
      <c r="L875" s="33">
        <f>K875*Delta+I875*K875-J875*(DeathPayment-K875)</f>
        <v>-180.14265040822508</v>
      </c>
    </row>
    <row r="876" spans="1:12" x14ac:dyDescent="0.45">
      <c r="A876" s="11">
        <v>25.47</v>
      </c>
      <c r="B876" s="14">
        <v>5.6599999999999999E-4</v>
      </c>
      <c r="C876" s="15">
        <v>2.4758000000000001E-4</v>
      </c>
      <c r="F876" s="28">
        <v>8.51</v>
      </c>
      <c r="G876" s="29">
        <f t="shared" si="52"/>
        <v>63.51</v>
      </c>
      <c r="H876" s="29">
        <f t="shared" si="53"/>
        <v>58.51</v>
      </c>
      <c r="I876" s="38">
        <f t="shared" si="54"/>
        <v>1.143365E-2</v>
      </c>
      <c r="J876" s="38">
        <f t="shared" si="55"/>
        <v>4.1586499999999998E-3</v>
      </c>
      <c r="K876" s="32">
        <f>K875+StepSize*L875</f>
        <v>312.00643495433155</v>
      </c>
      <c r="L876" s="33">
        <f>K876*Delta+I876*K876-J876*(DeathPayment-K876)</f>
        <v>-180.50309027126374</v>
      </c>
    </row>
    <row r="877" spans="1:12" x14ac:dyDescent="0.45">
      <c r="A877" s="11">
        <v>25.48</v>
      </c>
      <c r="B877" s="14">
        <v>5.6599999999999999E-4</v>
      </c>
      <c r="C877" s="15">
        <v>2.4771999999999999E-4</v>
      </c>
      <c r="F877" s="28">
        <v>8.52</v>
      </c>
      <c r="G877" s="29">
        <f t="shared" si="52"/>
        <v>63.52</v>
      </c>
      <c r="H877" s="29">
        <f t="shared" si="53"/>
        <v>58.52</v>
      </c>
      <c r="I877" s="38">
        <f t="shared" si="54"/>
        <v>1.14468E-2</v>
      </c>
      <c r="J877" s="38">
        <f t="shared" si="55"/>
        <v>4.1628000000000004E-3</v>
      </c>
      <c r="K877" s="32">
        <f>K876+StepSize*L876</f>
        <v>310.20140405161891</v>
      </c>
      <c r="L877" s="33">
        <f>K877*Delta+I877*K877-J877*(DeathPayment-K877)</f>
        <v>-180.86390939937385</v>
      </c>
    </row>
    <row r="878" spans="1:12" x14ac:dyDescent="0.45">
      <c r="A878" s="11">
        <v>25.49</v>
      </c>
      <c r="B878" s="14">
        <v>5.6599999999999999E-4</v>
      </c>
      <c r="C878" s="15">
        <v>2.4785999999999997E-4</v>
      </c>
      <c r="F878" s="28">
        <v>8.5299999999999994</v>
      </c>
      <c r="G878" s="29">
        <f t="shared" si="52"/>
        <v>63.53</v>
      </c>
      <c r="H878" s="29">
        <f t="shared" si="53"/>
        <v>58.53</v>
      </c>
      <c r="I878" s="38">
        <f t="shared" si="54"/>
        <v>1.145995E-2</v>
      </c>
      <c r="J878" s="38">
        <f t="shared" si="55"/>
        <v>4.16695E-3</v>
      </c>
      <c r="K878" s="32">
        <f>K877+StepSize*L877</f>
        <v>308.39276495762516</v>
      </c>
      <c r="L878" s="33">
        <f>K878*Delta+I878*K878-J878*(DeathPayment-K878)</f>
        <v>-181.22510831317811</v>
      </c>
    </row>
    <row r="879" spans="1:12" x14ac:dyDescent="0.45">
      <c r="A879" s="11">
        <v>25.5</v>
      </c>
      <c r="B879" s="14">
        <v>5.6599999999999999E-4</v>
      </c>
      <c r="C879" s="15">
        <v>2.4800000000000001E-4</v>
      </c>
      <c r="F879" s="28">
        <v>8.5399999999999991</v>
      </c>
      <c r="G879" s="29">
        <f t="shared" si="52"/>
        <v>63.54</v>
      </c>
      <c r="H879" s="29">
        <f t="shared" si="53"/>
        <v>58.54</v>
      </c>
      <c r="I879" s="38">
        <f t="shared" si="54"/>
        <v>1.14731E-2</v>
      </c>
      <c r="J879" s="38">
        <f t="shared" si="55"/>
        <v>4.1710999999999996E-3</v>
      </c>
      <c r="K879" s="32">
        <f>K878+StepSize*L878</f>
        <v>306.58051387449336</v>
      </c>
      <c r="L879" s="33">
        <f>K879*Delta+I879*K879-J879*(DeathPayment-K879)</f>
        <v>-181.58668753401955</v>
      </c>
    </row>
    <row r="880" spans="1:12" x14ac:dyDescent="0.45">
      <c r="A880" s="11">
        <v>25.51</v>
      </c>
      <c r="B880" s="14">
        <v>5.6599999999999999E-4</v>
      </c>
      <c r="C880" s="15">
        <v>2.4813999999999999E-4</v>
      </c>
      <c r="F880" s="28">
        <v>8.5500000000000007</v>
      </c>
      <c r="G880" s="29">
        <f t="shared" si="52"/>
        <v>63.55</v>
      </c>
      <c r="H880" s="29">
        <f t="shared" si="53"/>
        <v>58.55</v>
      </c>
      <c r="I880" s="38">
        <f t="shared" si="54"/>
        <v>1.148625E-2</v>
      </c>
      <c r="J880" s="38">
        <f t="shared" si="55"/>
        <v>4.1752500000000001E-3</v>
      </c>
      <c r="K880" s="32">
        <f>K879+StepSize*L879</f>
        <v>304.76464699915317</v>
      </c>
      <c r="L880" s="33">
        <f>K880*Delta+I880*K880-J880*(DeathPayment-K880)</f>
        <v>-181.94864758396281</v>
      </c>
    </row>
    <row r="881" spans="1:12" x14ac:dyDescent="0.45">
      <c r="A881" s="11">
        <v>25.52</v>
      </c>
      <c r="B881" s="14">
        <v>5.6599999999999999E-4</v>
      </c>
      <c r="C881" s="15">
        <v>2.4827999999999997E-4</v>
      </c>
      <c r="F881" s="28">
        <v>8.56</v>
      </c>
      <c r="G881" s="29">
        <f t="shared" si="52"/>
        <v>63.56</v>
      </c>
      <c r="H881" s="29">
        <f t="shared" si="53"/>
        <v>58.56</v>
      </c>
      <c r="I881" s="38">
        <f t="shared" si="54"/>
        <v>1.14994E-2</v>
      </c>
      <c r="J881" s="38">
        <f t="shared" si="55"/>
        <v>4.1793999999999998E-3</v>
      </c>
      <c r="K881" s="32">
        <f>K880+StepSize*L880</f>
        <v>302.94516052331352</v>
      </c>
      <c r="L881" s="33">
        <f>K881*Delta+I881*K881-J881*(DeathPayment-K881)</f>
        <v>-182.31098898579501</v>
      </c>
    </row>
    <row r="882" spans="1:12" x14ac:dyDescent="0.45">
      <c r="A882" s="11">
        <v>25.53</v>
      </c>
      <c r="B882" s="14">
        <v>5.6599999999999999E-4</v>
      </c>
      <c r="C882" s="15">
        <v>2.4842000000000001E-4</v>
      </c>
      <c r="F882" s="28">
        <v>8.57</v>
      </c>
      <c r="G882" s="29">
        <f t="shared" si="52"/>
        <v>63.57</v>
      </c>
      <c r="H882" s="29">
        <f t="shared" si="53"/>
        <v>58.57</v>
      </c>
      <c r="I882" s="38">
        <f t="shared" si="54"/>
        <v>1.151255E-2</v>
      </c>
      <c r="J882" s="38">
        <f t="shared" si="55"/>
        <v>4.1835500000000003E-3</v>
      </c>
      <c r="K882" s="32">
        <f>K881+StepSize*L881</f>
        <v>301.12205063345556</v>
      </c>
      <c r="L882" s="33">
        <f>K882*Delta+I882*K882-J882*(DeathPayment-K882)</f>
        <v>-182.67371226302706</v>
      </c>
    </row>
    <row r="883" spans="1:12" x14ac:dyDescent="0.45">
      <c r="A883" s="11">
        <v>25.54</v>
      </c>
      <c r="B883" s="14">
        <v>5.6599999999999999E-4</v>
      </c>
      <c r="C883" s="15">
        <v>2.4855999999999999E-4</v>
      </c>
      <c r="F883" s="28">
        <v>8.58</v>
      </c>
      <c r="G883" s="29">
        <f t="shared" si="52"/>
        <v>63.58</v>
      </c>
      <c r="H883" s="29">
        <f t="shared" si="53"/>
        <v>58.58</v>
      </c>
      <c r="I883" s="38">
        <f t="shared" si="54"/>
        <v>1.15257E-2</v>
      </c>
      <c r="J883" s="38">
        <f t="shared" si="55"/>
        <v>4.1876999999999999E-3</v>
      </c>
      <c r="K883" s="32">
        <f>K882+StepSize*L882</f>
        <v>299.29531351082528</v>
      </c>
      <c r="L883" s="33">
        <f>K883*Delta+I883*K883-J883*(DeathPayment-K883)</f>
        <v>-183.03681793989452</v>
      </c>
    </row>
    <row r="884" spans="1:12" x14ac:dyDescent="0.45">
      <c r="A884" s="11">
        <v>25.55</v>
      </c>
      <c r="B884" s="14">
        <v>5.6599999999999999E-4</v>
      </c>
      <c r="C884" s="15">
        <v>2.4869999999999997E-4</v>
      </c>
      <c r="F884" s="28">
        <v>8.59</v>
      </c>
      <c r="G884" s="29">
        <f t="shared" si="52"/>
        <v>63.59</v>
      </c>
      <c r="H884" s="29">
        <f t="shared" si="53"/>
        <v>58.59</v>
      </c>
      <c r="I884" s="38">
        <f t="shared" si="54"/>
        <v>1.153885E-2</v>
      </c>
      <c r="J884" s="38">
        <f t="shared" si="55"/>
        <v>4.1918499999999996E-3</v>
      </c>
      <c r="K884" s="32">
        <f>K883+StepSize*L883</f>
        <v>297.46494533142635</v>
      </c>
      <c r="L884" s="33">
        <f>K884*Delta+I884*K884-J884*(DeathPayment-K884)</f>
        <v>-183.40030654135887</v>
      </c>
    </row>
    <row r="885" spans="1:12" x14ac:dyDescent="0.45">
      <c r="A885" s="11">
        <v>25.56</v>
      </c>
      <c r="B885" s="14">
        <v>5.6599999999999999E-4</v>
      </c>
      <c r="C885" s="15">
        <v>2.4884000000000001E-4</v>
      </c>
      <c r="F885" s="28">
        <v>8.6</v>
      </c>
      <c r="G885" s="29">
        <f t="shared" si="52"/>
        <v>63.6</v>
      </c>
      <c r="H885" s="29">
        <f t="shared" si="53"/>
        <v>58.6</v>
      </c>
      <c r="I885" s="38">
        <f t="shared" si="54"/>
        <v>1.1552E-2</v>
      </c>
      <c r="J885" s="38">
        <f t="shared" si="55"/>
        <v>4.1960000000000001E-3</v>
      </c>
      <c r="K885" s="32">
        <f>K884+StepSize*L884</f>
        <v>295.63094226601277</v>
      </c>
      <c r="L885" s="33">
        <f>K885*Delta+I885*K885-J885*(DeathPayment-K885)</f>
        <v>-183.76417859310857</v>
      </c>
    </row>
    <row r="886" spans="1:12" x14ac:dyDescent="0.45">
      <c r="A886" s="11">
        <v>25.57</v>
      </c>
      <c r="B886" s="14">
        <v>5.6599999999999999E-4</v>
      </c>
      <c r="C886" s="15">
        <v>2.4897999999999999E-4</v>
      </c>
      <c r="F886" s="28">
        <v>8.61</v>
      </c>
      <c r="G886" s="29">
        <f t="shared" si="52"/>
        <v>63.61</v>
      </c>
      <c r="H886" s="29">
        <f t="shared" si="53"/>
        <v>58.61</v>
      </c>
      <c r="I886" s="38">
        <f t="shared" si="54"/>
        <v>1.156515E-2</v>
      </c>
      <c r="J886" s="38">
        <f t="shared" si="55"/>
        <v>4.2001499999999997E-3</v>
      </c>
      <c r="K886" s="32">
        <f>K885+StepSize*L885</f>
        <v>293.79330048008165</v>
      </c>
      <c r="L886" s="33">
        <f>K886*Delta+I886*K886-J886*(DeathPayment-K886)</f>
        <v>-184.12843462155999</v>
      </c>
    </row>
    <row r="887" spans="1:12" x14ac:dyDescent="0.45">
      <c r="A887" s="11">
        <v>25.58</v>
      </c>
      <c r="B887" s="14">
        <v>5.6599999999999999E-4</v>
      </c>
      <c r="C887" s="15">
        <v>2.4911999999999997E-4</v>
      </c>
      <c r="F887" s="28">
        <v>8.6199999999999992</v>
      </c>
      <c r="G887" s="29">
        <f t="shared" si="52"/>
        <v>63.62</v>
      </c>
      <c r="H887" s="29">
        <f t="shared" si="53"/>
        <v>58.62</v>
      </c>
      <c r="I887" s="38">
        <f t="shared" si="54"/>
        <v>1.15783E-2</v>
      </c>
      <c r="J887" s="38">
        <f t="shared" si="55"/>
        <v>4.2043000000000002E-3</v>
      </c>
      <c r="K887" s="32">
        <f>K886+StepSize*L886</f>
        <v>291.95201613386604</v>
      </c>
      <c r="L887" s="33">
        <f>K887*Delta+I887*K887-J887*(DeathPayment-K887)</f>
        <v>-184.4930751538588</v>
      </c>
    </row>
    <row r="888" spans="1:12" x14ac:dyDescent="0.45">
      <c r="A888" s="11">
        <v>25.59</v>
      </c>
      <c r="B888" s="14">
        <v>5.6599999999999999E-4</v>
      </c>
      <c r="C888" s="15">
        <v>2.4926000000000001E-4</v>
      </c>
      <c r="F888" s="28">
        <v>8.6300000000000008</v>
      </c>
      <c r="G888" s="29">
        <f t="shared" si="52"/>
        <v>63.63</v>
      </c>
      <c r="H888" s="29">
        <f t="shared" si="53"/>
        <v>58.63</v>
      </c>
      <c r="I888" s="38">
        <f t="shared" si="54"/>
        <v>1.159145E-2</v>
      </c>
      <c r="J888" s="38">
        <f t="shared" si="55"/>
        <v>4.2084499999999999E-3</v>
      </c>
      <c r="K888" s="32">
        <f>K887+StepSize*L887</f>
        <v>290.10708538232745</v>
      </c>
      <c r="L888" s="33">
        <f>K888*Delta+I888*K888-J888*(DeathPayment-K888)</f>
        <v>-184.85810071788077</v>
      </c>
    </row>
    <row r="889" spans="1:12" x14ac:dyDescent="0.45">
      <c r="A889" s="11">
        <v>25.6</v>
      </c>
      <c r="B889" s="14">
        <v>5.6599999999999999E-4</v>
      </c>
      <c r="C889" s="15">
        <v>2.4939999999999999E-4</v>
      </c>
      <c r="F889" s="28">
        <v>8.64</v>
      </c>
      <c r="G889" s="29">
        <f t="shared" si="52"/>
        <v>63.64</v>
      </c>
      <c r="H889" s="29">
        <f t="shared" si="53"/>
        <v>58.64</v>
      </c>
      <c r="I889" s="38">
        <f t="shared" si="54"/>
        <v>1.16046E-2</v>
      </c>
      <c r="J889" s="38">
        <f t="shared" si="55"/>
        <v>4.2126000000000004E-3</v>
      </c>
      <c r="K889" s="32">
        <f>K888+StepSize*L888</f>
        <v>288.25850437514868</v>
      </c>
      <c r="L889" s="33">
        <f>K889*Delta+I889*K889-J889*(DeathPayment-K889)</f>
        <v>-185.22351184223311</v>
      </c>
    </row>
    <row r="890" spans="1:12" x14ac:dyDescent="0.45">
      <c r="A890" s="11">
        <v>25.61</v>
      </c>
      <c r="B890" s="14">
        <v>5.6599999999999999E-4</v>
      </c>
      <c r="C890" s="15">
        <v>2.4954000000000003E-4</v>
      </c>
      <c r="F890" s="28">
        <v>8.65</v>
      </c>
      <c r="G890" s="29">
        <f t="shared" si="52"/>
        <v>63.65</v>
      </c>
      <c r="H890" s="29">
        <f t="shared" si="53"/>
        <v>58.65</v>
      </c>
      <c r="I890" s="38">
        <f t="shared" si="54"/>
        <v>1.161775E-2</v>
      </c>
      <c r="J890" s="38">
        <f t="shared" si="55"/>
        <v>4.21675E-3</v>
      </c>
      <c r="K890" s="32">
        <f>K889+StepSize*L889</f>
        <v>286.40626925672632</v>
      </c>
      <c r="L890" s="33">
        <f>K890*Delta+I890*K890-J890*(DeathPayment-K890)</f>
        <v>-185.58930905625542</v>
      </c>
    </row>
    <row r="891" spans="1:12" x14ac:dyDescent="0.45">
      <c r="A891" s="11">
        <v>25.62</v>
      </c>
      <c r="B891" s="14">
        <v>5.6599999999999999E-4</v>
      </c>
      <c r="C891" s="15">
        <v>2.4968000000000001E-4</v>
      </c>
      <c r="F891" s="28">
        <v>8.66</v>
      </c>
      <c r="G891" s="29">
        <f t="shared" si="52"/>
        <v>63.66</v>
      </c>
      <c r="H891" s="29">
        <f t="shared" si="53"/>
        <v>58.66</v>
      </c>
      <c r="I891" s="38">
        <f t="shared" si="54"/>
        <v>1.16309E-2</v>
      </c>
      <c r="J891" s="38">
        <f t="shared" si="55"/>
        <v>4.2208999999999997E-3</v>
      </c>
      <c r="K891" s="32">
        <f>K890+StepSize*L890</f>
        <v>284.55037616616374</v>
      </c>
      <c r="L891" s="33">
        <f>K891*Delta+I891*K891-J891*(DeathPayment-K891)</f>
        <v>-185.95549289002079</v>
      </c>
    </row>
    <row r="892" spans="1:12" x14ac:dyDescent="0.45">
      <c r="A892" s="11">
        <v>25.63</v>
      </c>
      <c r="B892" s="14">
        <v>5.6599999999999999E-4</v>
      </c>
      <c r="C892" s="15">
        <v>2.4981999999999999E-4</v>
      </c>
      <c r="F892" s="28">
        <v>8.67</v>
      </c>
      <c r="G892" s="29">
        <f t="shared" si="52"/>
        <v>63.67</v>
      </c>
      <c r="H892" s="29">
        <f t="shared" si="53"/>
        <v>58.67</v>
      </c>
      <c r="I892" s="38">
        <f t="shared" si="54"/>
        <v>1.164405E-2</v>
      </c>
      <c r="J892" s="38">
        <f t="shared" si="55"/>
        <v>4.2250500000000002E-3</v>
      </c>
      <c r="K892" s="32">
        <f>K891+StepSize*L891</f>
        <v>282.69082123726355</v>
      </c>
      <c r="L892" s="33">
        <f>K892*Delta+I892*K892-J892*(DeathPayment-K892)</f>
        <v>-186.32206387433703</v>
      </c>
    </row>
    <row r="893" spans="1:12" x14ac:dyDescent="0.45">
      <c r="A893" s="11">
        <v>25.64</v>
      </c>
      <c r="B893" s="14">
        <v>5.6599999999999999E-4</v>
      </c>
      <c r="C893" s="15">
        <v>2.4996000000000003E-4</v>
      </c>
      <c r="F893" s="28">
        <v>8.68</v>
      </c>
      <c r="G893" s="29">
        <f t="shared" si="52"/>
        <v>63.68</v>
      </c>
      <c r="H893" s="29">
        <f t="shared" si="53"/>
        <v>58.68</v>
      </c>
      <c r="I893" s="38">
        <f t="shared" si="54"/>
        <v>1.16572E-2</v>
      </c>
      <c r="J893" s="38">
        <f t="shared" si="55"/>
        <v>4.2291999999999998E-3</v>
      </c>
      <c r="K893" s="32">
        <f>K892+StepSize*L892</f>
        <v>280.82760059852018</v>
      </c>
      <c r="L893" s="33">
        <f>K893*Delta+I893*K893-J893*(DeathPayment-K893)</f>
        <v>-186.68902254074769</v>
      </c>
    </row>
    <row r="894" spans="1:12" x14ac:dyDescent="0.45">
      <c r="A894" s="11">
        <v>25.65</v>
      </c>
      <c r="B894" s="14">
        <v>5.6599999999999999E-4</v>
      </c>
      <c r="C894" s="15">
        <v>2.5010000000000001E-4</v>
      </c>
      <c r="F894" s="28">
        <v>8.69</v>
      </c>
      <c r="G894" s="29">
        <f t="shared" si="52"/>
        <v>63.69</v>
      </c>
      <c r="H894" s="29">
        <f t="shared" si="53"/>
        <v>58.69</v>
      </c>
      <c r="I894" s="38">
        <f t="shared" si="54"/>
        <v>1.1670349999999999E-2</v>
      </c>
      <c r="J894" s="38">
        <f t="shared" si="55"/>
        <v>4.2333500000000003E-3</v>
      </c>
      <c r="K894" s="32">
        <f>K893+StepSize*L893</f>
        <v>278.9607103731127</v>
      </c>
      <c r="L894" s="33">
        <f>K894*Delta+I894*K894-J894*(DeathPayment-K894)</f>
        <v>-187.05636942153319</v>
      </c>
    </row>
    <row r="895" spans="1:12" x14ac:dyDescent="0.45">
      <c r="A895" s="11">
        <v>25.66</v>
      </c>
      <c r="B895" s="14">
        <v>5.6599999999999999E-4</v>
      </c>
      <c r="C895" s="15">
        <v>2.5023999999999999E-4</v>
      </c>
      <c r="F895" s="28">
        <v>8.6999999999999993</v>
      </c>
      <c r="G895" s="29">
        <f t="shared" si="52"/>
        <v>63.7</v>
      </c>
      <c r="H895" s="29">
        <f t="shared" si="53"/>
        <v>58.7</v>
      </c>
      <c r="I895" s="38">
        <f t="shared" si="54"/>
        <v>1.1683499999999999E-2</v>
      </c>
      <c r="J895" s="38">
        <f t="shared" si="55"/>
        <v>4.2374999999999999E-3</v>
      </c>
      <c r="K895" s="32">
        <f>K894+StepSize*L894</f>
        <v>277.09014667889738</v>
      </c>
      <c r="L895" s="33">
        <f>K895*Delta+I895*K895-J895*(DeathPayment-K895)</f>
        <v>-187.42410504971176</v>
      </c>
    </row>
    <row r="896" spans="1:12" x14ac:dyDescent="0.45">
      <c r="A896" s="11">
        <v>25.67</v>
      </c>
      <c r="B896" s="14">
        <v>5.6599999999999999E-4</v>
      </c>
      <c r="C896" s="15">
        <v>2.5038000000000003E-4</v>
      </c>
      <c r="F896" s="28">
        <v>8.7100000000000009</v>
      </c>
      <c r="G896" s="29">
        <f t="shared" si="52"/>
        <v>63.71</v>
      </c>
      <c r="H896" s="29">
        <f t="shared" si="53"/>
        <v>58.71</v>
      </c>
      <c r="I896" s="38">
        <f t="shared" si="54"/>
        <v>1.1696649999999999E-2</v>
      </c>
      <c r="J896" s="38">
        <f t="shared" si="55"/>
        <v>4.2416499999999996E-3</v>
      </c>
      <c r="K896" s="32">
        <f>K895+StepSize*L895</f>
        <v>275.21590562840026</v>
      </c>
      <c r="L896" s="33">
        <f>K896*Delta+I896*K896-J896*(DeathPayment-K896)</f>
        <v>-187.79222995904098</v>
      </c>
    </row>
    <row r="897" spans="1:12" x14ac:dyDescent="0.45">
      <c r="A897" s="11">
        <v>25.68</v>
      </c>
      <c r="B897" s="14">
        <v>5.6599999999999999E-4</v>
      </c>
      <c r="C897" s="15">
        <v>2.5052000000000001E-4</v>
      </c>
      <c r="F897" s="28">
        <v>8.7200000000000006</v>
      </c>
      <c r="G897" s="29">
        <f t="shared" si="52"/>
        <v>63.72</v>
      </c>
      <c r="H897" s="29">
        <f t="shared" si="53"/>
        <v>58.72</v>
      </c>
      <c r="I897" s="38">
        <f t="shared" si="54"/>
        <v>1.1709799999999999E-2</v>
      </c>
      <c r="J897" s="38">
        <f t="shared" si="55"/>
        <v>4.2458000000000001E-3</v>
      </c>
      <c r="K897" s="32">
        <f>K896+StepSize*L896</f>
        <v>273.33798332880986</v>
      </c>
      <c r="L897" s="33">
        <f>K897*Delta+I897*K897-J897*(DeathPayment-K897)</f>
        <v>-188.16074468401851</v>
      </c>
    </row>
    <row r="898" spans="1:12" x14ac:dyDescent="0.45">
      <c r="A898" s="11">
        <v>25.69</v>
      </c>
      <c r="B898" s="14">
        <v>5.6599999999999999E-4</v>
      </c>
      <c r="C898" s="15">
        <v>2.5065999999999999E-4</v>
      </c>
      <c r="F898" s="28">
        <v>8.73</v>
      </c>
      <c r="G898" s="29">
        <f t="shared" si="52"/>
        <v>63.73</v>
      </c>
      <c r="H898" s="29">
        <f t="shared" si="53"/>
        <v>58.73</v>
      </c>
      <c r="I898" s="38">
        <f t="shared" si="54"/>
        <v>1.1722949999999999E-2</v>
      </c>
      <c r="J898" s="38">
        <f t="shared" si="55"/>
        <v>4.2499499999999997E-3</v>
      </c>
      <c r="K898" s="32">
        <f>K897+StepSize*L897</f>
        <v>271.45637588196968</v>
      </c>
      <c r="L898" s="33">
        <f>K898*Delta+I898*K898-J898*(DeathPayment-K898)</f>
        <v>-188.52964975988314</v>
      </c>
    </row>
    <row r="899" spans="1:12" x14ac:dyDescent="0.45">
      <c r="A899" s="11">
        <v>25.7</v>
      </c>
      <c r="B899" s="14">
        <v>5.6599999999999999E-4</v>
      </c>
      <c r="C899" s="15">
        <v>2.5080000000000002E-4</v>
      </c>
      <c r="F899" s="28">
        <v>8.74</v>
      </c>
      <c r="G899" s="29">
        <f t="shared" si="52"/>
        <v>63.74</v>
      </c>
      <c r="H899" s="29">
        <f t="shared" si="53"/>
        <v>58.74</v>
      </c>
      <c r="I899" s="38">
        <f t="shared" si="54"/>
        <v>1.1736099999999999E-2</v>
      </c>
      <c r="J899" s="38">
        <f t="shared" si="55"/>
        <v>4.2541000000000002E-3</v>
      </c>
      <c r="K899" s="32">
        <f>K898+StepSize*L898</f>
        <v>269.57107938437082</v>
      </c>
      <c r="L899" s="33">
        <f>K899*Delta+I899*K899-J899*(DeathPayment-K899)</f>
        <v>-188.89894572261645</v>
      </c>
    </row>
    <row r="900" spans="1:12" x14ac:dyDescent="0.45">
      <c r="A900" s="11">
        <v>25.71</v>
      </c>
      <c r="B900" s="14">
        <v>5.6599999999999999E-4</v>
      </c>
      <c r="C900" s="15">
        <v>2.5094000000000001E-4</v>
      </c>
      <c r="F900" s="28">
        <v>8.75</v>
      </c>
      <c r="G900" s="29">
        <f t="shared" si="52"/>
        <v>63.75</v>
      </c>
      <c r="H900" s="29">
        <f t="shared" si="53"/>
        <v>58.75</v>
      </c>
      <c r="I900" s="38">
        <f t="shared" si="54"/>
        <v>1.1749249999999999E-2</v>
      </c>
      <c r="J900" s="38">
        <f t="shared" si="55"/>
        <v>4.2582499999999999E-3</v>
      </c>
      <c r="K900" s="32">
        <f>K899+StepSize*L899</f>
        <v>267.68208992714466</v>
      </c>
      <c r="L900" s="33">
        <f>K900*Delta+I900*K900-J900*(DeathPayment-K900)</f>
        <v>-189.26863310894313</v>
      </c>
    </row>
    <row r="901" spans="1:12" x14ac:dyDescent="0.45">
      <c r="A901" s="11">
        <v>25.72</v>
      </c>
      <c r="B901" s="14">
        <v>5.6599999999999999E-4</v>
      </c>
      <c r="C901" s="15">
        <v>2.5107999999999999E-4</v>
      </c>
      <c r="F901" s="28">
        <v>8.76</v>
      </c>
      <c r="G901" s="29">
        <f t="shared" si="52"/>
        <v>63.76</v>
      </c>
      <c r="H901" s="29">
        <f t="shared" si="53"/>
        <v>58.76</v>
      </c>
      <c r="I901" s="38">
        <f t="shared" si="54"/>
        <v>1.1762399999999999E-2</v>
      </c>
      <c r="J901" s="38">
        <f t="shared" si="55"/>
        <v>4.2624000000000004E-3</v>
      </c>
      <c r="K901" s="32">
        <f>K900+StepSize*L900</f>
        <v>265.78940359605525</v>
      </c>
      <c r="L901" s="33">
        <f>K901*Delta+I901*K901-J901*(DeathPayment-K901)</f>
        <v>-189.638712456333</v>
      </c>
    </row>
    <row r="902" spans="1:12" x14ac:dyDescent="0.45">
      <c r="A902" s="11">
        <v>25.73</v>
      </c>
      <c r="B902" s="14">
        <v>5.6599999999999999E-4</v>
      </c>
      <c r="C902" s="15">
        <v>2.5122000000000002E-4</v>
      </c>
      <c r="F902" s="28">
        <v>8.77</v>
      </c>
      <c r="G902" s="29">
        <f t="shared" si="52"/>
        <v>63.77</v>
      </c>
      <c r="H902" s="29">
        <f t="shared" si="53"/>
        <v>58.77</v>
      </c>
      <c r="I902" s="38">
        <f t="shared" si="54"/>
        <v>1.1775549999999999E-2</v>
      </c>
      <c r="J902" s="38">
        <f t="shared" si="55"/>
        <v>4.26655E-3</v>
      </c>
      <c r="K902" s="32">
        <f>K901+StepSize*L901</f>
        <v>263.89301647149193</v>
      </c>
      <c r="L902" s="33">
        <f>K902*Delta+I902*K902-J902*(DeathPayment-K902)</f>
        <v>-190.00918430300123</v>
      </c>
    </row>
    <row r="903" spans="1:12" x14ac:dyDescent="0.45">
      <c r="A903" s="11">
        <v>25.74</v>
      </c>
      <c r="B903" s="14">
        <v>5.6599999999999999E-4</v>
      </c>
      <c r="C903" s="15">
        <v>2.5136000000000001E-4</v>
      </c>
      <c r="F903" s="28">
        <v>8.7799999999999994</v>
      </c>
      <c r="G903" s="29">
        <f t="shared" si="52"/>
        <v>63.78</v>
      </c>
      <c r="H903" s="29">
        <f t="shared" si="53"/>
        <v>58.78</v>
      </c>
      <c r="I903" s="38">
        <f t="shared" si="54"/>
        <v>1.1788699999999999E-2</v>
      </c>
      <c r="J903" s="38">
        <f t="shared" si="55"/>
        <v>4.2706999999999997E-3</v>
      </c>
      <c r="K903" s="32">
        <f>K902+StepSize*L902</f>
        <v>261.99292462846194</v>
      </c>
      <c r="L903" s="33">
        <f>K903*Delta+I903*K903-J903*(DeathPayment-K903)</f>
        <v>-190.38004918791017</v>
      </c>
    </row>
    <row r="904" spans="1:12" x14ac:dyDescent="0.45">
      <c r="A904" s="11">
        <v>25.75</v>
      </c>
      <c r="B904" s="14">
        <v>5.6599999999999999E-4</v>
      </c>
      <c r="C904" s="15">
        <v>2.5149999999999999E-4</v>
      </c>
      <c r="F904" s="28">
        <v>8.7899999999999991</v>
      </c>
      <c r="G904" s="29">
        <f t="shared" si="52"/>
        <v>63.79</v>
      </c>
      <c r="H904" s="29">
        <f t="shared" si="53"/>
        <v>58.79</v>
      </c>
      <c r="I904" s="38">
        <f t="shared" si="54"/>
        <v>1.1801849999999999E-2</v>
      </c>
      <c r="J904" s="38">
        <f t="shared" si="55"/>
        <v>4.2748500000000002E-3</v>
      </c>
      <c r="K904" s="32">
        <f>K903+StepSize*L903</f>
        <v>260.08912413658283</v>
      </c>
      <c r="L904" s="33">
        <f>K904*Delta+I904*K904-J904*(DeathPayment-K904)</f>
        <v>-190.75130765077023</v>
      </c>
    </row>
    <row r="905" spans="1:12" x14ac:dyDescent="0.45">
      <c r="A905" s="11">
        <v>25.76</v>
      </c>
      <c r="B905" s="14">
        <v>5.6599999999999999E-4</v>
      </c>
      <c r="C905" s="15">
        <v>2.5164000000000002E-4</v>
      </c>
      <c r="F905" s="28">
        <v>8.8000000000000007</v>
      </c>
      <c r="G905" s="29">
        <f t="shared" si="52"/>
        <v>63.8</v>
      </c>
      <c r="H905" s="29">
        <f t="shared" si="53"/>
        <v>58.8</v>
      </c>
      <c r="I905" s="38">
        <f t="shared" si="54"/>
        <v>1.1815000000000001E-2</v>
      </c>
      <c r="J905" s="38">
        <f t="shared" si="55"/>
        <v>4.2789999999999998E-3</v>
      </c>
      <c r="K905" s="32">
        <f>K904+StepSize*L904</f>
        <v>258.18161106007511</v>
      </c>
      <c r="L905" s="33">
        <f>K905*Delta+I905*K905-J905*(DeathPayment-K905)</f>
        <v>-191.12296023204081</v>
      </c>
    </row>
    <row r="906" spans="1:12" x14ac:dyDescent="0.45">
      <c r="A906" s="11">
        <v>25.77</v>
      </c>
      <c r="B906" s="14">
        <v>5.6599999999999999E-4</v>
      </c>
      <c r="C906" s="15">
        <v>2.5178000000000001E-4</v>
      </c>
      <c r="F906" s="28">
        <v>8.81</v>
      </c>
      <c r="G906" s="29">
        <f t="shared" si="52"/>
        <v>63.81</v>
      </c>
      <c r="H906" s="29">
        <f t="shared" si="53"/>
        <v>58.81</v>
      </c>
      <c r="I906" s="38">
        <f t="shared" si="54"/>
        <v>1.1828150000000001E-2</v>
      </c>
      <c r="J906" s="38">
        <f t="shared" si="55"/>
        <v>4.2831500000000003E-3</v>
      </c>
      <c r="K906" s="32">
        <f>K905+StepSize*L905</f>
        <v>256.2703814577547</v>
      </c>
      <c r="L906" s="33">
        <f>K906*Delta+I906*K906-J906*(DeathPayment-K906)</f>
        <v>-191.49500747293172</v>
      </c>
    </row>
    <row r="907" spans="1:12" x14ac:dyDescent="0.45">
      <c r="A907" s="11">
        <v>25.78</v>
      </c>
      <c r="B907" s="14">
        <v>5.6599999999999999E-4</v>
      </c>
      <c r="C907" s="15">
        <v>2.5191999999999999E-4</v>
      </c>
      <c r="F907" s="28">
        <v>8.82</v>
      </c>
      <c r="G907" s="29">
        <f t="shared" si="52"/>
        <v>63.82</v>
      </c>
      <c r="H907" s="29">
        <f t="shared" si="53"/>
        <v>58.82</v>
      </c>
      <c r="I907" s="38">
        <f t="shared" si="54"/>
        <v>1.1841300000000001E-2</v>
      </c>
      <c r="J907" s="38">
        <f t="shared" si="55"/>
        <v>4.2873E-3</v>
      </c>
      <c r="K907" s="32">
        <f>K906+StepSize*L906</f>
        <v>254.35543138302538</v>
      </c>
      <c r="L907" s="33">
        <f>K907*Delta+I907*K907-J907*(DeathPayment-K907)</f>
        <v>-191.86744991540417</v>
      </c>
    </row>
    <row r="908" spans="1:12" x14ac:dyDescent="0.45">
      <c r="A908" s="11">
        <v>25.79</v>
      </c>
      <c r="B908" s="14">
        <v>5.6599999999999999E-4</v>
      </c>
      <c r="C908" s="15">
        <v>2.5206000000000002E-4</v>
      </c>
      <c r="F908" s="28">
        <v>8.83</v>
      </c>
      <c r="G908" s="29">
        <f t="shared" si="52"/>
        <v>63.83</v>
      </c>
      <c r="H908" s="29">
        <f t="shared" si="53"/>
        <v>58.83</v>
      </c>
      <c r="I908" s="38">
        <f t="shared" si="54"/>
        <v>1.1854450000000001E-2</v>
      </c>
      <c r="J908" s="38">
        <f t="shared" si="55"/>
        <v>4.2914499999999996E-3</v>
      </c>
      <c r="K908" s="32">
        <f>K907+StepSize*L907</f>
        <v>252.43675688387134</v>
      </c>
      <c r="L908" s="33">
        <f>K908*Delta+I908*K908-J908*(DeathPayment-K908)</f>
        <v>-192.24028810217186</v>
      </c>
    </row>
    <row r="909" spans="1:12" x14ac:dyDescent="0.45">
      <c r="A909" s="11">
        <v>25.8</v>
      </c>
      <c r="B909" s="14">
        <v>5.6599999999999999E-4</v>
      </c>
      <c r="C909" s="15">
        <v>2.522E-4</v>
      </c>
      <c r="F909" s="28">
        <v>8.84</v>
      </c>
      <c r="G909" s="29">
        <f t="shared" si="52"/>
        <v>63.84</v>
      </c>
      <c r="H909" s="29">
        <f t="shared" si="53"/>
        <v>58.84</v>
      </c>
      <c r="I909" s="38">
        <f t="shared" si="54"/>
        <v>1.1867600000000001E-2</v>
      </c>
      <c r="J909" s="38">
        <f t="shared" si="55"/>
        <v>4.2956000000000001E-3</v>
      </c>
      <c r="K909" s="32">
        <f>K908+StepSize*L908</f>
        <v>250.51435400284961</v>
      </c>
      <c r="L909" s="33">
        <f>K909*Delta+I909*K909-J909*(DeathPayment-K909)</f>
        <v>-192.61352257670242</v>
      </c>
    </row>
    <row r="910" spans="1:12" x14ac:dyDescent="0.45">
      <c r="A910" s="11">
        <v>25.81</v>
      </c>
      <c r="B910" s="14">
        <v>5.6599999999999999E-4</v>
      </c>
      <c r="C910" s="15">
        <v>2.5233999999999999E-4</v>
      </c>
      <c r="F910" s="28">
        <v>8.85</v>
      </c>
      <c r="G910" s="29">
        <f t="shared" si="52"/>
        <v>63.85</v>
      </c>
      <c r="H910" s="29">
        <f t="shared" si="53"/>
        <v>58.85</v>
      </c>
      <c r="I910" s="38">
        <f t="shared" si="54"/>
        <v>1.1880750000000001E-2</v>
      </c>
      <c r="J910" s="38">
        <f t="shared" si="55"/>
        <v>4.2997499999999998E-3</v>
      </c>
      <c r="K910" s="32">
        <f>K909+StepSize*L909</f>
        <v>248.5882187770826</v>
      </c>
      <c r="L910" s="33">
        <f>K910*Delta+I910*K910-J910*(DeathPayment-K910)</f>
        <v>-192.98715388321796</v>
      </c>
    </row>
    <row r="911" spans="1:12" x14ac:dyDescent="0.45">
      <c r="A911" s="11">
        <v>25.82</v>
      </c>
      <c r="B911" s="14">
        <v>5.6599999999999999E-4</v>
      </c>
      <c r="C911" s="15">
        <v>2.5248000000000002E-4</v>
      </c>
      <c r="F911" s="28">
        <v>8.86</v>
      </c>
      <c r="G911" s="29">
        <f t="shared" si="52"/>
        <v>63.86</v>
      </c>
      <c r="H911" s="29">
        <f t="shared" si="53"/>
        <v>58.86</v>
      </c>
      <c r="I911" s="38">
        <f t="shared" si="54"/>
        <v>1.1893900000000001E-2</v>
      </c>
      <c r="J911" s="38">
        <f t="shared" si="55"/>
        <v>4.3039000000000003E-3</v>
      </c>
      <c r="K911" s="32">
        <f>K910+StepSize*L910</f>
        <v>246.65834723825043</v>
      </c>
      <c r="L911" s="33">
        <f>K911*Delta+I911*K911-J911*(DeathPayment-K911)</f>
        <v>-193.3611825666969</v>
      </c>
    </row>
    <row r="912" spans="1:12" x14ac:dyDescent="0.45">
      <c r="A912" s="11">
        <v>25.83</v>
      </c>
      <c r="B912" s="14">
        <v>5.6599999999999999E-4</v>
      </c>
      <c r="C912" s="15">
        <v>2.5262E-4</v>
      </c>
      <c r="F912" s="28">
        <v>8.8699999999999992</v>
      </c>
      <c r="G912" s="29">
        <f t="shared" si="52"/>
        <v>63.87</v>
      </c>
      <c r="H912" s="29">
        <f t="shared" si="53"/>
        <v>58.87</v>
      </c>
      <c r="I912" s="38">
        <f t="shared" si="54"/>
        <v>1.1907050000000001E-2</v>
      </c>
      <c r="J912" s="38">
        <f t="shared" si="55"/>
        <v>4.3080499999999999E-3</v>
      </c>
      <c r="K912" s="32">
        <f>K911+StepSize*L911</f>
        <v>244.72473541258347</v>
      </c>
      <c r="L912" s="33">
        <f>K912*Delta+I912*K912-J912*(DeathPayment-K912)</f>
        <v>-193.73560917287443</v>
      </c>
    </row>
    <row r="913" spans="1:12" x14ac:dyDescent="0.45">
      <c r="A913" s="11">
        <v>25.84</v>
      </c>
      <c r="B913" s="14">
        <v>5.6599999999999999E-4</v>
      </c>
      <c r="C913" s="15">
        <v>2.5275999999999999E-4</v>
      </c>
      <c r="F913" s="28">
        <v>8.8800000000000008</v>
      </c>
      <c r="G913" s="29">
        <f t="shared" si="52"/>
        <v>63.88</v>
      </c>
      <c r="H913" s="29">
        <f t="shared" si="53"/>
        <v>58.88</v>
      </c>
      <c r="I913" s="38">
        <f t="shared" si="54"/>
        <v>1.1920200000000001E-2</v>
      </c>
      <c r="J913" s="38">
        <f t="shared" si="55"/>
        <v>4.3122000000000004E-3</v>
      </c>
      <c r="K913" s="32">
        <f>K912+StepSize*L912</f>
        <v>242.78737932085474</v>
      </c>
      <c r="L913" s="33">
        <f>K913*Delta+I913*K913-J913*(DeathPayment-K913)</f>
        <v>-194.11043424824433</v>
      </c>
    </row>
    <row r="914" spans="1:12" x14ac:dyDescent="0.45">
      <c r="A914" s="11">
        <v>25.85</v>
      </c>
      <c r="B914" s="14">
        <v>5.6599999999999999E-4</v>
      </c>
      <c r="C914" s="15">
        <v>2.5290000000000002E-4</v>
      </c>
      <c r="F914" s="28">
        <v>8.89</v>
      </c>
      <c r="G914" s="29">
        <f t="shared" si="52"/>
        <v>63.89</v>
      </c>
      <c r="H914" s="29">
        <f t="shared" si="53"/>
        <v>58.89</v>
      </c>
      <c r="I914" s="38">
        <f t="shared" si="54"/>
        <v>1.1933350000000001E-2</v>
      </c>
      <c r="J914" s="38">
        <f t="shared" si="55"/>
        <v>4.31635E-3</v>
      </c>
      <c r="K914" s="32">
        <f>K913+StepSize*L913</f>
        <v>240.84627497837229</v>
      </c>
      <c r="L914" s="33">
        <f>K914*Delta+I914*K914-J914*(DeathPayment-K914)</f>
        <v>-194.48565834005953</v>
      </c>
    </row>
    <row r="915" spans="1:12" x14ac:dyDescent="0.45">
      <c r="A915" s="11">
        <v>25.86</v>
      </c>
      <c r="B915" s="14">
        <v>5.6599999999999999E-4</v>
      </c>
      <c r="C915" s="15">
        <v>2.5304E-4</v>
      </c>
      <c r="F915" s="28">
        <v>8.9</v>
      </c>
      <c r="G915" s="29">
        <f t="shared" si="52"/>
        <v>63.9</v>
      </c>
      <c r="H915" s="29">
        <f t="shared" si="53"/>
        <v>58.9</v>
      </c>
      <c r="I915" s="38">
        <f t="shared" si="54"/>
        <v>1.1946500000000001E-2</v>
      </c>
      <c r="J915" s="38">
        <f t="shared" si="55"/>
        <v>4.3204999999999997E-3</v>
      </c>
      <c r="K915" s="32">
        <f>K914+StepSize*L914</f>
        <v>238.9014183949717</v>
      </c>
      <c r="L915" s="33">
        <f>K915*Delta+I915*K915-J915*(DeathPayment-K915)</f>
        <v>-194.86128199633359</v>
      </c>
    </row>
    <row r="916" spans="1:12" x14ac:dyDescent="0.45">
      <c r="A916" s="11">
        <v>25.87</v>
      </c>
      <c r="B916" s="14">
        <v>5.6599999999999999E-4</v>
      </c>
      <c r="C916" s="15">
        <v>2.5317999999999998E-4</v>
      </c>
      <c r="F916" s="28">
        <v>8.91</v>
      </c>
      <c r="G916" s="29">
        <f t="shared" si="52"/>
        <v>63.91</v>
      </c>
      <c r="H916" s="29">
        <f t="shared" si="53"/>
        <v>58.91</v>
      </c>
      <c r="I916" s="38">
        <f t="shared" si="54"/>
        <v>1.195965E-2</v>
      </c>
      <c r="J916" s="38">
        <f t="shared" si="55"/>
        <v>4.3246500000000002E-3</v>
      </c>
      <c r="K916" s="32">
        <f>K915+StepSize*L915</f>
        <v>236.95280557500837</v>
      </c>
      <c r="L916" s="33">
        <f>K916*Delta+I916*K916-J916*(DeathPayment-K916)</f>
        <v>-195.23730576584182</v>
      </c>
    </row>
    <row r="917" spans="1:12" x14ac:dyDescent="0.45">
      <c r="A917" s="11">
        <v>25.88</v>
      </c>
      <c r="B917" s="14">
        <v>5.6599999999999999E-4</v>
      </c>
      <c r="C917" s="15">
        <v>2.5332000000000002E-4</v>
      </c>
      <c r="F917" s="28">
        <v>8.92</v>
      </c>
      <c r="G917" s="29">
        <f t="shared" si="52"/>
        <v>63.92</v>
      </c>
      <c r="H917" s="29">
        <f t="shared" si="53"/>
        <v>58.92</v>
      </c>
      <c r="I917" s="38">
        <f t="shared" si="54"/>
        <v>1.19728E-2</v>
      </c>
      <c r="J917" s="38">
        <f t="shared" si="55"/>
        <v>4.3287999999999998E-3</v>
      </c>
      <c r="K917" s="32">
        <f>K916+StepSize*L916</f>
        <v>235.00043251734996</v>
      </c>
      <c r="L917" s="33">
        <f>K917*Delta+I917*K917-J917*(DeathPayment-K917)</f>
        <v>-195.61373019812214</v>
      </c>
    </row>
    <row r="918" spans="1:12" x14ac:dyDescent="0.45">
      <c r="A918" s="11">
        <v>25.89</v>
      </c>
      <c r="B918" s="14">
        <v>5.6599999999999999E-4</v>
      </c>
      <c r="C918" s="15">
        <v>2.5346E-4</v>
      </c>
      <c r="F918" s="28">
        <v>8.93</v>
      </c>
      <c r="G918" s="29">
        <f t="shared" si="52"/>
        <v>63.93</v>
      </c>
      <c r="H918" s="29">
        <f t="shared" si="53"/>
        <v>58.93</v>
      </c>
      <c r="I918" s="38">
        <f t="shared" si="54"/>
        <v>1.198595E-2</v>
      </c>
      <c r="J918" s="38">
        <f t="shared" si="55"/>
        <v>4.3329500000000003E-3</v>
      </c>
      <c r="K918" s="32">
        <f>K917+StepSize*L917</f>
        <v>233.04429521536875</v>
      </c>
      <c r="L918" s="33">
        <f>K918*Delta+I918*K918-J918*(DeathPayment-K918)</f>
        <v>-195.99055584347678</v>
      </c>
    </row>
    <row r="919" spans="1:12" x14ac:dyDescent="0.45">
      <c r="A919" s="11">
        <v>25.9</v>
      </c>
      <c r="B919" s="14">
        <v>5.6599999999999999E-4</v>
      </c>
      <c r="C919" s="15">
        <v>2.5359999999999998E-4</v>
      </c>
      <c r="F919" s="28">
        <v>8.94</v>
      </c>
      <c r="G919" s="29">
        <f t="shared" si="52"/>
        <v>63.94</v>
      </c>
      <c r="H919" s="29">
        <f t="shared" si="53"/>
        <v>58.94</v>
      </c>
      <c r="I919" s="38">
        <f t="shared" si="54"/>
        <v>1.19991E-2</v>
      </c>
      <c r="J919" s="38">
        <f t="shared" si="55"/>
        <v>4.3371E-3</v>
      </c>
      <c r="K919" s="32">
        <f>K918+StepSize*L918</f>
        <v>231.08438965693398</v>
      </c>
      <c r="L919" s="33">
        <f>K919*Delta+I919*K919-J919*(DeathPayment-K919)</f>
        <v>-196.36778325297283</v>
      </c>
    </row>
    <row r="920" spans="1:12" x14ac:dyDescent="0.45">
      <c r="A920" s="11">
        <v>25.91</v>
      </c>
      <c r="B920" s="14">
        <v>5.6599999999999999E-4</v>
      </c>
      <c r="C920" s="15">
        <v>2.5374000000000002E-4</v>
      </c>
      <c r="F920" s="28">
        <v>8.9499999999999993</v>
      </c>
      <c r="G920" s="29">
        <f t="shared" si="52"/>
        <v>63.95</v>
      </c>
      <c r="H920" s="29">
        <f t="shared" si="53"/>
        <v>58.95</v>
      </c>
      <c r="I920" s="38">
        <f t="shared" si="54"/>
        <v>1.201225E-2</v>
      </c>
      <c r="J920" s="38">
        <f t="shared" si="55"/>
        <v>4.3412499999999996E-3</v>
      </c>
      <c r="K920" s="32">
        <f>K919+StepSize*L919</f>
        <v>229.12071182440425</v>
      </c>
      <c r="L920" s="33">
        <f>K920*Delta+I920*K920-J920*(DeathPayment-K920)</f>
        <v>-196.7454129784438</v>
      </c>
    </row>
    <row r="921" spans="1:12" x14ac:dyDescent="0.45">
      <c r="A921" s="11">
        <v>25.92</v>
      </c>
      <c r="B921" s="14">
        <v>5.6599999999999999E-4</v>
      </c>
      <c r="C921" s="15">
        <v>2.5388E-4</v>
      </c>
      <c r="F921" s="28">
        <v>8.9600000000000009</v>
      </c>
      <c r="G921" s="29">
        <f t="shared" ref="G921:G984" si="56">ROUND(MaleAgeStart+F921,2)</f>
        <v>63.96</v>
      </c>
      <c r="H921" s="29">
        <f t="shared" ref="H921:H984" si="57">ROUND(FemaleAgeStart+F921,2)</f>
        <v>58.96</v>
      </c>
      <c r="I921" s="38">
        <f t="shared" ref="I921:I984" si="58">VLOOKUP(G921,muValues,2,FALSE)</f>
        <v>1.20254E-2</v>
      </c>
      <c r="J921" s="38">
        <f t="shared" ref="J921:J984" si="59">VLOOKUP(H921,muValues,3,FALSE)</f>
        <v>4.3454000000000001E-3</v>
      </c>
      <c r="K921" s="32">
        <f>K920+StepSize*L920</f>
        <v>227.15325769461981</v>
      </c>
      <c r="L921" s="33">
        <f>K921*Delta+I921*K921-J921*(DeathPayment-K921)</f>
        <v>-197.12344557249074</v>
      </c>
    </row>
    <row r="922" spans="1:12" x14ac:dyDescent="0.45">
      <c r="A922" s="11">
        <v>25.93</v>
      </c>
      <c r="B922" s="14">
        <v>5.6599999999999999E-4</v>
      </c>
      <c r="C922" s="15">
        <v>2.5401999999999998E-4</v>
      </c>
      <c r="F922" s="28">
        <v>8.9700000000000006</v>
      </c>
      <c r="G922" s="29">
        <f t="shared" si="56"/>
        <v>63.97</v>
      </c>
      <c r="H922" s="29">
        <f t="shared" si="57"/>
        <v>58.97</v>
      </c>
      <c r="I922" s="38">
        <f t="shared" si="58"/>
        <v>1.203855E-2</v>
      </c>
      <c r="J922" s="38">
        <f t="shared" si="59"/>
        <v>4.3495499999999998E-3</v>
      </c>
      <c r="K922" s="32">
        <f>K921+StepSize*L921</f>
        <v>225.18202323889491</v>
      </c>
      <c r="L922" s="33">
        <f>K922*Delta+I922*K922-J922*(DeathPayment-K922)</f>
        <v>-197.50188158848303</v>
      </c>
    </row>
    <row r="923" spans="1:12" x14ac:dyDescent="0.45">
      <c r="A923" s="11">
        <v>25.94</v>
      </c>
      <c r="B923" s="14">
        <v>5.6599999999999999E-4</v>
      </c>
      <c r="C923" s="15">
        <v>2.5416000000000002E-4</v>
      </c>
      <c r="F923" s="28">
        <v>8.98</v>
      </c>
      <c r="G923" s="29">
        <f t="shared" si="56"/>
        <v>63.98</v>
      </c>
      <c r="H923" s="29">
        <f t="shared" si="57"/>
        <v>58.98</v>
      </c>
      <c r="I923" s="38">
        <f t="shared" si="58"/>
        <v>1.20517E-2</v>
      </c>
      <c r="J923" s="38">
        <f t="shared" si="59"/>
        <v>4.3537000000000003E-3</v>
      </c>
      <c r="K923" s="32">
        <f>K922+StepSize*L922</f>
        <v>223.20700442301009</v>
      </c>
      <c r="L923" s="33">
        <f>K923*Delta+I923*K923-J923*(DeathPayment-K923)</f>
        <v>-197.88072158056013</v>
      </c>
    </row>
    <row r="924" spans="1:12" x14ac:dyDescent="0.45">
      <c r="A924" s="11">
        <v>25.95</v>
      </c>
      <c r="B924" s="14">
        <v>5.6599999999999999E-4</v>
      </c>
      <c r="C924" s="15">
        <v>2.543E-4</v>
      </c>
      <c r="F924" s="28">
        <v>8.99</v>
      </c>
      <c r="G924" s="29">
        <f t="shared" si="56"/>
        <v>63.99</v>
      </c>
      <c r="H924" s="29">
        <f t="shared" si="57"/>
        <v>58.99</v>
      </c>
      <c r="I924" s="38">
        <f t="shared" si="58"/>
        <v>1.206485E-2</v>
      </c>
      <c r="J924" s="38">
        <f t="shared" si="59"/>
        <v>4.3578499999999999E-3</v>
      </c>
      <c r="K924" s="32">
        <f>K923+StepSize*L923</f>
        <v>221.22819720720449</v>
      </c>
      <c r="L924" s="33">
        <f>K924*Delta+I924*K924-J924*(DeathPayment-K924)</f>
        <v>-198.25996610363222</v>
      </c>
    </row>
    <row r="925" spans="1:12" x14ac:dyDescent="0.45">
      <c r="A925" s="11">
        <v>25.96</v>
      </c>
      <c r="B925" s="14">
        <v>5.6599999999999999E-4</v>
      </c>
      <c r="C925" s="15">
        <v>2.5443999999999998E-4</v>
      </c>
      <c r="F925" s="28">
        <v>9</v>
      </c>
      <c r="G925" s="29">
        <f t="shared" si="56"/>
        <v>64</v>
      </c>
      <c r="H925" s="29">
        <f t="shared" si="57"/>
        <v>59</v>
      </c>
      <c r="I925" s="38">
        <f t="shared" si="58"/>
        <v>1.2078E-2</v>
      </c>
      <c r="J925" s="38">
        <f t="shared" si="59"/>
        <v>4.3620000000000004E-3</v>
      </c>
      <c r="K925" s="32">
        <f>K924+StepSize*L924</f>
        <v>219.24559754616817</v>
      </c>
      <c r="L925" s="33">
        <f>K925*Delta+I925*K925-J925*(DeathPayment-K925)</f>
        <v>-198.63961571338169</v>
      </c>
    </row>
    <row r="926" spans="1:12" x14ac:dyDescent="0.45">
      <c r="A926" s="11">
        <v>25.97</v>
      </c>
      <c r="B926" s="14">
        <v>5.6599999999999999E-4</v>
      </c>
      <c r="C926" s="15">
        <v>2.5458000000000002E-4</v>
      </c>
      <c r="F926" s="28">
        <v>9.01</v>
      </c>
      <c r="G926" s="29">
        <f t="shared" si="56"/>
        <v>64.010000000000005</v>
      </c>
      <c r="H926" s="29">
        <f t="shared" si="57"/>
        <v>59.01</v>
      </c>
      <c r="I926" s="38">
        <f t="shared" si="58"/>
        <v>1.209266E-2</v>
      </c>
      <c r="J926" s="38">
        <f t="shared" si="59"/>
        <v>4.3665900000000001E-3</v>
      </c>
      <c r="K926" s="32">
        <f>K925+StepSize*L925</f>
        <v>217.25920138903436</v>
      </c>
      <c r="L926" s="33">
        <f>K926*Delta+I926*K926-J926*(DeathPayment-K926)</f>
        <v>-199.04124731082135</v>
      </c>
    </row>
    <row r="927" spans="1:12" x14ac:dyDescent="0.45">
      <c r="A927" s="11">
        <v>25.98</v>
      </c>
      <c r="B927" s="14">
        <v>5.6599999999999999E-4</v>
      </c>
      <c r="C927" s="15">
        <v>2.5472E-4</v>
      </c>
      <c r="F927" s="28">
        <v>9.02</v>
      </c>
      <c r="G927" s="29">
        <f t="shared" si="56"/>
        <v>64.02</v>
      </c>
      <c r="H927" s="29">
        <f t="shared" si="57"/>
        <v>59.02</v>
      </c>
      <c r="I927" s="38">
        <f t="shared" si="58"/>
        <v>1.210732E-2</v>
      </c>
      <c r="J927" s="38">
        <f t="shared" si="59"/>
        <v>4.3711799999999997E-3</v>
      </c>
      <c r="K927" s="32">
        <f>K926+StepSize*L926</f>
        <v>215.26878891592614</v>
      </c>
      <c r="L927" s="33">
        <f>K927*Delta+I927*K927-J927*(DeathPayment-K927)</f>
        <v>-199.44331203000425</v>
      </c>
    </row>
    <row r="928" spans="1:12" x14ac:dyDescent="0.45">
      <c r="A928" s="11">
        <v>25.99</v>
      </c>
      <c r="B928" s="14">
        <v>5.6599999999999999E-4</v>
      </c>
      <c r="C928" s="15">
        <v>2.5485999999999998E-4</v>
      </c>
      <c r="F928" s="28">
        <v>9.0299999999999994</v>
      </c>
      <c r="G928" s="29">
        <f t="shared" si="56"/>
        <v>64.03</v>
      </c>
      <c r="H928" s="29">
        <f t="shared" si="57"/>
        <v>59.03</v>
      </c>
      <c r="I928" s="38">
        <f t="shared" si="58"/>
        <v>1.2121979999999999E-2</v>
      </c>
      <c r="J928" s="38">
        <f t="shared" si="59"/>
        <v>4.3757700000000002E-3</v>
      </c>
      <c r="K928" s="32">
        <f>K927+StepSize*L927</f>
        <v>213.27435579562609</v>
      </c>
      <c r="L928" s="33">
        <f>K928*Delta+I928*K928-J928*(DeathPayment-K928)</f>
        <v>-199.84581048756448</v>
      </c>
    </row>
    <row r="929" spans="1:12" x14ac:dyDescent="0.45">
      <c r="A929" s="11">
        <v>26</v>
      </c>
      <c r="B929" s="14">
        <v>5.6599999999999999E-4</v>
      </c>
      <c r="C929" s="15">
        <v>2.5500000000000002E-4</v>
      </c>
      <c r="F929" s="28">
        <v>9.0399999999999991</v>
      </c>
      <c r="G929" s="29">
        <f t="shared" si="56"/>
        <v>64.040000000000006</v>
      </c>
      <c r="H929" s="29">
        <f t="shared" si="57"/>
        <v>59.04</v>
      </c>
      <c r="I929" s="38">
        <f t="shared" si="58"/>
        <v>1.2136640000000001E-2</v>
      </c>
      <c r="J929" s="38">
        <f t="shared" si="59"/>
        <v>4.3803599999999998E-3</v>
      </c>
      <c r="K929" s="32">
        <f>K928+StepSize*L928</f>
        <v>211.27589769075044</v>
      </c>
      <c r="L929" s="33">
        <f>K929*Delta+I929*K929-J929*(DeathPayment-K929)</f>
        <v>-200.24874330101741</v>
      </c>
    </row>
    <row r="930" spans="1:12" x14ac:dyDescent="0.45">
      <c r="A930" s="11">
        <v>26.01</v>
      </c>
      <c r="B930" s="14">
        <v>5.6601999999999998E-4</v>
      </c>
      <c r="C930" s="15">
        <v>2.5515999999999999E-4</v>
      </c>
      <c r="F930" s="28">
        <v>9.0500000000000007</v>
      </c>
      <c r="G930" s="29">
        <f t="shared" si="56"/>
        <v>64.05</v>
      </c>
      <c r="H930" s="29">
        <f t="shared" si="57"/>
        <v>59.05</v>
      </c>
      <c r="I930" s="38">
        <f t="shared" si="58"/>
        <v>1.21513E-2</v>
      </c>
      <c r="J930" s="38">
        <f t="shared" si="59"/>
        <v>4.3849500000000003E-3</v>
      </c>
      <c r="K930" s="32">
        <f>K929+StepSize*L929</f>
        <v>209.27341025774027</v>
      </c>
      <c r="L930" s="33">
        <f>K930*Delta+I930*K930-J930*(DeathPayment-K930)</f>
        <v>-200.65211108876119</v>
      </c>
    </row>
    <row r="931" spans="1:12" x14ac:dyDescent="0.45">
      <c r="A931" s="11">
        <v>26.02</v>
      </c>
      <c r="B931" s="14">
        <v>5.6603999999999997E-4</v>
      </c>
      <c r="C931" s="15">
        <v>2.5532000000000002E-4</v>
      </c>
      <c r="F931" s="28">
        <v>9.06</v>
      </c>
      <c r="G931" s="29">
        <f t="shared" si="56"/>
        <v>64.06</v>
      </c>
      <c r="H931" s="29">
        <f t="shared" si="57"/>
        <v>59.06</v>
      </c>
      <c r="I931" s="38">
        <f t="shared" si="58"/>
        <v>1.216596E-2</v>
      </c>
      <c r="J931" s="38">
        <f t="shared" si="59"/>
        <v>4.3895399999999999E-3</v>
      </c>
      <c r="K931" s="32">
        <f>K930+StepSize*L930</f>
        <v>207.26688914685266</v>
      </c>
      <c r="L931" s="33">
        <f>K931*Delta+I931*K931-J931*(DeathPayment-K931)</f>
        <v>-201.05591447007788</v>
      </c>
    </row>
    <row r="932" spans="1:12" x14ac:dyDescent="0.45">
      <c r="A932" s="11">
        <v>26.03</v>
      </c>
      <c r="B932" s="14">
        <v>5.6605999999999996E-4</v>
      </c>
      <c r="C932" s="15">
        <v>2.5547999999999999E-4</v>
      </c>
      <c r="F932" s="28">
        <v>9.07</v>
      </c>
      <c r="G932" s="29">
        <f t="shared" si="56"/>
        <v>64.069999999999993</v>
      </c>
      <c r="H932" s="29">
        <f t="shared" si="57"/>
        <v>59.07</v>
      </c>
      <c r="I932" s="38">
        <f t="shared" si="58"/>
        <v>1.218062E-2</v>
      </c>
      <c r="J932" s="38">
        <f t="shared" si="59"/>
        <v>4.3941300000000004E-3</v>
      </c>
      <c r="K932" s="32">
        <f>K931+StepSize*L931</f>
        <v>205.25633000215188</v>
      </c>
      <c r="L932" s="33">
        <f>K932*Delta+I932*K932-J932*(DeathPayment-K932)</f>
        <v>-201.46015406513519</v>
      </c>
    </row>
    <row r="933" spans="1:12" x14ac:dyDescent="0.45">
      <c r="A933" s="11">
        <v>26.04</v>
      </c>
      <c r="B933" s="14">
        <v>5.6607999999999995E-4</v>
      </c>
      <c r="C933" s="15">
        <v>2.5564000000000001E-4</v>
      </c>
      <c r="F933" s="28">
        <v>9.08</v>
      </c>
      <c r="G933" s="29">
        <f t="shared" si="56"/>
        <v>64.08</v>
      </c>
      <c r="H933" s="29">
        <f t="shared" si="57"/>
        <v>59.08</v>
      </c>
      <c r="I933" s="38">
        <f t="shared" si="58"/>
        <v>1.2195279999999999E-2</v>
      </c>
      <c r="J933" s="38">
        <f t="shared" si="59"/>
        <v>4.3987200000000001E-3</v>
      </c>
      <c r="K933" s="32">
        <f>K932+StepSize*L932</f>
        <v>203.24172846150054</v>
      </c>
      <c r="L933" s="33">
        <f>K933*Delta+I933*K933-J933*(DeathPayment-K933)</f>
        <v>-201.86483049498744</v>
      </c>
    </row>
    <row r="934" spans="1:12" x14ac:dyDescent="0.45">
      <c r="A934" s="11">
        <v>26.05</v>
      </c>
      <c r="B934" s="14">
        <v>5.6610000000000005E-4</v>
      </c>
      <c r="C934" s="15">
        <v>2.5579999999999998E-4</v>
      </c>
      <c r="F934" s="28">
        <v>9.09</v>
      </c>
      <c r="G934" s="29">
        <f t="shared" si="56"/>
        <v>64.09</v>
      </c>
      <c r="H934" s="29">
        <f t="shared" si="57"/>
        <v>59.09</v>
      </c>
      <c r="I934" s="38">
        <f t="shared" si="58"/>
        <v>1.2209940000000001E-2</v>
      </c>
      <c r="J934" s="38">
        <f t="shared" si="59"/>
        <v>4.4033099999999997E-3</v>
      </c>
      <c r="K934" s="32">
        <f>K933+StepSize*L933</f>
        <v>201.22308015655068</v>
      </c>
      <c r="L934" s="33">
        <f>K934*Delta+I934*K934-J934*(DeathPayment-K934)</f>
        <v>-202.26994438157726</v>
      </c>
    </row>
    <row r="935" spans="1:12" x14ac:dyDescent="0.45">
      <c r="A935" s="11">
        <v>26.06</v>
      </c>
      <c r="B935" s="14">
        <v>5.6612000000000003E-4</v>
      </c>
      <c r="C935" s="15">
        <v>2.5596000000000001E-4</v>
      </c>
      <c r="F935" s="28">
        <v>9.1</v>
      </c>
      <c r="G935" s="29">
        <f t="shared" si="56"/>
        <v>64.099999999999994</v>
      </c>
      <c r="H935" s="29">
        <f t="shared" si="57"/>
        <v>59.1</v>
      </c>
      <c r="I935" s="38">
        <f t="shared" si="58"/>
        <v>1.22246E-2</v>
      </c>
      <c r="J935" s="38">
        <f t="shared" si="59"/>
        <v>4.4079000000000002E-3</v>
      </c>
      <c r="K935" s="32">
        <f>K934+StepSize*L934</f>
        <v>199.2003807127349</v>
      </c>
      <c r="L935" s="33">
        <f>K935*Delta+I935*K935-J935*(DeathPayment-K935)</f>
        <v>-202.67549634773707</v>
      </c>
    </row>
    <row r="936" spans="1:12" x14ac:dyDescent="0.45">
      <c r="A936" s="11">
        <v>26.07</v>
      </c>
      <c r="B936" s="14">
        <v>5.6614000000000002E-4</v>
      </c>
      <c r="C936" s="15">
        <v>2.5611999999999998E-4</v>
      </c>
      <c r="F936" s="28">
        <v>9.11</v>
      </c>
      <c r="G936" s="29">
        <f t="shared" si="56"/>
        <v>64.11</v>
      </c>
      <c r="H936" s="29">
        <f t="shared" si="57"/>
        <v>59.11</v>
      </c>
      <c r="I936" s="38">
        <f t="shared" si="58"/>
        <v>1.223926E-2</v>
      </c>
      <c r="J936" s="38">
        <f t="shared" si="59"/>
        <v>4.4124899999999998E-3</v>
      </c>
      <c r="K936" s="32">
        <f>K935+StepSize*L935</f>
        <v>197.17362574925752</v>
      </c>
      <c r="L936" s="33">
        <f>K936*Delta+I936*K936-J936*(DeathPayment-K936)</f>
        <v>-203.08148701718989</v>
      </c>
    </row>
    <row r="937" spans="1:12" x14ac:dyDescent="0.45">
      <c r="A937" s="11">
        <v>26.08</v>
      </c>
      <c r="B937" s="14">
        <v>5.6616000000000001E-4</v>
      </c>
      <c r="C937" s="15">
        <v>2.5628000000000001E-4</v>
      </c>
      <c r="F937" s="28">
        <v>9.1199999999999992</v>
      </c>
      <c r="G937" s="29">
        <f t="shared" si="56"/>
        <v>64.12</v>
      </c>
      <c r="H937" s="29">
        <f t="shared" si="57"/>
        <v>59.12</v>
      </c>
      <c r="I937" s="38">
        <f t="shared" si="58"/>
        <v>1.225392E-2</v>
      </c>
      <c r="J937" s="38">
        <f t="shared" si="59"/>
        <v>4.4170800000000003E-3</v>
      </c>
      <c r="K937" s="32">
        <f>K936+StepSize*L936</f>
        <v>195.14281087908563</v>
      </c>
      <c r="L937" s="33">
        <f>K937*Delta+I937*K937-J937*(DeathPayment-K937)</f>
        <v>-203.48791701455144</v>
      </c>
    </row>
    <row r="938" spans="1:12" x14ac:dyDescent="0.45">
      <c r="A938" s="11">
        <v>26.09</v>
      </c>
      <c r="B938" s="14">
        <v>5.6618E-4</v>
      </c>
      <c r="C938" s="15">
        <v>2.5643999999999998E-4</v>
      </c>
      <c r="F938" s="28">
        <v>9.1300000000000008</v>
      </c>
      <c r="G938" s="29">
        <f t="shared" si="56"/>
        <v>64.13</v>
      </c>
      <c r="H938" s="29">
        <f t="shared" si="57"/>
        <v>59.13</v>
      </c>
      <c r="I938" s="38">
        <f t="shared" si="58"/>
        <v>1.2268579999999999E-2</v>
      </c>
      <c r="J938" s="38">
        <f t="shared" si="59"/>
        <v>4.4216699999999999E-3</v>
      </c>
      <c r="K938" s="32">
        <f>K937+StepSize*L937</f>
        <v>193.10793170894013</v>
      </c>
      <c r="L938" s="33">
        <f>K938*Delta+I938*K938-J938*(DeathPayment-K938)</f>
        <v>-203.89478696533106</v>
      </c>
    </row>
    <row r="939" spans="1:12" x14ac:dyDescent="0.45">
      <c r="A939" s="11">
        <v>26.1</v>
      </c>
      <c r="B939" s="14">
        <v>5.6619999999999999E-4</v>
      </c>
      <c r="C939" s="15">
        <v>2.566E-4</v>
      </c>
      <c r="F939" s="28">
        <v>9.14</v>
      </c>
      <c r="G939" s="29">
        <f t="shared" si="56"/>
        <v>64.14</v>
      </c>
      <c r="H939" s="29">
        <f t="shared" si="57"/>
        <v>59.14</v>
      </c>
      <c r="I939" s="38">
        <f t="shared" si="58"/>
        <v>1.2283240000000001E-2</v>
      </c>
      <c r="J939" s="38">
        <f t="shared" si="59"/>
        <v>4.4262599999999996E-3</v>
      </c>
      <c r="K939" s="32">
        <f>K938+StepSize*L938</f>
        <v>191.06898383928683</v>
      </c>
      <c r="L939" s="33">
        <f>K939*Delta+I939*K939-J939*(DeathPayment-K939)</f>
        <v>-204.30209749593331</v>
      </c>
    </row>
    <row r="940" spans="1:12" x14ac:dyDescent="0.45">
      <c r="A940" s="11">
        <v>26.11</v>
      </c>
      <c r="B940" s="14">
        <v>5.6621999999999998E-4</v>
      </c>
      <c r="C940" s="15">
        <v>2.5675999999999997E-4</v>
      </c>
      <c r="F940" s="28">
        <v>9.15</v>
      </c>
      <c r="G940" s="29">
        <f t="shared" si="56"/>
        <v>64.150000000000006</v>
      </c>
      <c r="H940" s="29">
        <f t="shared" si="57"/>
        <v>59.15</v>
      </c>
      <c r="I940" s="38">
        <f t="shared" si="58"/>
        <v>1.22979E-2</v>
      </c>
      <c r="J940" s="38">
        <f t="shared" si="59"/>
        <v>4.4308500000000001E-3</v>
      </c>
      <c r="K940" s="32">
        <f>K939+StepSize*L939</f>
        <v>189.02596286432748</v>
      </c>
      <c r="L940" s="33">
        <f>K940*Delta+I940*K940-J940*(DeathPayment-K940)</f>
        <v>-204.70984923365938</v>
      </c>
    </row>
    <row r="941" spans="1:12" x14ac:dyDescent="0.45">
      <c r="A941" s="11">
        <v>26.12</v>
      </c>
      <c r="B941" s="14">
        <v>5.6623999999999997E-4</v>
      </c>
      <c r="C941" s="15">
        <v>2.5692E-4</v>
      </c>
      <c r="F941" s="28">
        <v>9.16</v>
      </c>
      <c r="G941" s="29">
        <f t="shared" si="56"/>
        <v>64.16</v>
      </c>
      <c r="H941" s="29">
        <f t="shared" si="57"/>
        <v>59.16</v>
      </c>
      <c r="I941" s="38">
        <f t="shared" si="58"/>
        <v>1.231256E-2</v>
      </c>
      <c r="J941" s="38">
        <f t="shared" si="59"/>
        <v>4.4354399999999997E-3</v>
      </c>
      <c r="K941" s="32">
        <f>K940+StepSize*L940</f>
        <v>186.97886437199088</v>
      </c>
      <c r="L941" s="33">
        <f>K941*Delta+I941*K941-J941*(DeathPayment-K941)</f>
        <v>-205.11804280670836</v>
      </c>
    </row>
    <row r="942" spans="1:12" x14ac:dyDescent="0.45">
      <c r="A942" s="11">
        <v>26.13</v>
      </c>
      <c r="B942" s="14">
        <v>5.6625999999999996E-4</v>
      </c>
      <c r="C942" s="15">
        <v>2.5708000000000003E-4</v>
      </c>
      <c r="F942" s="28">
        <v>9.17</v>
      </c>
      <c r="G942" s="29">
        <f t="shared" si="56"/>
        <v>64.17</v>
      </c>
      <c r="H942" s="29">
        <f t="shared" si="57"/>
        <v>59.17</v>
      </c>
      <c r="I942" s="38">
        <f t="shared" si="58"/>
        <v>1.232722E-2</v>
      </c>
      <c r="J942" s="38">
        <f t="shared" si="59"/>
        <v>4.4400300000000002E-3</v>
      </c>
      <c r="K942" s="32">
        <f>K941+StepSize*L941</f>
        <v>184.9276839439238</v>
      </c>
      <c r="L942" s="33">
        <f>K942*Delta+I942*K942-J942*(DeathPayment-K942)</f>
        <v>-205.52667884417866</v>
      </c>
    </row>
    <row r="943" spans="1:12" x14ac:dyDescent="0.45">
      <c r="A943" s="11">
        <v>26.14</v>
      </c>
      <c r="B943" s="14">
        <v>5.6627999999999995E-4</v>
      </c>
      <c r="C943" s="15">
        <v>2.5724E-4</v>
      </c>
      <c r="F943" s="28">
        <v>9.18</v>
      </c>
      <c r="G943" s="29">
        <f t="shared" si="56"/>
        <v>64.180000000000007</v>
      </c>
      <c r="H943" s="29">
        <f t="shared" si="57"/>
        <v>59.18</v>
      </c>
      <c r="I943" s="38">
        <f t="shared" si="58"/>
        <v>1.234188E-2</v>
      </c>
      <c r="J943" s="38">
        <f t="shared" si="59"/>
        <v>4.4446199999999998E-3</v>
      </c>
      <c r="K943" s="32">
        <f>K942+StepSize*L942</f>
        <v>182.872417155482</v>
      </c>
      <c r="L943" s="33">
        <f>K943*Delta+I943*K943-J943*(DeathPayment-K943)</f>
        <v>-205.93575797606968</v>
      </c>
    </row>
    <row r="944" spans="1:12" x14ac:dyDescent="0.45">
      <c r="A944" s="11">
        <v>26.15</v>
      </c>
      <c r="B944" s="14">
        <v>5.6630000000000005E-4</v>
      </c>
      <c r="C944" s="15">
        <v>2.5740000000000002E-4</v>
      </c>
      <c r="F944" s="28">
        <v>9.19</v>
      </c>
      <c r="G944" s="29">
        <f t="shared" si="56"/>
        <v>64.19</v>
      </c>
      <c r="H944" s="29">
        <f t="shared" si="57"/>
        <v>59.19</v>
      </c>
      <c r="I944" s="38">
        <f t="shared" si="58"/>
        <v>1.2356539999999999E-2</v>
      </c>
      <c r="J944" s="38">
        <f t="shared" si="59"/>
        <v>4.4492100000000003E-3</v>
      </c>
      <c r="K944" s="32">
        <f>K943+StepSize*L943</f>
        <v>180.8130595757213</v>
      </c>
      <c r="L944" s="33">
        <f>K944*Delta+I944*K944-J944*(DeathPayment-K944)</f>
        <v>-206.34528083328283</v>
      </c>
    </row>
    <row r="945" spans="1:12" x14ac:dyDescent="0.45">
      <c r="A945" s="11">
        <v>26.16</v>
      </c>
      <c r="B945" s="14">
        <v>5.6632000000000004E-4</v>
      </c>
      <c r="C945" s="15">
        <v>2.5755999999999999E-4</v>
      </c>
      <c r="F945" s="28">
        <v>9.1999999999999993</v>
      </c>
      <c r="G945" s="29">
        <f t="shared" si="56"/>
        <v>64.2</v>
      </c>
      <c r="H945" s="29">
        <f t="shared" si="57"/>
        <v>59.2</v>
      </c>
      <c r="I945" s="38">
        <f t="shared" si="58"/>
        <v>1.2371200000000001E-2</v>
      </c>
      <c r="J945" s="38">
        <f t="shared" si="59"/>
        <v>4.4537999999999999E-3</v>
      </c>
      <c r="K945" s="32">
        <f>K944+StepSize*L944</f>
        <v>178.74960676738846</v>
      </c>
      <c r="L945" s="33">
        <f>K945*Delta+I945*K945-J945*(DeathPayment-K945)</f>
        <v>-206.75524804762316</v>
      </c>
    </row>
    <row r="946" spans="1:12" x14ac:dyDescent="0.45">
      <c r="A946" s="11">
        <v>26.17</v>
      </c>
      <c r="B946" s="14">
        <v>5.6634000000000003E-4</v>
      </c>
      <c r="C946" s="15">
        <v>2.5772000000000002E-4</v>
      </c>
      <c r="F946" s="28">
        <v>9.2100000000000009</v>
      </c>
      <c r="G946" s="29">
        <f t="shared" si="56"/>
        <v>64.209999999999994</v>
      </c>
      <c r="H946" s="29">
        <f t="shared" si="57"/>
        <v>59.21</v>
      </c>
      <c r="I946" s="38">
        <f t="shared" si="58"/>
        <v>1.238586E-2</v>
      </c>
      <c r="J946" s="38">
        <f t="shared" si="59"/>
        <v>4.4583899999999996E-3</v>
      </c>
      <c r="K946" s="32">
        <f>K945+StepSize*L945</f>
        <v>176.68205428691223</v>
      </c>
      <c r="L946" s="33">
        <f>K946*Delta+I946*K946-J946*(DeathPayment-K946)</f>
        <v>-207.16566025180074</v>
      </c>
    </row>
    <row r="947" spans="1:12" x14ac:dyDescent="0.45">
      <c r="A947" s="11">
        <v>26.18</v>
      </c>
      <c r="B947" s="14">
        <v>5.6636000000000002E-4</v>
      </c>
      <c r="C947" s="15">
        <v>2.5787999999999999E-4</v>
      </c>
      <c r="F947" s="28">
        <v>9.2200000000000006</v>
      </c>
      <c r="G947" s="29">
        <f t="shared" si="56"/>
        <v>64.22</v>
      </c>
      <c r="H947" s="29">
        <f t="shared" si="57"/>
        <v>59.22</v>
      </c>
      <c r="I947" s="38">
        <f t="shared" si="58"/>
        <v>1.240052E-2</v>
      </c>
      <c r="J947" s="38">
        <f t="shared" si="59"/>
        <v>4.4629800000000001E-3</v>
      </c>
      <c r="K947" s="32">
        <f>K946+StepSize*L946</f>
        <v>174.61039768439423</v>
      </c>
      <c r="L947" s="33">
        <f>K947*Delta+I947*K947-J947*(DeathPayment-K947)</f>
        <v>-207.57651807943222</v>
      </c>
    </row>
    <row r="948" spans="1:12" x14ac:dyDescent="0.45">
      <c r="A948" s="11">
        <v>26.19</v>
      </c>
      <c r="B948" s="14">
        <v>5.6638000000000001E-4</v>
      </c>
      <c r="C948" s="15">
        <v>2.5804000000000002E-4</v>
      </c>
      <c r="F948" s="28">
        <v>9.23</v>
      </c>
      <c r="G948" s="29">
        <f t="shared" si="56"/>
        <v>64.23</v>
      </c>
      <c r="H948" s="29">
        <f t="shared" si="57"/>
        <v>59.23</v>
      </c>
      <c r="I948" s="38">
        <f t="shared" si="58"/>
        <v>1.241518E-2</v>
      </c>
      <c r="J948" s="38">
        <f t="shared" si="59"/>
        <v>4.4675699999999997E-3</v>
      </c>
      <c r="K948" s="32">
        <f>K947+StepSize*L947</f>
        <v>172.53463250359991</v>
      </c>
      <c r="L948" s="33">
        <f>K948*Delta+I948*K948-J948*(DeathPayment-K948)</f>
        <v>-207.98782216504182</v>
      </c>
    </row>
    <row r="949" spans="1:12" x14ac:dyDescent="0.45">
      <c r="A949" s="11">
        <v>26.2</v>
      </c>
      <c r="B949" s="14">
        <v>5.664E-4</v>
      </c>
      <c r="C949" s="15">
        <v>2.5819999999999999E-4</v>
      </c>
      <c r="F949" s="28">
        <v>9.24</v>
      </c>
      <c r="G949" s="29">
        <f t="shared" si="56"/>
        <v>64.239999999999995</v>
      </c>
      <c r="H949" s="29">
        <f t="shared" si="57"/>
        <v>59.24</v>
      </c>
      <c r="I949" s="38">
        <f t="shared" si="58"/>
        <v>1.2429839999999999E-2</v>
      </c>
      <c r="J949" s="38">
        <f t="shared" si="59"/>
        <v>4.4721600000000002E-3</v>
      </c>
      <c r="K949" s="32">
        <f>K948+StepSize*L948</f>
        <v>170.45475428194948</v>
      </c>
      <c r="L949" s="33">
        <f>K949*Delta+I949*K949-J949*(DeathPayment-K949)</f>
        <v>-208.39957314406331</v>
      </c>
    </row>
    <row r="950" spans="1:12" x14ac:dyDescent="0.45">
      <c r="A950" s="11">
        <v>26.21</v>
      </c>
      <c r="B950" s="14">
        <v>5.6641999999999999E-4</v>
      </c>
      <c r="C950" s="15">
        <v>2.5836000000000001E-4</v>
      </c>
      <c r="F950" s="28">
        <v>9.25</v>
      </c>
      <c r="G950" s="29">
        <f t="shared" si="56"/>
        <v>64.25</v>
      </c>
      <c r="H950" s="29">
        <f t="shared" si="57"/>
        <v>59.25</v>
      </c>
      <c r="I950" s="38">
        <f t="shared" si="58"/>
        <v>1.2444500000000001E-2</v>
      </c>
      <c r="J950" s="38">
        <f t="shared" si="59"/>
        <v>4.4767499999999998E-3</v>
      </c>
      <c r="K950" s="32">
        <f>K949+StepSize*L949</f>
        <v>168.37075855050884</v>
      </c>
      <c r="L950" s="33">
        <f>K950*Delta+I950*K950-J950*(DeathPayment-K950)</f>
        <v>-208.81177165284089</v>
      </c>
    </row>
    <row r="951" spans="1:12" x14ac:dyDescent="0.45">
      <c r="A951" s="11">
        <v>26.22</v>
      </c>
      <c r="B951" s="14">
        <v>5.6643999999999998E-4</v>
      </c>
      <c r="C951" s="15">
        <v>2.5851999999999998E-4</v>
      </c>
      <c r="F951" s="28">
        <v>9.26</v>
      </c>
      <c r="G951" s="29">
        <f t="shared" si="56"/>
        <v>64.260000000000005</v>
      </c>
      <c r="H951" s="29">
        <f t="shared" si="57"/>
        <v>59.26</v>
      </c>
      <c r="I951" s="38">
        <f t="shared" si="58"/>
        <v>1.245916E-2</v>
      </c>
      <c r="J951" s="38">
        <f t="shared" si="59"/>
        <v>4.4813400000000003E-3</v>
      </c>
      <c r="K951" s="32">
        <f>K950+StepSize*L950</f>
        <v>166.28264083398042</v>
      </c>
      <c r="L951" s="33">
        <f>K951*Delta+I951*K951-J951*(DeathPayment-K951)</f>
        <v>-209.22441832863115</v>
      </c>
    </row>
    <row r="952" spans="1:12" x14ac:dyDescent="0.45">
      <c r="A952" s="11">
        <v>26.23</v>
      </c>
      <c r="B952" s="14">
        <v>5.6645999999999997E-4</v>
      </c>
      <c r="C952" s="15">
        <v>2.5868000000000001E-4</v>
      </c>
      <c r="F952" s="28">
        <v>9.27</v>
      </c>
      <c r="G952" s="29">
        <f t="shared" si="56"/>
        <v>64.27</v>
      </c>
      <c r="H952" s="29">
        <f t="shared" si="57"/>
        <v>59.27</v>
      </c>
      <c r="I952" s="38">
        <f t="shared" si="58"/>
        <v>1.247382E-2</v>
      </c>
      <c r="J952" s="38">
        <f t="shared" si="59"/>
        <v>4.48593E-3</v>
      </c>
      <c r="K952" s="32">
        <f>K951+StepSize*L951</f>
        <v>164.19039665069411</v>
      </c>
      <c r="L952" s="33">
        <f>K952*Delta+I952*K952-J952*(DeathPayment-K952)</f>
        <v>-209.63751380960394</v>
      </c>
    </row>
    <row r="953" spans="1:12" x14ac:dyDescent="0.45">
      <c r="A953" s="11">
        <v>26.24</v>
      </c>
      <c r="B953" s="14">
        <v>5.6647999999999996E-4</v>
      </c>
      <c r="C953" s="15">
        <v>2.5883999999999998E-4</v>
      </c>
      <c r="F953" s="28">
        <v>9.2799999999999994</v>
      </c>
      <c r="G953" s="29">
        <f t="shared" si="56"/>
        <v>64.28</v>
      </c>
      <c r="H953" s="29">
        <f t="shared" si="57"/>
        <v>59.28</v>
      </c>
      <c r="I953" s="38">
        <f t="shared" si="58"/>
        <v>1.248848E-2</v>
      </c>
      <c r="J953" s="38">
        <f t="shared" si="59"/>
        <v>4.4905199999999996E-3</v>
      </c>
      <c r="K953" s="32">
        <f>K952+StepSize*L952</f>
        <v>162.09402151259806</v>
      </c>
      <c r="L953" s="33">
        <f>K953*Delta+I953*K953-J953*(DeathPayment-K953)</f>
        <v>-210.05105873484436</v>
      </c>
    </row>
    <row r="954" spans="1:12" x14ac:dyDescent="0.45">
      <c r="A954" s="11">
        <v>26.25</v>
      </c>
      <c r="B954" s="14">
        <v>5.6649999999999995E-4</v>
      </c>
      <c r="C954" s="15">
        <v>2.5900000000000001E-4</v>
      </c>
      <c r="F954" s="28">
        <v>9.2899999999999991</v>
      </c>
      <c r="G954" s="29">
        <f t="shared" si="56"/>
        <v>64.290000000000006</v>
      </c>
      <c r="H954" s="29">
        <f t="shared" si="57"/>
        <v>59.29</v>
      </c>
      <c r="I954" s="38">
        <f t="shared" si="58"/>
        <v>1.2503139999999999E-2</v>
      </c>
      <c r="J954" s="38">
        <f t="shared" si="59"/>
        <v>4.4951100000000001E-3</v>
      </c>
      <c r="K954" s="32">
        <f>K953+StepSize*L953</f>
        <v>159.99351092524961</v>
      </c>
      <c r="L954" s="33">
        <f>K954*Delta+I954*K954-J954*(DeathPayment-K954)</f>
        <v>-210.4650537443537</v>
      </c>
    </row>
    <row r="955" spans="1:12" x14ac:dyDescent="0.45">
      <c r="A955" s="11">
        <v>26.26</v>
      </c>
      <c r="B955" s="14">
        <v>5.6652000000000004E-4</v>
      </c>
      <c r="C955" s="15">
        <v>2.5915999999999998E-4</v>
      </c>
      <c r="F955" s="28">
        <v>9.3000000000000007</v>
      </c>
      <c r="G955" s="29">
        <f t="shared" si="56"/>
        <v>64.3</v>
      </c>
      <c r="H955" s="29">
        <f t="shared" si="57"/>
        <v>59.3</v>
      </c>
      <c r="I955" s="38">
        <f t="shared" si="58"/>
        <v>1.2517800000000001E-2</v>
      </c>
      <c r="J955" s="38">
        <f t="shared" si="59"/>
        <v>4.4996999999999997E-3</v>
      </c>
      <c r="K955" s="32">
        <f>K954+StepSize*L954</f>
        <v>157.88886038780606</v>
      </c>
      <c r="L955" s="33">
        <f>K955*Delta+I955*K955-J955*(DeathPayment-K955)</f>
        <v>-210.87949947905116</v>
      </c>
    </row>
    <row r="956" spans="1:12" x14ac:dyDescent="0.45">
      <c r="A956" s="11">
        <v>26.27</v>
      </c>
      <c r="B956" s="14">
        <v>5.6654000000000003E-4</v>
      </c>
      <c r="C956" s="15">
        <v>2.5932E-4</v>
      </c>
      <c r="F956" s="28">
        <v>9.31</v>
      </c>
      <c r="G956" s="29">
        <f t="shared" si="56"/>
        <v>64.31</v>
      </c>
      <c r="H956" s="29">
        <f t="shared" si="57"/>
        <v>59.31</v>
      </c>
      <c r="I956" s="38">
        <f t="shared" si="58"/>
        <v>1.253246E-2</v>
      </c>
      <c r="J956" s="38">
        <f t="shared" si="59"/>
        <v>4.5042900000000002E-3</v>
      </c>
      <c r="K956" s="32">
        <f>K955+StepSize*L955</f>
        <v>155.78006539301555</v>
      </c>
      <c r="L956" s="33">
        <f>K956*Delta+I956*K956-J956*(DeathPayment-K956)</f>
        <v>-211.29439658077524</v>
      </c>
    </row>
    <row r="957" spans="1:12" x14ac:dyDescent="0.45">
      <c r="A957" s="11">
        <v>26.28</v>
      </c>
      <c r="B957" s="14">
        <v>5.6656000000000002E-4</v>
      </c>
      <c r="C957" s="15">
        <v>2.5947999999999998E-4</v>
      </c>
      <c r="F957" s="28">
        <v>9.32</v>
      </c>
      <c r="G957" s="29">
        <f t="shared" si="56"/>
        <v>64.319999999999993</v>
      </c>
      <c r="H957" s="29">
        <f t="shared" si="57"/>
        <v>59.32</v>
      </c>
      <c r="I957" s="38">
        <f t="shared" si="58"/>
        <v>1.254712E-2</v>
      </c>
      <c r="J957" s="38">
        <f t="shared" si="59"/>
        <v>4.5088799999999998E-3</v>
      </c>
      <c r="K957" s="32">
        <f>K956+StepSize*L956</f>
        <v>153.6671214272078</v>
      </c>
      <c r="L957" s="33">
        <f>K957*Delta+I957*K957-J957*(DeathPayment-K957)</f>
        <v>-211.70974569228514</v>
      </c>
    </row>
    <row r="958" spans="1:12" x14ac:dyDescent="0.45">
      <c r="A958" s="11">
        <v>26.29</v>
      </c>
      <c r="B958" s="14">
        <v>5.6658000000000001E-4</v>
      </c>
      <c r="C958" s="15">
        <v>2.5964E-4</v>
      </c>
      <c r="F958" s="28">
        <v>9.33</v>
      </c>
      <c r="G958" s="29">
        <f t="shared" si="56"/>
        <v>64.33</v>
      </c>
      <c r="H958" s="29">
        <f t="shared" si="57"/>
        <v>59.33</v>
      </c>
      <c r="I958" s="38">
        <f t="shared" si="58"/>
        <v>1.256178E-2</v>
      </c>
      <c r="J958" s="38">
        <f t="shared" si="59"/>
        <v>4.5134700000000003E-3</v>
      </c>
      <c r="K958" s="32">
        <f>K957+StepSize*L957</f>
        <v>151.55002397028494</v>
      </c>
      <c r="L958" s="33">
        <f>K958*Delta+I958*K958-J958*(DeathPayment-K958)</f>
        <v>-212.1255474572622</v>
      </c>
    </row>
    <row r="959" spans="1:12" x14ac:dyDescent="0.45">
      <c r="A959" s="11">
        <v>26.3</v>
      </c>
      <c r="B959" s="14">
        <v>5.666E-4</v>
      </c>
      <c r="C959" s="15">
        <v>2.5980000000000003E-4</v>
      </c>
      <c r="F959" s="28">
        <v>9.34</v>
      </c>
      <c r="G959" s="29">
        <f t="shared" si="56"/>
        <v>64.34</v>
      </c>
      <c r="H959" s="29">
        <f t="shared" si="57"/>
        <v>59.34</v>
      </c>
      <c r="I959" s="38">
        <f t="shared" si="58"/>
        <v>1.2576439999999999E-2</v>
      </c>
      <c r="J959" s="38">
        <f t="shared" si="59"/>
        <v>4.51806E-3</v>
      </c>
      <c r="K959" s="32">
        <f>K958+StepSize*L958</f>
        <v>149.42876849571232</v>
      </c>
      <c r="L959" s="33">
        <f>K959*Delta+I959*K959-J959*(DeathPayment-K959)</f>
        <v>-212.54180252031136</v>
      </c>
    </row>
    <row r="960" spans="1:12" x14ac:dyDescent="0.45">
      <c r="A960" s="11">
        <v>26.31</v>
      </c>
      <c r="B960" s="14">
        <v>5.6661999999999999E-4</v>
      </c>
      <c r="C960" s="15">
        <v>2.5996E-4</v>
      </c>
      <c r="F960" s="28">
        <v>9.35</v>
      </c>
      <c r="G960" s="29">
        <f t="shared" si="56"/>
        <v>64.349999999999994</v>
      </c>
      <c r="H960" s="29">
        <f t="shared" si="57"/>
        <v>59.35</v>
      </c>
      <c r="I960" s="38">
        <f t="shared" si="58"/>
        <v>1.2591099999999999E-2</v>
      </c>
      <c r="J960" s="38">
        <f t="shared" si="59"/>
        <v>4.5226499999999996E-3</v>
      </c>
      <c r="K960" s="32">
        <f>K959+StepSize*L959</f>
        <v>147.3033504705092</v>
      </c>
      <c r="L960" s="33">
        <f>K960*Delta+I960*K960-J960*(DeathPayment-K960)</f>
        <v>-212.95851152696255</v>
      </c>
    </row>
    <row r="961" spans="1:12" x14ac:dyDescent="0.45">
      <c r="A961" s="11">
        <v>26.32</v>
      </c>
      <c r="B961" s="14">
        <v>5.6663999999999998E-4</v>
      </c>
      <c r="C961" s="15">
        <v>2.6012000000000002E-4</v>
      </c>
      <c r="F961" s="28">
        <v>9.36</v>
      </c>
      <c r="G961" s="29">
        <f t="shared" si="56"/>
        <v>64.36</v>
      </c>
      <c r="H961" s="29">
        <f t="shared" si="57"/>
        <v>59.36</v>
      </c>
      <c r="I961" s="38">
        <f t="shared" si="58"/>
        <v>1.2605760000000001E-2</v>
      </c>
      <c r="J961" s="38">
        <f t="shared" si="59"/>
        <v>4.5272400000000001E-3</v>
      </c>
      <c r="K961" s="32">
        <f>K960+StepSize*L960</f>
        <v>145.17376535523957</v>
      </c>
      <c r="L961" s="33">
        <f>K961*Delta+I961*K961-J961*(DeathPayment-K961)</f>
        <v>-213.37567512367235</v>
      </c>
    </row>
    <row r="962" spans="1:12" x14ac:dyDescent="0.45">
      <c r="A962" s="11">
        <v>26.33</v>
      </c>
      <c r="B962" s="14">
        <v>5.6665999999999997E-4</v>
      </c>
      <c r="C962" s="15">
        <v>2.6027999999999999E-4</v>
      </c>
      <c r="F962" s="28">
        <v>9.3699999999999992</v>
      </c>
      <c r="G962" s="29">
        <f t="shared" si="56"/>
        <v>64.37</v>
      </c>
      <c r="H962" s="29">
        <f t="shared" si="57"/>
        <v>59.37</v>
      </c>
      <c r="I962" s="38">
        <f t="shared" si="58"/>
        <v>1.262042E-2</v>
      </c>
      <c r="J962" s="38">
        <f t="shared" si="59"/>
        <v>4.5318299999999997E-3</v>
      </c>
      <c r="K962" s="32">
        <f>K961+StepSize*L961</f>
        <v>143.04000860400285</v>
      </c>
      <c r="L962" s="33">
        <f>K962*Delta+I962*K962-J962*(DeathPayment-K962)</f>
        <v>-213.79329395782509</v>
      </c>
    </row>
    <row r="963" spans="1:12" x14ac:dyDescent="0.45">
      <c r="A963" s="11">
        <v>26.34</v>
      </c>
      <c r="B963" s="14">
        <v>5.6667999999999996E-4</v>
      </c>
      <c r="C963" s="15">
        <v>2.6044000000000002E-4</v>
      </c>
      <c r="F963" s="28">
        <v>9.3800000000000008</v>
      </c>
      <c r="G963" s="29">
        <f t="shared" si="56"/>
        <v>64.38</v>
      </c>
      <c r="H963" s="29">
        <f t="shared" si="57"/>
        <v>59.38</v>
      </c>
      <c r="I963" s="38">
        <f t="shared" si="58"/>
        <v>1.263508E-2</v>
      </c>
      <c r="J963" s="38">
        <f t="shared" si="59"/>
        <v>4.5364200000000002E-3</v>
      </c>
      <c r="K963" s="32">
        <f>K962+StepSize*L962</f>
        <v>140.90207566442459</v>
      </c>
      <c r="L963" s="33">
        <f>K963*Delta+I963*K963-J963*(DeathPayment-K963)</f>
        <v>-214.21136867773464</v>
      </c>
    </row>
    <row r="964" spans="1:12" x14ac:dyDescent="0.45">
      <c r="A964" s="11">
        <v>26.35</v>
      </c>
      <c r="B964" s="14">
        <v>5.6669999999999995E-4</v>
      </c>
      <c r="C964" s="15">
        <v>2.6059999999999999E-4</v>
      </c>
      <c r="F964" s="28">
        <v>9.39</v>
      </c>
      <c r="G964" s="29">
        <f t="shared" si="56"/>
        <v>64.39</v>
      </c>
      <c r="H964" s="29">
        <f t="shared" si="57"/>
        <v>59.39</v>
      </c>
      <c r="I964" s="38">
        <f t="shared" si="58"/>
        <v>1.264974E-2</v>
      </c>
      <c r="J964" s="38">
        <f t="shared" si="59"/>
        <v>4.5410099999999998E-3</v>
      </c>
      <c r="K964" s="32">
        <f>K963+StepSize*L963</f>
        <v>138.75996197764724</v>
      </c>
      <c r="L964" s="33">
        <f>K964*Delta+I964*K964-J964*(DeathPayment-K964)</f>
        <v>-214.62989993264557</v>
      </c>
    </row>
    <row r="965" spans="1:12" x14ac:dyDescent="0.45">
      <c r="A965" s="11">
        <v>26.36</v>
      </c>
      <c r="B965" s="14">
        <v>5.6672000000000005E-4</v>
      </c>
      <c r="C965" s="15">
        <v>2.6076000000000002E-4</v>
      </c>
      <c r="F965" s="28">
        <v>9.4</v>
      </c>
      <c r="G965" s="29">
        <f t="shared" si="56"/>
        <v>64.400000000000006</v>
      </c>
      <c r="H965" s="29">
        <f t="shared" si="57"/>
        <v>59.4</v>
      </c>
      <c r="I965" s="38">
        <f t="shared" si="58"/>
        <v>1.2664399999999999E-2</v>
      </c>
      <c r="J965" s="38">
        <f t="shared" si="59"/>
        <v>4.5456000000000003E-3</v>
      </c>
      <c r="K965" s="32">
        <f>K964+StepSize*L964</f>
        <v>136.61366297832078</v>
      </c>
      <c r="L965" s="33">
        <f>K965*Delta+I965*K965-J965*(DeathPayment-K965)</f>
        <v>-215.04888837273489</v>
      </c>
    </row>
    <row r="966" spans="1:12" x14ac:dyDescent="0.45">
      <c r="A966" s="11">
        <v>26.37</v>
      </c>
      <c r="B966" s="14">
        <v>5.6674000000000004E-4</v>
      </c>
      <c r="C966" s="15">
        <v>2.6091999999999999E-4</v>
      </c>
      <c r="F966" s="28">
        <v>9.41</v>
      </c>
      <c r="G966" s="29">
        <f t="shared" si="56"/>
        <v>64.41</v>
      </c>
      <c r="H966" s="29">
        <f t="shared" si="57"/>
        <v>59.41</v>
      </c>
      <c r="I966" s="38">
        <f t="shared" si="58"/>
        <v>1.2679060000000001E-2</v>
      </c>
      <c r="J966" s="38">
        <f t="shared" si="59"/>
        <v>4.55019E-3</v>
      </c>
      <c r="K966" s="32">
        <f>K965+StepSize*L965</f>
        <v>134.46317409459343</v>
      </c>
      <c r="L966" s="33">
        <f>K966*Delta+I966*K966-J966*(DeathPayment-K966)</f>
        <v>-215.4683346491133</v>
      </c>
    </row>
    <row r="967" spans="1:12" x14ac:dyDescent="0.45">
      <c r="A967" s="11">
        <v>26.38</v>
      </c>
      <c r="B967" s="14">
        <v>5.6676000000000003E-4</v>
      </c>
      <c r="C967" s="15">
        <v>2.6108000000000001E-4</v>
      </c>
      <c r="F967" s="28">
        <v>9.42</v>
      </c>
      <c r="G967" s="29">
        <f t="shared" si="56"/>
        <v>64.42</v>
      </c>
      <c r="H967" s="29">
        <f t="shared" si="57"/>
        <v>59.42</v>
      </c>
      <c r="I967" s="38">
        <f t="shared" si="58"/>
        <v>1.269372E-2</v>
      </c>
      <c r="J967" s="38">
        <f t="shared" si="59"/>
        <v>4.5547799999999996E-3</v>
      </c>
      <c r="K967" s="32">
        <f>K966+StepSize*L966</f>
        <v>132.30849074810229</v>
      </c>
      <c r="L967" s="33">
        <f>K967*Delta+I967*K967-J967*(DeathPayment-K967)</f>
        <v>-215.88823941382674</v>
      </c>
    </row>
    <row r="968" spans="1:12" x14ac:dyDescent="0.45">
      <c r="A968" s="11">
        <v>26.39</v>
      </c>
      <c r="B968" s="14">
        <v>5.6678000000000002E-4</v>
      </c>
      <c r="C968" s="15">
        <v>2.6123999999999999E-4</v>
      </c>
      <c r="F968" s="28">
        <v>9.43</v>
      </c>
      <c r="G968" s="29">
        <f t="shared" si="56"/>
        <v>64.430000000000007</v>
      </c>
      <c r="H968" s="29">
        <f t="shared" si="57"/>
        <v>59.43</v>
      </c>
      <c r="I968" s="38">
        <f t="shared" si="58"/>
        <v>1.270838E-2</v>
      </c>
      <c r="J968" s="38">
        <f t="shared" si="59"/>
        <v>4.5593700000000001E-3</v>
      </c>
      <c r="K968" s="32">
        <f>K967+StepSize*L967</f>
        <v>130.14960835396403</v>
      </c>
      <c r="L968" s="33">
        <f>K968*Delta+I968*K968-J968*(DeathPayment-K968)</f>
        <v>-216.30860331985795</v>
      </c>
    </row>
    <row r="969" spans="1:12" x14ac:dyDescent="0.45">
      <c r="A969" s="11">
        <v>26.4</v>
      </c>
      <c r="B969" s="14">
        <v>5.6680000000000001E-4</v>
      </c>
      <c r="C969" s="15">
        <v>2.6140000000000001E-4</v>
      </c>
      <c r="F969" s="28">
        <v>9.44</v>
      </c>
      <c r="G969" s="29">
        <f t="shared" si="56"/>
        <v>64.44</v>
      </c>
      <c r="H969" s="29">
        <f t="shared" si="57"/>
        <v>59.44</v>
      </c>
      <c r="I969" s="38">
        <f t="shared" si="58"/>
        <v>1.272304E-2</v>
      </c>
      <c r="J969" s="38">
        <f t="shared" si="59"/>
        <v>4.5639599999999997E-3</v>
      </c>
      <c r="K969" s="32">
        <f>K968+StepSize*L968</f>
        <v>127.98652232076545</v>
      </c>
      <c r="L969" s="33">
        <f>K969*Delta+I969*K969-J969*(DeathPayment-K969)</f>
        <v>-216.72942702112755</v>
      </c>
    </row>
    <row r="970" spans="1:12" x14ac:dyDescent="0.45">
      <c r="A970" s="11">
        <v>26.41</v>
      </c>
      <c r="B970" s="14">
        <v>5.6682E-4</v>
      </c>
      <c r="C970" s="15">
        <v>2.6155999999999998E-4</v>
      </c>
      <c r="F970" s="28">
        <v>9.4499999999999993</v>
      </c>
      <c r="G970" s="29">
        <f t="shared" si="56"/>
        <v>64.45</v>
      </c>
      <c r="H970" s="29">
        <f t="shared" si="57"/>
        <v>59.45</v>
      </c>
      <c r="I970" s="38">
        <f t="shared" si="58"/>
        <v>1.2737699999999999E-2</v>
      </c>
      <c r="J970" s="38">
        <f t="shared" si="59"/>
        <v>4.5685500000000002E-3</v>
      </c>
      <c r="K970" s="32">
        <f>K969+StepSize*L969</f>
        <v>125.81922805055417</v>
      </c>
      <c r="L970" s="33">
        <f>K970*Delta+I970*K970-J970*(DeathPayment-K970)</f>
        <v>-217.15071117249619</v>
      </c>
    </row>
    <row r="971" spans="1:12" x14ac:dyDescent="0.45">
      <c r="A971" s="11">
        <v>26.42</v>
      </c>
      <c r="B971" s="14">
        <v>5.6683999999999999E-4</v>
      </c>
      <c r="C971" s="15">
        <v>2.6172000000000001E-4</v>
      </c>
      <c r="F971" s="28">
        <v>9.4600000000000009</v>
      </c>
      <c r="G971" s="29">
        <f t="shared" si="56"/>
        <v>64.459999999999994</v>
      </c>
      <c r="H971" s="29">
        <f t="shared" si="57"/>
        <v>59.46</v>
      </c>
      <c r="I971" s="38">
        <f t="shared" si="58"/>
        <v>1.2752360000000001E-2</v>
      </c>
      <c r="J971" s="38">
        <f t="shared" si="59"/>
        <v>4.5731399999999998E-3</v>
      </c>
      <c r="K971" s="32">
        <f>K970+StepSize*L970</f>
        <v>123.64772093882921</v>
      </c>
      <c r="L971" s="33">
        <f>K971*Delta+I971*K971-J971*(DeathPayment-K971)</f>
        <v>-217.57245642976517</v>
      </c>
    </row>
    <row r="972" spans="1:12" x14ac:dyDescent="0.45">
      <c r="A972" s="11">
        <v>26.43</v>
      </c>
      <c r="B972" s="14">
        <v>5.6685999999999998E-4</v>
      </c>
      <c r="C972" s="15">
        <v>2.6187999999999998E-4</v>
      </c>
      <c r="F972" s="28">
        <v>9.4700000000000006</v>
      </c>
      <c r="G972" s="29">
        <f t="shared" si="56"/>
        <v>64.47</v>
      </c>
      <c r="H972" s="29">
        <f t="shared" si="57"/>
        <v>59.47</v>
      </c>
      <c r="I972" s="38">
        <f t="shared" si="58"/>
        <v>1.276702E-2</v>
      </c>
      <c r="J972" s="38">
        <f t="shared" si="59"/>
        <v>4.5777300000000003E-3</v>
      </c>
      <c r="K972" s="32">
        <f>K971+StepSize*L971</f>
        <v>121.47199637453156</v>
      </c>
      <c r="L972" s="33">
        <f>K972*Delta+I972*K972-J972*(DeathPayment-K972)</f>
        <v>-217.9946634496788</v>
      </c>
    </row>
    <row r="973" spans="1:12" x14ac:dyDescent="0.45">
      <c r="A973" s="11">
        <v>26.44</v>
      </c>
      <c r="B973" s="14">
        <v>5.6687999999999997E-4</v>
      </c>
      <c r="C973" s="15">
        <v>2.6204000000000001E-4</v>
      </c>
      <c r="F973" s="28">
        <v>9.48</v>
      </c>
      <c r="G973" s="29">
        <f t="shared" si="56"/>
        <v>64.48</v>
      </c>
      <c r="H973" s="29">
        <f t="shared" si="57"/>
        <v>59.48</v>
      </c>
      <c r="I973" s="38">
        <f t="shared" si="58"/>
        <v>1.278168E-2</v>
      </c>
      <c r="J973" s="38">
        <f t="shared" si="59"/>
        <v>4.58232E-3</v>
      </c>
      <c r="K973" s="32">
        <f>K972+StepSize*L972</f>
        <v>119.29204974003477</v>
      </c>
      <c r="L973" s="33">
        <f>K973*Delta+I973*K973-J973*(DeathPayment-K973)</f>
        <v>-218.41733288992506</v>
      </c>
    </row>
    <row r="974" spans="1:12" x14ac:dyDescent="0.45">
      <c r="A974" s="11">
        <v>26.45</v>
      </c>
      <c r="B974" s="14">
        <v>5.6689999999999996E-4</v>
      </c>
      <c r="C974" s="15">
        <v>2.6219999999999998E-4</v>
      </c>
      <c r="F974" s="28">
        <v>9.49</v>
      </c>
      <c r="G974" s="29">
        <f t="shared" si="56"/>
        <v>64.489999999999995</v>
      </c>
      <c r="H974" s="29">
        <f t="shared" si="57"/>
        <v>59.49</v>
      </c>
      <c r="I974" s="38">
        <f t="shared" si="58"/>
        <v>1.279634E-2</v>
      </c>
      <c r="J974" s="38">
        <f t="shared" si="59"/>
        <v>4.5869099999999996E-3</v>
      </c>
      <c r="K974" s="32">
        <f>K973+StepSize*L973</f>
        <v>117.10787641113552</v>
      </c>
      <c r="L974" s="33">
        <f>K974*Delta+I974*K974-J974*(DeathPayment-K974)</f>
        <v>-218.84046540913769</v>
      </c>
    </row>
    <row r="975" spans="1:12" x14ac:dyDescent="0.45">
      <c r="A975" s="11">
        <v>26.46</v>
      </c>
      <c r="B975" s="14">
        <v>5.6692000000000005E-4</v>
      </c>
      <c r="C975" s="15">
        <v>2.6236E-4</v>
      </c>
      <c r="F975" s="28">
        <v>9.5</v>
      </c>
      <c r="G975" s="29">
        <f t="shared" si="56"/>
        <v>64.5</v>
      </c>
      <c r="H975" s="29">
        <f t="shared" si="57"/>
        <v>59.5</v>
      </c>
      <c r="I975" s="38">
        <f t="shared" si="58"/>
        <v>1.2810999999999999E-2</v>
      </c>
      <c r="J975" s="38">
        <f t="shared" si="59"/>
        <v>4.5915000000000001E-3</v>
      </c>
      <c r="K975" s="32">
        <f>K974+StepSize*L974</f>
        <v>114.91947175704415</v>
      </c>
      <c r="L975" s="33">
        <f>K975*Delta+I975*K975-J975*(DeathPayment-K975)</f>
        <v>-219.26406166689748</v>
      </c>
    </row>
    <row r="976" spans="1:12" x14ac:dyDescent="0.45">
      <c r="A976" s="11">
        <v>26.47</v>
      </c>
      <c r="B976" s="14">
        <v>5.6694000000000004E-4</v>
      </c>
      <c r="C976" s="15">
        <v>2.6251999999999997E-4</v>
      </c>
      <c r="F976" s="28">
        <v>9.51</v>
      </c>
      <c r="G976" s="29">
        <f t="shared" si="56"/>
        <v>64.510000000000005</v>
      </c>
      <c r="H976" s="29">
        <f t="shared" si="57"/>
        <v>59.51</v>
      </c>
      <c r="I976" s="38">
        <f t="shared" si="58"/>
        <v>1.2825659999999999E-2</v>
      </c>
      <c r="J976" s="38">
        <f t="shared" si="59"/>
        <v>4.5960899999999997E-3</v>
      </c>
      <c r="K976" s="32">
        <f>K975+StepSize*L975</f>
        <v>112.72683114037517</v>
      </c>
      <c r="L976" s="33">
        <f>K976*Delta+I976*K976-J976*(DeathPayment-K976)</f>
        <v>-219.68812232373344</v>
      </c>
    </row>
    <row r="977" spans="1:12" x14ac:dyDescent="0.45">
      <c r="A977" s="11">
        <v>26.48</v>
      </c>
      <c r="B977" s="14">
        <v>5.6696000000000003E-4</v>
      </c>
      <c r="C977" s="15">
        <v>2.6268E-4</v>
      </c>
      <c r="F977" s="28">
        <v>9.52</v>
      </c>
      <c r="G977" s="29">
        <f t="shared" si="56"/>
        <v>64.52</v>
      </c>
      <c r="H977" s="29">
        <f t="shared" si="57"/>
        <v>59.52</v>
      </c>
      <c r="I977" s="38">
        <f t="shared" si="58"/>
        <v>1.2840320000000001E-2</v>
      </c>
      <c r="J977" s="38">
        <f t="shared" si="59"/>
        <v>4.6006800000000002E-3</v>
      </c>
      <c r="K977" s="32">
        <f>K976+StepSize*L976</f>
        <v>110.52994991713783</v>
      </c>
      <c r="L977" s="33">
        <f>K977*Delta+I977*K977-J977*(DeathPayment-K977)</f>
        <v>-220.11264804112486</v>
      </c>
    </row>
    <row r="978" spans="1:12" x14ac:dyDescent="0.45">
      <c r="A978" s="11">
        <v>26.49</v>
      </c>
      <c r="B978" s="14">
        <v>5.6698000000000002E-4</v>
      </c>
      <c r="C978" s="15">
        <v>2.6284000000000002E-4</v>
      </c>
      <c r="F978" s="28">
        <v>9.5299999999999994</v>
      </c>
      <c r="G978" s="29">
        <f t="shared" si="56"/>
        <v>64.53</v>
      </c>
      <c r="H978" s="29">
        <f t="shared" si="57"/>
        <v>59.53</v>
      </c>
      <c r="I978" s="38">
        <f t="shared" si="58"/>
        <v>1.285498E-2</v>
      </c>
      <c r="J978" s="38">
        <f t="shared" si="59"/>
        <v>4.6052699999999998E-3</v>
      </c>
      <c r="K978" s="32">
        <f>K977+StepSize*L977</f>
        <v>108.32882343672658</v>
      </c>
      <c r="L978" s="33">
        <f>K978*Delta+I978*K978-J978*(DeathPayment-K978)</f>
        <v>-220.53763948150231</v>
      </c>
    </row>
    <row r="979" spans="1:12" x14ac:dyDescent="0.45">
      <c r="A979" s="11">
        <v>26.5</v>
      </c>
      <c r="B979" s="14">
        <v>5.6700000000000001E-4</v>
      </c>
      <c r="C979" s="15">
        <v>2.63E-4</v>
      </c>
      <c r="F979" s="28">
        <v>9.5399999999999991</v>
      </c>
      <c r="G979" s="29">
        <f t="shared" si="56"/>
        <v>64.540000000000006</v>
      </c>
      <c r="H979" s="29">
        <f t="shared" si="57"/>
        <v>59.54</v>
      </c>
      <c r="I979" s="38">
        <f t="shared" si="58"/>
        <v>1.286964E-2</v>
      </c>
      <c r="J979" s="38">
        <f t="shared" si="59"/>
        <v>4.6098600000000003E-3</v>
      </c>
      <c r="K979" s="32">
        <f>K978+StepSize*L978</f>
        <v>106.12344704191156</v>
      </c>
      <c r="L979" s="33">
        <f>K979*Delta+I979*K979-J979*(DeathPayment-K979)</f>
        <v>-220.96309730824947</v>
      </c>
    </row>
    <row r="980" spans="1:12" x14ac:dyDescent="0.45">
      <c r="A980" s="11">
        <v>26.51</v>
      </c>
      <c r="B980" s="14">
        <v>5.6702E-4</v>
      </c>
      <c r="C980" s="15">
        <v>2.6316000000000002E-4</v>
      </c>
      <c r="F980" s="28">
        <v>9.5500000000000007</v>
      </c>
      <c r="G980" s="29">
        <f t="shared" si="56"/>
        <v>64.55</v>
      </c>
      <c r="H980" s="29">
        <f t="shared" si="57"/>
        <v>59.55</v>
      </c>
      <c r="I980" s="38">
        <f t="shared" si="58"/>
        <v>1.28843E-2</v>
      </c>
      <c r="J980" s="38">
        <f t="shared" si="59"/>
        <v>4.61445E-3</v>
      </c>
      <c r="K980" s="32">
        <f>K979+StepSize*L979</f>
        <v>103.91381606882906</v>
      </c>
      <c r="L980" s="33">
        <f>K980*Delta+I980*K980-J980*(DeathPayment-K980)</f>
        <v>-221.38902218570428</v>
      </c>
    </row>
    <row r="981" spans="1:12" x14ac:dyDescent="0.45">
      <c r="A981" s="11">
        <v>26.52</v>
      </c>
      <c r="B981" s="14">
        <v>5.6703999999999999E-4</v>
      </c>
      <c r="C981" s="15">
        <v>2.6331999999999999E-4</v>
      </c>
      <c r="F981" s="28">
        <v>9.56</v>
      </c>
      <c r="G981" s="29">
        <f t="shared" si="56"/>
        <v>64.56</v>
      </c>
      <c r="H981" s="29">
        <f t="shared" si="57"/>
        <v>59.56</v>
      </c>
      <c r="I981" s="38">
        <f t="shared" si="58"/>
        <v>1.2898959999999999E-2</v>
      </c>
      <c r="J981" s="38">
        <f t="shared" si="59"/>
        <v>4.6190399999999996E-3</v>
      </c>
      <c r="K981" s="32">
        <f>K980+StepSize*L980</f>
        <v>101.69992584697202</v>
      </c>
      <c r="L981" s="33">
        <f>K981*Delta+I981*K981-J981*(DeathPayment-K981)</f>
        <v>-221.81541477916079</v>
      </c>
    </row>
    <row r="982" spans="1:12" x14ac:dyDescent="0.45">
      <c r="A982" s="11">
        <v>26.53</v>
      </c>
      <c r="B982" s="14">
        <v>5.6705999999999998E-4</v>
      </c>
      <c r="C982" s="15">
        <v>2.6348000000000002E-4</v>
      </c>
      <c r="F982" s="28">
        <v>9.57</v>
      </c>
      <c r="G982" s="29">
        <f t="shared" si="56"/>
        <v>64.569999999999993</v>
      </c>
      <c r="H982" s="29">
        <f t="shared" si="57"/>
        <v>59.57</v>
      </c>
      <c r="I982" s="38">
        <f t="shared" si="58"/>
        <v>1.2913620000000001E-2</v>
      </c>
      <c r="J982" s="38">
        <f t="shared" si="59"/>
        <v>4.6236300000000001E-3</v>
      </c>
      <c r="K982" s="32">
        <f>K981+StepSize*L981</f>
        <v>99.481771699180413</v>
      </c>
      <c r="L982" s="33">
        <f>K982*Delta+I982*K982-J982*(DeathPayment-K982)</f>
        <v>-222.24227575487049</v>
      </c>
    </row>
    <row r="983" spans="1:12" x14ac:dyDescent="0.45">
      <c r="A983" s="11">
        <v>26.54</v>
      </c>
      <c r="B983" s="14">
        <v>5.6707999999999997E-4</v>
      </c>
      <c r="C983" s="15">
        <v>2.6363999999999999E-4</v>
      </c>
      <c r="F983" s="28">
        <v>9.58</v>
      </c>
      <c r="G983" s="29">
        <f t="shared" si="56"/>
        <v>64.58</v>
      </c>
      <c r="H983" s="29">
        <f t="shared" si="57"/>
        <v>59.58</v>
      </c>
      <c r="I983" s="38">
        <f t="shared" si="58"/>
        <v>1.292828E-2</v>
      </c>
      <c r="J983" s="38">
        <f t="shared" si="59"/>
        <v>4.6282199999999997E-3</v>
      </c>
      <c r="K983" s="32">
        <f>K982+StepSize*L982</f>
        <v>97.259348941631714</v>
      </c>
      <c r="L983" s="33">
        <f>K983*Delta+I983*K983-J983*(DeathPayment-K983)</f>
        <v>-222.66960578004372</v>
      </c>
    </row>
    <row r="984" spans="1:12" x14ac:dyDescent="0.45">
      <c r="A984" s="11">
        <v>26.55</v>
      </c>
      <c r="B984" s="14">
        <v>5.6709999999999996E-4</v>
      </c>
      <c r="C984" s="15">
        <v>2.6380000000000002E-4</v>
      </c>
      <c r="F984" s="28">
        <v>9.59</v>
      </c>
      <c r="G984" s="29">
        <f t="shared" si="56"/>
        <v>64.59</v>
      </c>
      <c r="H984" s="29">
        <f t="shared" si="57"/>
        <v>59.59</v>
      </c>
      <c r="I984" s="38">
        <f t="shared" si="58"/>
        <v>1.294294E-2</v>
      </c>
      <c r="J984" s="38">
        <f t="shared" si="59"/>
        <v>4.6328100000000002E-3</v>
      </c>
      <c r="K984" s="32">
        <f>K983+StepSize*L983</f>
        <v>95.032652883831275</v>
      </c>
      <c r="L984" s="33">
        <f>K984*Delta+I984*K984-J984*(DeathPayment-K984)</f>
        <v>-223.09740552285137</v>
      </c>
    </row>
    <row r="985" spans="1:12" x14ac:dyDescent="0.45">
      <c r="A985" s="11">
        <v>26.56</v>
      </c>
      <c r="B985" s="14">
        <v>5.6711999999999995E-4</v>
      </c>
      <c r="C985" s="15">
        <v>2.6395999999999999E-4</v>
      </c>
      <c r="F985" s="28">
        <v>9.6</v>
      </c>
      <c r="G985" s="29">
        <f t="shared" ref="G985:G1025" si="60">ROUND(MaleAgeStart+F985,2)</f>
        <v>64.599999999999994</v>
      </c>
      <c r="H985" s="29">
        <f t="shared" ref="H985:H1025" si="61">ROUND(FemaleAgeStart+F985,2)</f>
        <v>59.6</v>
      </c>
      <c r="I985" s="38">
        <f t="shared" ref="I985:I1025" si="62">VLOOKUP(G985,muValues,2,FALSE)</f>
        <v>1.29576E-2</v>
      </c>
      <c r="J985" s="38">
        <f t="shared" ref="J985:J1025" si="63">VLOOKUP(H985,muValues,3,FALSE)</f>
        <v>4.6373999999999999E-3</v>
      </c>
      <c r="K985" s="32">
        <f>K984+StepSize*L984</f>
        <v>92.801678828602761</v>
      </c>
      <c r="L985" s="33">
        <f>K985*Delta+I985*K985-J985*(DeathPayment-K985)</f>
        <v>-223.5256756524262</v>
      </c>
    </row>
    <row r="986" spans="1:12" x14ac:dyDescent="0.45">
      <c r="A986" s="11">
        <v>26.57</v>
      </c>
      <c r="B986" s="14">
        <v>5.6714000000000005E-4</v>
      </c>
      <c r="C986" s="15">
        <v>2.6412000000000001E-4</v>
      </c>
      <c r="F986" s="28">
        <v>9.61</v>
      </c>
      <c r="G986" s="29">
        <f t="shared" si="60"/>
        <v>64.61</v>
      </c>
      <c r="H986" s="29">
        <f t="shared" si="61"/>
        <v>59.61</v>
      </c>
      <c r="I986" s="38">
        <f t="shared" si="62"/>
        <v>1.2972259999999999E-2</v>
      </c>
      <c r="J986" s="38">
        <f t="shared" si="63"/>
        <v>4.6419900000000004E-3</v>
      </c>
      <c r="K986" s="32">
        <f>K985+StepSize*L985</f>
        <v>90.566422072078495</v>
      </c>
      <c r="L986" s="33">
        <f>K986*Delta+I986*K986-J986*(DeathPayment-K986)</f>
        <v>-223.95441683886455</v>
      </c>
    </row>
    <row r="987" spans="1:12" x14ac:dyDescent="0.45">
      <c r="A987" s="11">
        <v>26.58</v>
      </c>
      <c r="B987" s="14">
        <v>5.6716000000000004E-4</v>
      </c>
      <c r="C987" s="15">
        <v>2.6427999999999998E-4</v>
      </c>
      <c r="F987" s="28">
        <v>9.6199999999999992</v>
      </c>
      <c r="G987" s="29">
        <f t="shared" si="60"/>
        <v>64.62</v>
      </c>
      <c r="H987" s="29">
        <f t="shared" si="61"/>
        <v>59.62</v>
      </c>
      <c r="I987" s="38">
        <f t="shared" si="62"/>
        <v>1.2986920000000001E-2</v>
      </c>
      <c r="J987" s="38">
        <f t="shared" si="63"/>
        <v>4.64658E-3</v>
      </c>
      <c r="K987" s="32">
        <f>K986+StepSize*L986</f>
        <v>88.326877903689848</v>
      </c>
      <c r="L987" s="33">
        <f>K987*Delta+I987*K987-J987*(DeathPayment-K987)</f>
        <v>-224.38362975322758</v>
      </c>
    </row>
    <row r="988" spans="1:12" x14ac:dyDescent="0.45">
      <c r="A988" s="11">
        <v>26.59</v>
      </c>
      <c r="B988" s="14">
        <v>5.6718000000000003E-4</v>
      </c>
      <c r="C988" s="15">
        <v>2.6444000000000001E-4</v>
      </c>
      <c r="F988" s="28">
        <v>9.6300000000000008</v>
      </c>
      <c r="G988" s="29">
        <f t="shared" si="60"/>
        <v>64.63</v>
      </c>
      <c r="H988" s="29">
        <f t="shared" si="61"/>
        <v>59.63</v>
      </c>
      <c r="I988" s="38">
        <f t="shared" si="62"/>
        <v>1.300158E-2</v>
      </c>
      <c r="J988" s="38">
        <f t="shared" si="63"/>
        <v>4.6511699999999996E-3</v>
      </c>
      <c r="K988" s="32">
        <f>K987+StepSize*L987</f>
        <v>86.083041606157579</v>
      </c>
      <c r="L988" s="33">
        <f>K988*Delta+I988*K988-J988*(DeathPayment-K988)</f>
        <v>-224.81331506754307</v>
      </c>
    </row>
    <row r="989" spans="1:12" x14ac:dyDescent="0.45">
      <c r="A989" s="11">
        <v>26.6</v>
      </c>
      <c r="B989" s="14">
        <v>5.6720000000000002E-4</v>
      </c>
      <c r="C989" s="15">
        <v>2.6459999999999998E-4</v>
      </c>
      <c r="F989" s="28">
        <v>9.64</v>
      </c>
      <c r="G989" s="29">
        <f t="shared" si="60"/>
        <v>64.64</v>
      </c>
      <c r="H989" s="29">
        <f t="shared" si="61"/>
        <v>59.64</v>
      </c>
      <c r="I989" s="38">
        <f t="shared" si="62"/>
        <v>1.301624E-2</v>
      </c>
      <c r="J989" s="38">
        <f t="shared" si="63"/>
        <v>4.6557600000000001E-3</v>
      </c>
      <c r="K989" s="32">
        <f>K988+StepSize*L988</f>
        <v>83.83490845548215</v>
      </c>
      <c r="L989" s="33">
        <f>K989*Delta+I989*K989-J989*(DeathPayment-K989)</f>
        <v>-225.24347345480689</v>
      </c>
    </row>
    <row r="990" spans="1:12" x14ac:dyDescent="0.45">
      <c r="A990" s="11">
        <v>26.61</v>
      </c>
      <c r="B990" s="14">
        <v>5.6722000000000001E-4</v>
      </c>
      <c r="C990" s="15">
        <v>2.6476000000000001E-4</v>
      </c>
      <c r="F990" s="28">
        <v>9.65</v>
      </c>
      <c r="G990" s="29">
        <f t="shared" si="60"/>
        <v>64.650000000000006</v>
      </c>
      <c r="H990" s="29">
        <f t="shared" si="61"/>
        <v>59.65</v>
      </c>
      <c r="I990" s="38">
        <f t="shared" si="62"/>
        <v>1.30309E-2</v>
      </c>
      <c r="J990" s="38">
        <f t="shared" si="63"/>
        <v>4.6603499999999997E-3</v>
      </c>
      <c r="K990" s="32">
        <f>K989+StepSize*L989</f>
        <v>81.582473720934075</v>
      </c>
      <c r="L990" s="33">
        <f>K990*Delta+I990*K990-J990*(DeathPayment-K990)</f>
        <v>-225.6741055889841</v>
      </c>
    </row>
    <row r="991" spans="1:12" x14ac:dyDescent="0.45">
      <c r="A991" s="11">
        <v>26.62</v>
      </c>
      <c r="B991" s="14">
        <v>5.6724E-4</v>
      </c>
      <c r="C991" s="15">
        <v>2.6491999999999998E-4</v>
      </c>
      <c r="F991" s="28">
        <v>9.66</v>
      </c>
      <c r="G991" s="29">
        <f t="shared" si="60"/>
        <v>64.66</v>
      </c>
      <c r="H991" s="29">
        <f t="shared" si="61"/>
        <v>59.66</v>
      </c>
      <c r="I991" s="38">
        <f t="shared" si="62"/>
        <v>1.3045559999999999E-2</v>
      </c>
      <c r="J991" s="38">
        <f t="shared" si="63"/>
        <v>4.6649400000000002E-3</v>
      </c>
      <c r="K991" s="32">
        <f>K990+StepSize*L990</f>
        <v>79.325732665044228</v>
      </c>
      <c r="L991" s="33">
        <f>K991*Delta+I991*K991-J991*(DeathPayment-K991)</f>
        <v>-226.10521214501119</v>
      </c>
    </row>
    <row r="992" spans="1:12" x14ac:dyDescent="0.45">
      <c r="A992" s="11">
        <v>26.63</v>
      </c>
      <c r="B992" s="14">
        <v>5.6725999999999999E-4</v>
      </c>
      <c r="C992" s="15">
        <v>2.6508E-4</v>
      </c>
      <c r="F992" s="28">
        <v>9.67</v>
      </c>
      <c r="G992" s="29">
        <f t="shared" si="60"/>
        <v>64.67</v>
      </c>
      <c r="H992" s="29">
        <f t="shared" si="61"/>
        <v>59.67</v>
      </c>
      <c r="I992" s="38">
        <f t="shared" si="62"/>
        <v>1.3060220000000001E-2</v>
      </c>
      <c r="J992" s="38">
        <f t="shared" si="63"/>
        <v>4.6695299999999999E-3</v>
      </c>
      <c r="K992" s="32">
        <f>K991+StepSize*L991</f>
        <v>77.064680543594122</v>
      </c>
      <c r="L992" s="33">
        <f>K992*Delta+I992*K992-J992*(DeathPayment-K992)</f>
        <v>-226.53679379879694</v>
      </c>
    </row>
    <row r="993" spans="1:12" x14ac:dyDescent="0.45">
      <c r="A993" s="11">
        <v>26.64</v>
      </c>
      <c r="B993" s="14">
        <v>5.6727999999999998E-4</v>
      </c>
      <c r="C993" s="15">
        <v>2.6523999999999997E-4</v>
      </c>
      <c r="F993" s="28">
        <v>9.68</v>
      </c>
      <c r="G993" s="29">
        <f t="shared" si="60"/>
        <v>64.680000000000007</v>
      </c>
      <c r="H993" s="29">
        <f t="shared" si="61"/>
        <v>59.68</v>
      </c>
      <c r="I993" s="38">
        <f t="shared" si="62"/>
        <v>1.3074880000000001E-2</v>
      </c>
      <c r="J993" s="38">
        <f t="shared" si="63"/>
        <v>4.6741200000000004E-3</v>
      </c>
      <c r="K993" s="32">
        <f>K992+StepSize*L992</f>
        <v>74.799312605606147</v>
      </c>
      <c r="L993" s="33">
        <f>K993*Delta+I993*K993-J993*(DeathPayment-K993)</f>
        <v>-226.96885122722443</v>
      </c>
    </row>
    <row r="994" spans="1:12" x14ac:dyDescent="0.45">
      <c r="A994" s="11">
        <v>26.65</v>
      </c>
      <c r="B994" s="14">
        <v>5.6729999999999997E-4</v>
      </c>
      <c r="C994" s="15">
        <v>2.654E-4</v>
      </c>
      <c r="F994" s="28">
        <v>9.69</v>
      </c>
      <c r="G994" s="29">
        <f t="shared" si="60"/>
        <v>64.69</v>
      </c>
      <c r="H994" s="29">
        <f t="shared" si="61"/>
        <v>59.69</v>
      </c>
      <c r="I994" s="38">
        <f t="shared" si="62"/>
        <v>1.308954E-2</v>
      </c>
      <c r="J994" s="38">
        <f t="shared" si="63"/>
        <v>4.67871E-3</v>
      </c>
      <c r="K994" s="32">
        <f>K993+StepSize*L993</f>
        <v>72.529624093333908</v>
      </c>
      <c r="L994" s="33">
        <f>K994*Delta+I994*K994-J994*(DeathPayment-K994)</f>
        <v>-227.40138510815214</v>
      </c>
    </row>
    <row r="995" spans="1:12" x14ac:dyDescent="0.45">
      <c r="A995" s="11">
        <v>26.66</v>
      </c>
      <c r="B995" s="14">
        <v>5.6731999999999996E-4</v>
      </c>
      <c r="C995" s="15">
        <v>2.6556000000000003E-4</v>
      </c>
      <c r="F995" s="28">
        <v>9.6999999999999993</v>
      </c>
      <c r="G995" s="29">
        <f t="shared" si="60"/>
        <v>64.7</v>
      </c>
      <c r="H995" s="29">
        <f t="shared" si="61"/>
        <v>59.7</v>
      </c>
      <c r="I995" s="38">
        <f t="shared" si="62"/>
        <v>1.31042E-2</v>
      </c>
      <c r="J995" s="38">
        <f t="shared" si="63"/>
        <v>4.6832999999999996E-3</v>
      </c>
      <c r="K995" s="32">
        <f>K994+StepSize*L994</f>
        <v>70.255610242252388</v>
      </c>
      <c r="L995" s="33">
        <f>K995*Delta+I995*K995-J995*(DeathPayment-K995)</f>
        <v>-227.83439612041587</v>
      </c>
    </row>
    <row r="996" spans="1:12" x14ac:dyDescent="0.45">
      <c r="A996" s="11">
        <v>26.67</v>
      </c>
      <c r="B996" s="14">
        <v>5.6734000000000005E-4</v>
      </c>
      <c r="C996" s="15">
        <v>2.6572E-4</v>
      </c>
      <c r="F996" s="28">
        <v>9.7100000000000009</v>
      </c>
      <c r="G996" s="29">
        <f t="shared" si="60"/>
        <v>64.709999999999994</v>
      </c>
      <c r="H996" s="29">
        <f t="shared" si="61"/>
        <v>59.71</v>
      </c>
      <c r="I996" s="38">
        <f t="shared" si="62"/>
        <v>1.311886E-2</v>
      </c>
      <c r="J996" s="38">
        <f t="shared" si="63"/>
        <v>4.6878900000000001E-3</v>
      </c>
      <c r="K996" s="32">
        <f>K995+StepSize*L995</f>
        <v>67.97726628104823</v>
      </c>
      <c r="L996" s="33">
        <f>K996*Delta+I996*K996-J996*(DeathPayment-K996)</f>
        <v>-228.26788494383013</v>
      </c>
    </row>
    <row r="997" spans="1:12" x14ac:dyDescent="0.45">
      <c r="A997" s="11">
        <v>26.68</v>
      </c>
      <c r="B997" s="14">
        <v>5.6736000000000004E-4</v>
      </c>
      <c r="C997" s="15">
        <v>2.6588000000000002E-4</v>
      </c>
      <c r="F997" s="28">
        <v>9.7200000000000006</v>
      </c>
      <c r="G997" s="29">
        <f t="shared" si="60"/>
        <v>64.72</v>
      </c>
      <c r="H997" s="29">
        <f t="shared" si="61"/>
        <v>59.72</v>
      </c>
      <c r="I997" s="38">
        <f t="shared" si="62"/>
        <v>1.3133519999999999E-2</v>
      </c>
      <c r="J997" s="38">
        <f t="shared" si="63"/>
        <v>4.6924799999999997E-3</v>
      </c>
      <c r="K997" s="32">
        <f>K996+StepSize*L996</f>
        <v>65.694587431609932</v>
      </c>
      <c r="L997" s="33">
        <f>K997*Delta+I997*K997-J997*(DeathPayment-K997)</f>
        <v>-228.70185225918951</v>
      </c>
    </row>
    <row r="998" spans="1:12" x14ac:dyDescent="0.45">
      <c r="A998" s="11">
        <v>26.69</v>
      </c>
      <c r="B998" s="14">
        <v>5.6738000000000003E-4</v>
      </c>
      <c r="C998" s="15">
        <v>2.6603999999999999E-4</v>
      </c>
      <c r="F998" s="28">
        <v>9.73</v>
      </c>
      <c r="G998" s="29">
        <f t="shared" si="60"/>
        <v>64.73</v>
      </c>
      <c r="H998" s="29">
        <f t="shared" si="61"/>
        <v>59.73</v>
      </c>
      <c r="I998" s="38">
        <f t="shared" si="62"/>
        <v>1.3148180000000001E-2</v>
      </c>
      <c r="J998" s="38">
        <f t="shared" si="63"/>
        <v>4.6970700000000002E-3</v>
      </c>
      <c r="K998" s="32">
        <f>K997+StepSize*L997</f>
        <v>63.407568909018039</v>
      </c>
      <c r="L998" s="33">
        <f>K998*Delta+I998*K998-J998*(DeathPayment-K998)</f>
        <v>-229.13629874827043</v>
      </c>
    </row>
    <row r="999" spans="1:12" x14ac:dyDescent="0.45">
      <c r="A999" s="11">
        <v>26.7</v>
      </c>
      <c r="B999" s="14">
        <v>5.6740000000000002E-4</v>
      </c>
      <c r="C999" s="15">
        <v>2.6620000000000002E-4</v>
      </c>
      <c r="F999" s="28">
        <v>9.74</v>
      </c>
      <c r="G999" s="29">
        <f t="shared" si="60"/>
        <v>64.739999999999995</v>
      </c>
      <c r="H999" s="29">
        <f t="shared" si="61"/>
        <v>59.74</v>
      </c>
      <c r="I999" s="38">
        <f t="shared" si="62"/>
        <v>1.316284E-2</v>
      </c>
      <c r="J999" s="38">
        <f t="shared" si="63"/>
        <v>4.7016599999999999E-3</v>
      </c>
      <c r="K999" s="32">
        <f>K998+StepSize*L998</f>
        <v>61.116205921535332</v>
      </c>
      <c r="L999" s="33">
        <f>K999*Delta+I999*K999-J999*(DeathPayment-K999)</f>
        <v>-229.57122509383262</v>
      </c>
    </row>
    <row r="1000" spans="1:12" x14ac:dyDescent="0.45">
      <c r="A1000" s="11">
        <v>26.71</v>
      </c>
      <c r="B1000" s="14">
        <v>5.6742000000000001E-4</v>
      </c>
      <c r="C1000" s="15">
        <v>2.6635999999999999E-4</v>
      </c>
      <c r="F1000" s="28">
        <v>9.75</v>
      </c>
      <c r="G1000" s="29">
        <f t="shared" si="60"/>
        <v>64.75</v>
      </c>
      <c r="H1000" s="29">
        <f t="shared" si="61"/>
        <v>59.75</v>
      </c>
      <c r="I1000" s="38">
        <f t="shared" si="62"/>
        <v>1.31775E-2</v>
      </c>
      <c r="J1000" s="38">
        <f t="shared" si="63"/>
        <v>4.7062500000000004E-3</v>
      </c>
      <c r="K1000" s="32">
        <f>K999+StepSize*L999</f>
        <v>58.820493670597003</v>
      </c>
      <c r="L1000" s="33">
        <f>K1000*Delta+I1000*K1000-J1000*(DeathPayment-K1000)</f>
        <v>-230.00663197962072</v>
      </c>
    </row>
    <row r="1001" spans="1:12" x14ac:dyDescent="0.45">
      <c r="A1001" s="11">
        <v>26.72</v>
      </c>
      <c r="B1001" s="14">
        <v>5.6744E-4</v>
      </c>
      <c r="C1001" s="15">
        <v>2.6652000000000002E-4</v>
      </c>
      <c r="F1001" s="28">
        <v>9.76</v>
      </c>
      <c r="G1001" s="29">
        <f t="shared" si="60"/>
        <v>64.760000000000005</v>
      </c>
      <c r="H1001" s="29">
        <f t="shared" si="61"/>
        <v>59.76</v>
      </c>
      <c r="I1001" s="38">
        <f t="shared" si="62"/>
        <v>1.319216E-2</v>
      </c>
      <c r="J1001" s="38">
        <f t="shared" si="63"/>
        <v>4.71084E-3</v>
      </c>
      <c r="K1001" s="32">
        <f>K1000+StepSize*L1000</f>
        <v>56.520427350800794</v>
      </c>
      <c r="L1001" s="33">
        <f>K1001*Delta+I1001*K1001-J1001*(DeathPayment-K1001)</f>
        <v>-230.44252009036552</v>
      </c>
    </row>
    <row r="1002" spans="1:12" x14ac:dyDescent="0.45">
      <c r="A1002" s="11">
        <v>26.73</v>
      </c>
      <c r="B1002" s="14">
        <v>5.6745999999999999E-4</v>
      </c>
      <c r="C1002" s="15">
        <v>2.6667999999999999E-4</v>
      </c>
      <c r="F1002" s="28">
        <v>9.77</v>
      </c>
      <c r="G1002" s="29">
        <f t="shared" si="60"/>
        <v>64.77</v>
      </c>
      <c r="H1002" s="29">
        <f t="shared" si="61"/>
        <v>59.77</v>
      </c>
      <c r="I1002" s="38">
        <f t="shared" si="62"/>
        <v>1.3206819999999999E-2</v>
      </c>
      <c r="J1002" s="38">
        <f t="shared" si="63"/>
        <v>4.7154299999999996E-3</v>
      </c>
      <c r="K1002" s="32">
        <f>K1001+StepSize*L1001</f>
        <v>54.216002149897136</v>
      </c>
      <c r="L1002" s="33">
        <f>K1002*Delta+I1002*K1002-J1002*(DeathPayment-K1002)</f>
        <v>-230.87889011178598</v>
      </c>
    </row>
    <row r="1003" spans="1:12" x14ac:dyDescent="0.45">
      <c r="A1003" s="11">
        <v>26.74</v>
      </c>
      <c r="B1003" s="14">
        <v>5.6747999999999998E-4</v>
      </c>
      <c r="C1003" s="15">
        <v>2.6684000000000001E-4</v>
      </c>
      <c r="F1003" s="28">
        <v>9.7799999999999994</v>
      </c>
      <c r="G1003" s="29">
        <f t="shared" si="60"/>
        <v>64.78</v>
      </c>
      <c r="H1003" s="29">
        <f t="shared" si="61"/>
        <v>59.78</v>
      </c>
      <c r="I1003" s="38">
        <f t="shared" si="62"/>
        <v>1.3221480000000001E-2</v>
      </c>
      <c r="J1003" s="38">
        <f t="shared" si="63"/>
        <v>4.7200200000000001E-3</v>
      </c>
      <c r="K1003" s="32">
        <f>K1002+StepSize*L1002</f>
        <v>51.907213248779279</v>
      </c>
      <c r="L1003" s="33">
        <f>K1003*Delta+I1003*K1003-J1003*(DeathPayment-K1003)</f>
        <v>-231.31574273059059</v>
      </c>
    </row>
    <row r="1004" spans="1:12" x14ac:dyDescent="0.45">
      <c r="A1004" s="11">
        <v>26.75</v>
      </c>
      <c r="B1004" s="14">
        <v>5.6749999999999997E-4</v>
      </c>
      <c r="C1004" s="15">
        <v>2.6699999999999998E-4</v>
      </c>
      <c r="F1004" s="28">
        <v>9.7899999999999991</v>
      </c>
      <c r="G1004" s="29">
        <f t="shared" si="60"/>
        <v>64.790000000000006</v>
      </c>
      <c r="H1004" s="29">
        <f t="shared" si="61"/>
        <v>59.79</v>
      </c>
      <c r="I1004" s="38">
        <f t="shared" si="62"/>
        <v>1.323614E-2</v>
      </c>
      <c r="J1004" s="38">
        <f t="shared" si="63"/>
        <v>4.7246099999999997E-3</v>
      </c>
      <c r="K1004" s="32">
        <f>K1003+StepSize*L1003</f>
        <v>49.594055821473376</v>
      </c>
      <c r="L1004" s="33">
        <f>K1004*Delta+I1004*K1004-J1004*(DeathPayment-K1004)</f>
        <v>-231.75307863447858</v>
      </c>
    </row>
    <row r="1005" spans="1:12" x14ac:dyDescent="0.45">
      <c r="A1005" s="11">
        <v>26.76</v>
      </c>
      <c r="B1005" s="14">
        <v>5.6751999999999996E-4</v>
      </c>
      <c r="C1005" s="15">
        <v>2.6716000000000001E-4</v>
      </c>
      <c r="F1005" s="28">
        <v>9.8000000000000007</v>
      </c>
      <c r="G1005" s="29">
        <f t="shared" si="60"/>
        <v>64.8</v>
      </c>
      <c r="H1005" s="29">
        <f t="shared" si="61"/>
        <v>59.8</v>
      </c>
      <c r="I1005" s="38">
        <f t="shared" si="62"/>
        <v>1.32508E-2</v>
      </c>
      <c r="J1005" s="38">
        <f t="shared" si="63"/>
        <v>4.7292000000000002E-3</v>
      </c>
      <c r="K1005" s="32">
        <f>K1004+StepSize*L1004</f>
        <v>47.276525035128593</v>
      </c>
      <c r="L1005" s="33">
        <f>K1005*Delta+I1005*K1005-J1005*(DeathPayment-K1005)</f>
        <v>-232.19089851214213</v>
      </c>
    </row>
    <row r="1006" spans="1:12" x14ac:dyDescent="0.45">
      <c r="A1006" s="11">
        <v>26.77</v>
      </c>
      <c r="B1006" s="14">
        <v>5.6753999999999995E-4</v>
      </c>
      <c r="C1006" s="15">
        <v>2.6731999999999998E-4</v>
      </c>
      <c r="F1006" s="28">
        <v>9.81</v>
      </c>
      <c r="G1006" s="29">
        <f t="shared" si="60"/>
        <v>64.81</v>
      </c>
      <c r="H1006" s="29">
        <f t="shared" si="61"/>
        <v>59.81</v>
      </c>
      <c r="I1006" s="38">
        <f t="shared" si="62"/>
        <v>1.326546E-2</v>
      </c>
      <c r="J1006" s="38">
        <f t="shared" si="63"/>
        <v>4.7337899999999999E-3</v>
      </c>
      <c r="K1006" s="32">
        <f>K1005+StepSize*L1005</f>
        <v>44.954616050007175</v>
      </c>
      <c r="L1006" s="33">
        <f>K1006*Delta+I1006*K1006-J1006*(DeathPayment-K1006)</f>
        <v>-232.6292030532673</v>
      </c>
    </row>
    <row r="1007" spans="1:12" x14ac:dyDescent="0.45">
      <c r="A1007" s="11">
        <v>26.78</v>
      </c>
      <c r="B1007" s="14">
        <v>5.6756000000000005E-4</v>
      </c>
      <c r="C1007" s="15">
        <v>2.6748000000000001E-4</v>
      </c>
      <c r="F1007" s="28">
        <v>9.82</v>
      </c>
      <c r="G1007" s="29">
        <f t="shared" si="60"/>
        <v>64.819999999999993</v>
      </c>
      <c r="H1007" s="29">
        <f t="shared" si="61"/>
        <v>59.82</v>
      </c>
      <c r="I1007" s="38">
        <f t="shared" si="62"/>
        <v>1.3280119999999999E-2</v>
      </c>
      <c r="J1007" s="38">
        <f t="shared" si="63"/>
        <v>4.7383800000000004E-3</v>
      </c>
      <c r="K1007" s="32">
        <f>K1006+StepSize*L1006</f>
        <v>42.628324019474505</v>
      </c>
      <c r="L1007" s="33">
        <f>K1007*Delta+I1007*K1007-J1007*(DeathPayment-K1007)</f>
        <v>-233.06799294853604</v>
      </c>
    </row>
    <row r="1008" spans="1:12" x14ac:dyDescent="0.45">
      <c r="A1008" s="11">
        <v>26.79</v>
      </c>
      <c r="B1008" s="14">
        <v>5.6758000000000004E-4</v>
      </c>
      <c r="C1008" s="15">
        <v>2.6763999999999998E-4</v>
      </c>
      <c r="F1008" s="28">
        <v>9.83</v>
      </c>
      <c r="G1008" s="29">
        <f t="shared" si="60"/>
        <v>64.83</v>
      </c>
      <c r="H1008" s="29">
        <f t="shared" si="61"/>
        <v>59.83</v>
      </c>
      <c r="I1008" s="38">
        <f t="shared" si="62"/>
        <v>1.3294780000000001E-2</v>
      </c>
      <c r="J1008" s="38">
        <f t="shared" si="63"/>
        <v>4.74297E-3</v>
      </c>
      <c r="K1008" s="32">
        <f>K1007+StepSize*L1007</f>
        <v>40.297644089989141</v>
      </c>
      <c r="L1008" s="33">
        <f>K1008*Delta+I1008*K1008-J1008*(DeathPayment-K1008)</f>
        <v>-233.50726888962748</v>
      </c>
    </row>
    <row r="1009" spans="1:12" x14ac:dyDescent="0.45">
      <c r="A1009" s="11">
        <v>26.8</v>
      </c>
      <c r="B1009" s="14">
        <v>5.6760000000000003E-4</v>
      </c>
      <c r="C1009" s="15">
        <v>2.678E-4</v>
      </c>
      <c r="F1009" s="28">
        <v>9.84</v>
      </c>
      <c r="G1009" s="29">
        <f t="shared" si="60"/>
        <v>64.84</v>
      </c>
      <c r="H1009" s="29">
        <f t="shared" si="61"/>
        <v>59.84</v>
      </c>
      <c r="I1009" s="38">
        <f t="shared" si="62"/>
        <v>1.3309440000000001E-2</v>
      </c>
      <c r="J1009" s="38">
        <f t="shared" si="63"/>
        <v>4.7475599999999996E-3</v>
      </c>
      <c r="K1009" s="32">
        <f>K1008+StepSize*L1008</f>
        <v>37.962571401092866</v>
      </c>
      <c r="L1009" s="33">
        <f>K1009*Delta+I1009*K1009-J1009*(DeathPayment-K1009)</f>
        <v>-233.94703156921963</v>
      </c>
    </row>
    <row r="1010" spans="1:12" x14ac:dyDescent="0.45">
      <c r="A1010" s="11">
        <v>26.81</v>
      </c>
      <c r="B1010" s="14">
        <v>5.6762000000000002E-4</v>
      </c>
      <c r="C1010" s="15">
        <v>2.6795999999999998E-4</v>
      </c>
      <c r="F1010" s="28">
        <v>9.85</v>
      </c>
      <c r="G1010" s="29">
        <f t="shared" si="60"/>
        <v>64.849999999999994</v>
      </c>
      <c r="H1010" s="29">
        <f t="shared" si="61"/>
        <v>59.85</v>
      </c>
      <c r="I1010" s="38">
        <f t="shared" si="62"/>
        <v>1.33241E-2</v>
      </c>
      <c r="J1010" s="38">
        <f t="shared" si="63"/>
        <v>4.7521500000000001E-3</v>
      </c>
      <c r="K1010" s="32">
        <f>K1009+StepSize*L1009</f>
        <v>35.62310108540067</v>
      </c>
      <c r="L1010" s="33">
        <f>K1010*Delta+I1010*K1010-J1010*(DeathPayment-K1010)</f>
        <v>-234.38728168099095</v>
      </c>
    </row>
    <row r="1011" spans="1:12" x14ac:dyDescent="0.45">
      <c r="A1011" s="11">
        <v>26.82</v>
      </c>
      <c r="B1011" s="14">
        <v>5.6764000000000001E-4</v>
      </c>
      <c r="C1011" s="15">
        <v>2.6812E-4</v>
      </c>
      <c r="F1011" s="28">
        <v>9.86</v>
      </c>
      <c r="G1011" s="29">
        <f t="shared" si="60"/>
        <v>64.86</v>
      </c>
      <c r="H1011" s="29">
        <f t="shared" si="61"/>
        <v>59.86</v>
      </c>
      <c r="I1011" s="38">
        <f t="shared" si="62"/>
        <v>1.333876E-2</v>
      </c>
      <c r="J1011" s="38">
        <f t="shared" si="63"/>
        <v>4.7567399999999998E-3</v>
      </c>
      <c r="K1011" s="32">
        <f>K1010+StepSize*L1010</f>
        <v>33.279228268590757</v>
      </c>
      <c r="L1011" s="33">
        <f>K1011*Delta+I1011*K1011-J1011*(DeathPayment-K1011)</f>
        <v>-234.82801991962182</v>
      </c>
    </row>
    <row r="1012" spans="1:12" x14ac:dyDescent="0.45">
      <c r="A1012" s="11">
        <v>26.83</v>
      </c>
      <c r="B1012" s="14">
        <v>5.6766E-4</v>
      </c>
      <c r="C1012" s="15">
        <v>2.6828000000000003E-4</v>
      </c>
      <c r="F1012" s="28">
        <v>9.8699999999999992</v>
      </c>
      <c r="G1012" s="29">
        <f t="shared" si="60"/>
        <v>64.87</v>
      </c>
      <c r="H1012" s="29">
        <f t="shared" si="61"/>
        <v>59.87</v>
      </c>
      <c r="I1012" s="38">
        <f t="shared" si="62"/>
        <v>1.335342E-2</v>
      </c>
      <c r="J1012" s="38">
        <f t="shared" si="63"/>
        <v>4.7613300000000002E-3</v>
      </c>
      <c r="K1012" s="32">
        <f>K1011+StepSize*L1011</f>
        <v>30.930948069394539</v>
      </c>
      <c r="L1012" s="33">
        <f>K1012*Delta+I1012*K1012-J1012*(DeathPayment-K1012)</f>
        <v>-235.26924698079628</v>
      </c>
    </row>
    <row r="1013" spans="1:12" x14ac:dyDescent="0.45">
      <c r="A1013" s="11">
        <v>26.84</v>
      </c>
      <c r="B1013" s="14">
        <v>5.6767999999999999E-4</v>
      </c>
      <c r="C1013" s="15">
        <v>2.6844E-4</v>
      </c>
      <c r="F1013" s="28">
        <v>9.8800000000000008</v>
      </c>
      <c r="G1013" s="29">
        <f t="shared" si="60"/>
        <v>64.88</v>
      </c>
      <c r="H1013" s="29">
        <f t="shared" si="61"/>
        <v>59.88</v>
      </c>
      <c r="I1013" s="38">
        <f t="shared" si="62"/>
        <v>1.3368079999999999E-2</v>
      </c>
      <c r="J1013" s="38">
        <f t="shared" si="63"/>
        <v>4.7659199999999999E-3</v>
      </c>
      <c r="K1013" s="32">
        <f>K1012+StepSize*L1012</f>
        <v>28.578255599586576</v>
      </c>
      <c r="L1013" s="33">
        <f>K1013*Delta+I1013*K1013-J1013*(DeathPayment-K1013)</f>
        <v>-235.7109635612033</v>
      </c>
    </row>
    <row r="1014" spans="1:12" x14ac:dyDescent="0.45">
      <c r="A1014" s="11">
        <v>26.85</v>
      </c>
      <c r="B1014" s="14">
        <v>5.6769999999999998E-4</v>
      </c>
      <c r="C1014" s="15">
        <v>2.6860000000000002E-4</v>
      </c>
      <c r="F1014" s="28">
        <v>9.89</v>
      </c>
      <c r="G1014" s="29">
        <f t="shared" si="60"/>
        <v>64.89</v>
      </c>
      <c r="H1014" s="29">
        <f t="shared" si="61"/>
        <v>59.89</v>
      </c>
      <c r="I1014" s="38">
        <f t="shared" si="62"/>
        <v>1.3382740000000001E-2</v>
      </c>
      <c r="J1014" s="38">
        <f t="shared" si="63"/>
        <v>4.7705100000000004E-3</v>
      </c>
      <c r="K1014" s="32">
        <f>K1013+StepSize*L1013</f>
        <v>26.221145963974543</v>
      </c>
      <c r="L1014" s="33">
        <f>K1014*Delta+I1014*K1014-J1014*(DeathPayment-K1014)</f>
        <v>-236.15317035853892</v>
      </c>
    </row>
    <row r="1015" spans="1:12" x14ac:dyDescent="0.45">
      <c r="A1015" s="11">
        <v>26.86</v>
      </c>
      <c r="B1015" s="14">
        <v>5.6771999999999997E-4</v>
      </c>
      <c r="C1015" s="15">
        <v>2.6875999999999999E-4</v>
      </c>
      <c r="F1015" s="28">
        <v>9.9</v>
      </c>
      <c r="G1015" s="29">
        <f t="shared" si="60"/>
        <v>64.900000000000006</v>
      </c>
      <c r="H1015" s="29">
        <f t="shared" si="61"/>
        <v>59.9</v>
      </c>
      <c r="I1015" s="38">
        <f t="shared" si="62"/>
        <v>1.33974E-2</v>
      </c>
      <c r="J1015" s="38">
        <f t="shared" si="63"/>
        <v>4.7751E-3</v>
      </c>
      <c r="K1015" s="32">
        <f>K1014+StepSize*L1014</f>
        <v>23.859614260389154</v>
      </c>
      <c r="L1015" s="33">
        <f>K1015*Delta+I1015*K1015-J1015*(DeathPayment-K1015)</f>
        <v>-236.59586807150708</v>
      </c>
    </row>
    <row r="1016" spans="1:12" x14ac:dyDescent="0.45">
      <c r="A1016" s="11">
        <v>26.87</v>
      </c>
      <c r="B1016" s="14">
        <v>5.6773999999999995E-4</v>
      </c>
      <c r="C1016" s="15">
        <v>2.6892000000000002E-4</v>
      </c>
      <c r="F1016" s="28">
        <v>9.91</v>
      </c>
      <c r="G1016" s="29">
        <f t="shared" si="60"/>
        <v>64.91</v>
      </c>
      <c r="H1016" s="29">
        <f t="shared" si="61"/>
        <v>59.91</v>
      </c>
      <c r="I1016" s="38">
        <f t="shared" si="62"/>
        <v>1.341206E-2</v>
      </c>
      <c r="J1016" s="38">
        <f t="shared" si="63"/>
        <v>4.7796899999999996E-3</v>
      </c>
      <c r="K1016" s="32">
        <f>K1015+StepSize*L1015</f>
        <v>21.493655579674083</v>
      </c>
      <c r="L1016" s="33">
        <f>K1016*Delta+I1016*K1016-J1016*(DeathPayment-K1016)</f>
        <v>-237.03905739982181</v>
      </c>
    </row>
    <row r="1017" spans="1:12" x14ac:dyDescent="0.45">
      <c r="A1017" s="11">
        <v>26.88</v>
      </c>
      <c r="B1017" s="14">
        <v>5.6776000000000005E-4</v>
      </c>
      <c r="C1017" s="15">
        <v>2.6907999999999999E-4</v>
      </c>
      <c r="F1017" s="28">
        <v>9.92</v>
      </c>
      <c r="G1017" s="29">
        <f t="shared" si="60"/>
        <v>64.92</v>
      </c>
      <c r="H1017" s="29">
        <f t="shared" si="61"/>
        <v>59.92</v>
      </c>
      <c r="I1017" s="38">
        <f t="shared" si="62"/>
        <v>1.342672E-2</v>
      </c>
      <c r="J1017" s="38">
        <f t="shared" si="63"/>
        <v>4.7842800000000001E-3</v>
      </c>
      <c r="K1017" s="32">
        <f>K1016+StepSize*L1016</f>
        <v>19.123265005675865</v>
      </c>
      <c r="L1017" s="33">
        <f>K1017*Delta+I1017*K1017-J1017*(DeathPayment-K1017)</f>
        <v>-237.48273904420864</v>
      </c>
    </row>
    <row r="1018" spans="1:12" x14ac:dyDescent="0.45">
      <c r="A1018" s="11">
        <v>26.89</v>
      </c>
      <c r="B1018" s="14">
        <v>5.6778000000000004E-4</v>
      </c>
      <c r="C1018" s="15">
        <v>2.6924000000000002E-4</v>
      </c>
      <c r="F1018" s="28">
        <v>9.93</v>
      </c>
      <c r="G1018" s="29">
        <f t="shared" si="60"/>
        <v>64.930000000000007</v>
      </c>
      <c r="H1018" s="29">
        <f t="shared" si="61"/>
        <v>59.93</v>
      </c>
      <c r="I1018" s="38">
        <f t="shared" si="62"/>
        <v>1.3441379999999999E-2</v>
      </c>
      <c r="J1018" s="38">
        <f t="shared" si="63"/>
        <v>4.7888699999999998E-3</v>
      </c>
      <c r="K1018" s="32">
        <f>K1017+StepSize*L1017</f>
        <v>16.748437615233779</v>
      </c>
      <c r="L1018" s="33">
        <f>K1018*Delta+I1018*K1018-J1018*(DeathPayment-K1018)</f>
        <v>-237.92691370640605</v>
      </c>
    </row>
    <row r="1019" spans="1:12" x14ac:dyDescent="0.45">
      <c r="A1019" s="11">
        <v>26.9</v>
      </c>
      <c r="B1019" s="14">
        <v>5.6780000000000003E-4</v>
      </c>
      <c r="C1019" s="15">
        <v>2.6939999999999999E-4</v>
      </c>
      <c r="F1019" s="28">
        <v>9.94</v>
      </c>
      <c r="G1019" s="29">
        <f t="shared" si="60"/>
        <v>64.94</v>
      </c>
      <c r="H1019" s="29">
        <f t="shared" si="61"/>
        <v>59.94</v>
      </c>
      <c r="I1019" s="38">
        <f t="shared" si="62"/>
        <v>1.3456040000000001E-2</v>
      </c>
      <c r="J1019" s="38">
        <f t="shared" si="63"/>
        <v>4.7934600000000003E-3</v>
      </c>
      <c r="K1019" s="32">
        <f>K1018+StepSize*L1018</f>
        <v>14.369168478169719</v>
      </c>
      <c r="L1019" s="33">
        <f>K1019*Delta+I1019*K1019-J1019*(DeathPayment-K1019)</f>
        <v>-238.3715820891673</v>
      </c>
    </row>
    <row r="1020" spans="1:12" x14ac:dyDescent="0.45">
      <c r="A1020" s="11">
        <v>26.91</v>
      </c>
      <c r="B1020" s="14">
        <v>5.6782000000000002E-4</v>
      </c>
      <c r="C1020" s="15">
        <v>2.6956000000000001E-4</v>
      </c>
      <c r="F1020" s="28">
        <v>9.9499999999999993</v>
      </c>
      <c r="G1020" s="29">
        <f t="shared" si="60"/>
        <v>64.95</v>
      </c>
      <c r="H1020" s="29">
        <f t="shared" si="61"/>
        <v>59.95</v>
      </c>
      <c r="I1020" s="38">
        <f t="shared" si="62"/>
        <v>1.34707E-2</v>
      </c>
      <c r="J1020" s="38">
        <f t="shared" si="63"/>
        <v>4.7980499999999999E-3</v>
      </c>
      <c r="K1020" s="32">
        <f>K1019+StepSize*L1019</f>
        <v>11.985452657278046</v>
      </c>
      <c r="L1020" s="33">
        <f>K1020*Delta+I1020*K1020-J1020*(DeathPayment-K1020)</f>
        <v>-238.81674489626172</v>
      </c>
    </row>
    <row r="1021" spans="1:12" x14ac:dyDescent="0.45">
      <c r="A1021" s="11">
        <v>26.92</v>
      </c>
      <c r="B1021" s="14">
        <v>5.6784000000000001E-4</v>
      </c>
      <c r="C1021" s="15">
        <v>2.6971999999999999E-4</v>
      </c>
      <c r="F1021" s="28">
        <v>9.9600000000000009</v>
      </c>
      <c r="G1021" s="29">
        <f t="shared" si="60"/>
        <v>64.959999999999994</v>
      </c>
      <c r="H1021" s="29">
        <f t="shared" si="61"/>
        <v>59.96</v>
      </c>
      <c r="I1021" s="38">
        <f t="shared" si="62"/>
        <v>1.348536E-2</v>
      </c>
      <c r="J1021" s="38">
        <f t="shared" si="63"/>
        <v>4.8026400000000004E-3</v>
      </c>
      <c r="K1021" s="32">
        <f>K1020+StepSize*L1020</f>
        <v>9.5972852083154283</v>
      </c>
      <c r="L1021" s="33">
        <f>K1021*Delta+I1021*K1021-J1021*(DeathPayment-K1021)</f>
        <v>-239.26240283247662</v>
      </c>
    </row>
    <row r="1022" spans="1:12" x14ac:dyDescent="0.45">
      <c r="A1022" s="11">
        <v>26.93</v>
      </c>
      <c r="B1022" s="14">
        <v>5.6786E-4</v>
      </c>
      <c r="C1022" s="15">
        <v>2.6988000000000001E-4</v>
      </c>
      <c r="F1022" s="28">
        <v>9.9700000000000006</v>
      </c>
      <c r="G1022" s="29">
        <f t="shared" si="60"/>
        <v>64.97</v>
      </c>
      <c r="H1022" s="29">
        <f t="shared" si="61"/>
        <v>59.97</v>
      </c>
      <c r="I1022" s="38">
        <f t="shared" si="62"/>
        <v>1.350002E-2</v>
      </c>
      <c r="J1022" s="38">
        <f t="shared" si="63"/>
        <v>4.80723E-3</v>
      </c>
      <c r="K1022" s="32">
        <f>K1021+StepSize*L1021</f>
        <v>7.2046611799906621</v>
      </c>
      <c r="L1022" s="33">
        <f>K1022*Delta+I1022*K1022-J1022*(DeathPayment-K1022)</f>
        <v>-239.70855660361866</v>
      </c>
    </row>
    <row r="1023" spans="1:12" x14ac:dyDescent="0.45">
      <c r="A1023" s="11">
        <v>26.94</v>
      </c>
      <c r="B1023" s="14">
        <v>5.6787999999999999E-4</v>
      </c>
      <c r="C1023" s="15">
        <v>2.7003999999999998E-4</v>
      </c>
      <c r="F1023" s="28">
        <v>9.98</v>
      </c>
      <c r="G1023" s="29">
        <f t="shared" si="60"/>
        <v>64.98</v>
      </c>
      <c r="H1023" s="29">
        <f t="shared" si="61"/>
        <v>59.98</v>
      </c>
      <c r="I1023" s="38">
        <f t="shared" si="62"/>
        <v>1.3514679999999999E-2</v>
      </c>
      <c r="J1023" s="38">
        <f t="shared" si="63"/>
        <v>4.8118199999999996E-3</v>
      </c>
      <c r="K1023" s="32">
        <f>K1022+StepSize*L1022</f>
        <v>4.8075756139544756</v>
      </c>
      <c r="L1023" s="33">
        <f>K1023*Delta+I1023*K1023-J1023*(DeathPayment-K1023)</f>
        <v>-240.1552069165156</v>
      </c>
    </row>
    <row r="1024" spans="1:12" x14ac:dyDescent="0.45">
      <c r="A1024" s="11">
        <v>26.95</v>
      </c>
      <c r="B1024" s="14">
        <v>5.6789999999999998E-4</v>
      </c>
      <c r="C1024" s="15">
        <v>2.7020000000000001E-4</v>
      </c>
      <c r="F1024" s="28">
        <v>9.99</v>
      </c>
      <c r="G1024" s="29">
        <f t="shared" si="60"/>
        <v>64.989999999999995</v>
      </c>
      <c r="H1024" s="29">
        <f t="shared" si="61"/>
        <v>59.99</v>
      </c>
      <c r="I1024" s="38">
        <f t="shared" si="62"/>
        <v>1.3529340000000001E-2</v>
      </c>
      <c r="J1024" s="38">
        <f t="shared" si="63"/>
        <v>4.8164100000000001E-3</v>
      </c>
      <c r="K1024" s="32">
        <f>K1023+StepSize*L1023</f>
        <v>2.4060235447893197</v>
      </c>
      <c r="L1024" s="33">
        <f>K1024*Delta+I1024*K1024-J1024*(DeathPayment-K1024)</f>
        <v>-240.60235447901786</v>
      </c>
    </row>
    <row r="1025" spans="1:12" ht="14.65" thickBot="1" x14ac:dyDescent="0.5">
      <c r="A1025" s="11">
        <v>26.96</v>
      </c>
      <c r="B1025" s="14">
        <v>5.6791999999999997E-4</v>
      </c>
      <c r="C1025" s="15">
        <v>2.7035999999999998E-4</v>
      </c>
      <c r="F1025" s="30">
        <v>10</v>
      </c>
      <c r="G1025" s="31">
        <f t="shared" si="60"/>
        <v>65</v>
      </c>
      <c r="H1025" s="31">
        <f t="shared" si="61"/>
        <v>60</v>
      </c>
      <c r="I1025" s="39">
        <f t="shared" si="62"/>
        <v>1.3544E-2</v>
      </c>
      <c r="J1025" s="39">
        <f t="shared" si="63"/>
        <v>4.8209999999999998E-3</v>
      </c>
      <c r="K1025" s="34">
        <f>K1024+StepSize*L1024</f>
        <v>-8.588685318500211E-13</v>
      </c>
      <c r="L1025" s="35">
        <f>K1025*Delta+I1025*K1025-J1025*(DeathPayment-K1025)</f>
        <v>-241.05000000000007</v>
      </c>
    </row>
    <row r="1026" spans="1:12" x14ac:dyDescent="0.45">
      <c r="A1026" s="11">
        <v>26.97</v>
      </c>
      <c r="B1026" s="14">
        <v>5.6793999999999996E-4</v>
      </c>
      <c r="C1026" s="15">
        <v>2.7052000000000001E-4</v>
      </c>
    </row>
    <row r="1027" spans="1:12" x14ac:dyDescent="0.45">
      <c r="A1027" s="11">
        <v>26.98</v>
      </c>
      <c r="B1027" s="14">
        <v>5.6795999999999995E-4</v>
      </c>
      <c r="C1027" s="15">
        <v>2.7067999999999998E-4</v>
      </c>
    </row>
    <row r="1028" spans="1:12" x14ac:dyDescent="0.45">
      <c r="A1028" s="11">
        <v>26.99</v>
      </c>
      <c r="B1028" s="14">
        <v>5.6798000000000005E-4</v>
      </c>
      <c r="C1028" s="15">
        <v>2.7084E-4</v>
      </c>
    </row>
    <row r="1029" spans="1:12" x14ac:dyDescent="0.45">
      <c r="A1029" s="11">
        <v>27</v>
      </c>
      <c r="B1029" s="14">
        <v>5.6800000000000004E-4</v>
      </c>
      <c r="C1029" s="15">
        <v>2.7099999999999997E-4</v>
      </c>
    </row>
    <row r="1030" spans="1:12" x14ac:dyDescent="0.45">
      <c r="A1030" s="11">
        <v>27.01</v>
      </c>
      <c r="B1030" s="14">
        <v>5.6804000000000002E-4</v>
      </c>
      <c r="C1030" s="15">
        <v>2.7116999999999999E-4</v>
      </c>
    </row>
    <row r="1031" spans="1:12" x14ac:dyDescent="0.45">
      <c r="A1031" s="11">
        <v>27.02</v>
      </c>
      <c r="B1031" s="14">
        <v>5.6808E-4</v>
      </c>
      <c r="C1031" s="15">
        <v>2.7134000000000001E-4</v>
      </c>
    </row>
    <row r="1032" spans="1:12" x14ac:dyDescent="0.45">
      <c r="A1032" s="11">
        <v>27.03</v>
      </c>
      <c r="B1032" s="14">
        <v>5.6811999999999997E-4</v>
      </c>
      <c r="C1032" s="15">
        <v>2.7150999999999998E-4</v>
      </c>
    </row>
    <row r="1033" spans="1:12" x14ac:dyDescent="0.45">
      <c r="A1033" s="11">
        <v>27.04</v>
      </c>
      <c r="B1033" s="14">
        <v>5.6815999999999995E-4</v>
      </c>
      <c r="C1033" s="15">
        <v>2.7168E-4</v>
      </c>
    </row>
    <row r="1034" spans="1:12" x14ac:dyDescent="0.45">
      <c r="A1034" s="11">
        <v>27.05</v>
      </c>
      <c r="B1034" s="14">
        <v>5.6820000000000004E-4</v>
      </c>
      <c r="C1034" s="15">
        <v>2.7185000000000002E-4</v>
      </c>
    </row>
    <row r="1035" spans="1:12" x14ac:dyDescent="0.45">
      <c r="A1035" s="11">
        <v>27.06</v>
      </c>
      <c r="B1035" s="14">
        <v>5.6824000000000002E-4</v>
      </c>
      <c r="C1035" s="15">
        <v>2.7201999999999999E-4</v>
      </c>
    </row>
    <row r="1036" spans="1:12" x14ac:dyDescent="0.45">
      <c r="A1036" s="11">
        <v>27.07</v>
      </c>
      <c r="B1036" s="14">
        <v>5.6828E-4</v>
      </c>
      <c r="C1036" s="15">
        <v>2.7219000000000001E-4</v>
      </c>
    </row>
    <row r="1037" spans="1:12" x14ac:dyDescent="0.45">
      <c r="A1037" s="11">
        <v>27.08</v>
      </c>
      <c r="B1037" s="14">
        <v>5.6831999999999998E-4</v>
      </c>
      <c r="C1037" s="15">
        <v>2.7235999999999997E-4</v>
      </c>
    </row>
    <row r="1038" spans="1:12" x14ac:dyDescent="0.45">
      <c r="A1038" s="11">
        <v>27.09</v>
      </c>
      <c r="B1038" s="14">
        <v>5.6835999999999996E-4</v>
      </c>
      <c r="C1038" s="15">
        <v>2.7252999999999999E-4</v>
      </c>
    </row>
    <row r="1039" spans="1:12" x14ac:dyDescent="0.45">
      <c r="A1039" s="11">
        <v>27.1</v>
      </c>
      <c r="B1039" s="14">
        <v>5.6840000000000005E-4</v>
      </c>
      <c r="C1039" s="15">
        <v>2.7270000000000001E-4</v>
      </c>
    </row>
    <row r="1040" spans="1:12" x14ac:dyDescent="0.45">
      <c r="A1040" s="11">
        <v>27.11</v>
      </c>
      <c r="B1040" s="14">
        <v>5.6844000000000003E-4</v>
      </c>
      <c r="C1040" s="15">
        <v>2.7286999999999998E-4</v>
      </c>
    </row>
    <row r="1041" spans="1:3" x14ac:dyDescent="0.45">
      <c r="A1041" s="11">
        <v>27.12</v>
      </c>
      <c r="B1041" s="14">
        <v>5.6848000000000001E-4</v>
      </c>
      <c r="C1041" s="15">
        <v>2.7304E-4</v>
      </c>
    </row>
    <row r="1042" spans="1:3" x14ac:dyDescent="0.45">
      <c r="A1042" s="11">
        <v>27.13</v>
      </c>
      <c r="B1042" s="14">
        <v>5.6851999999999998E-4</v>
      </c>
      <c r="C1042" s="15">
        <v>2.7321000000000002E-4</v>
      </c>
    </row>
    <row r="1043" spans="1:3" x14ac:dyDescent="0.45">
      <c r="A1043" s="11">
        <v>27.14</v>
      </c>
      <c r="B1043" s="14">
        <v>5.6855999999999996E-4</v>
      </c>
      <c r="C1043" s="15">
        <v>2.7337999999999999E-4</v>
      </c>
    </row>
    <row r="1044" spans="1:3" x14ac:dyDescent="0.45">
      <c r="A1044" s="11">
        <v>27.15</v>
      </c>
      <c r="B1044" s="14">
        <v>5.6860000000000005E-4</v>
      </c>
      <c r="C1044" s="15">
        <v>2.7355000000000001E-4</v>
      </c>
    </row>
    <row r="1045" spans="1:3" x14ac:dyDescent="0.45">
      <c r="A1045" s="11">
        <v>27.16</v>
      </c>
      <c r="B1045" s="14">
        <v>5.6864000000000003E-4</v>
      </c>
      <c r="C1045" s="15">
        <v>2.7371999999999997E-4</v>
      </c>
    </row>
    <row r="1046" spans="1:3" x14ac:dyDescent="0.45">
      <c r="A1046" s="11">
        <v>27.17</v>
      </c>
      <c r="B1046" s="14">
        <v>5.6868000000000001E-4</v>
      </c>
      <c r="C1046" s="15">
        <v>2.7389E-4</v>
      </c>
    </row>
    <row r="1047" spans="1:3" x14ac:dyDescent="0.45">
      <c r="A1047" s="11">
        <v>27.18</v>
      </c>
      <c r="B1047" s="14">
        <v>5.6871999999999999E-4</v>
      </c>
      <c r="C1047" s="15">
        <v>2.7406000000000002E-4</v>
      </c>
    </row>
    <row r="1048" spans="1:3" x14ac:dyDescent="0.45">
      <c r="A1048" s="11">
        <v>27.19</v>
      </c>
      <c r="B1048" s="14">
        <v>5.6875999999999997E-4</v>
      </c>
      <c r="C1048" s="15">
        <v>2.7422999999999998E-4</v>
      </c>
    </row>
    <row r="1049" spans="1:3" x14ac:dyDescent="0.45">
      <c r="A1049" s="11">
        <v>27.2</v>
      </c>
      <c r="B1049" s="14">
        <v>5.6879999999999995E-4</v>
      </c>
      <c r="C1049" s="15">
        <v>2.744E-4</v>
      </c>
    </row>
    <row r="1050" spans="1:3" x14ac:dyDescent="0.45">
      <c r="A1050" s="11">
        <v>27.21</v>
      </c>
      <c r="B1050" s="14">
        <v>5.6884000000000004E-4</v>
      </c>
      <c r="C1050" s="15">
        <v>2.7457000000000002E-4</v>
      </c>
    </row>
    <row r="1051" spans="1:3" x14ac:dyDescent="0.45">
      <c r="A1051" s="11">
        <v>27.22</v>
      </c>
      <c r="B1051" s="14">
        <v>5.6888000000000001E-4</v>
      </c>
      <c r="C1051" s="15">
        <v>2.7473999999999999E-4</v>
      </c>
    </row>
    <row r="1052" spans="1:3" x14ac:dyDescent="0.45">
      <c r="A1052" s="11">
        <v>27.23</v>
      </c>
      <c r="B1052" s="14">
        <v>5.6891999999999999E-4</v>
      </c>
      <c r="C1052" s="15">
        <v>2.7491000000000001E-4</v>
      </c>
    </row>
    <row r="1053" spans="1:3" x14ac:dyDescent="0.45">
      <c r="A1053" s="11">
        <v>27.24</v>
      </c>
      <c r="B1053" s="14">
        <v>5.6895999999999997E-4</v>
      </c>
      <c r="C1053" s="15">
        <v>2.7507999999999998E-4</v>
      </c>
    </row>
    <row r="1054" spans="1:3" x14ac:dyDescent="0.45">
      <c r="A1054" s="11">
        <v>27.25</v>
      </c>
      <c r="B1054" s="14">
        <v>5.6899999999999995E-4</v>
      </c>
      <c r="C1054" s="15">
        <v>2.7525E-4</v>
      </c>
    </row>
    <row r="1055" spans="1:3" x14ac:dyDescent="0.45">
      <c r="A1055" s="11">
        <v>27.26</v>
      </c>
      <c r="B1055" s="14">
        <v>5.6904000000000004E-4</v>
      </c>
      <c r="C1055" s="15">
        <v>2.7542000000000002E-4</v>
      </c>
    </row>
    <row r="1056" spans="1:3" x14ac:dyDescent="0.45">
      <c r="A1056" s="11">
        <v>27.27</v>
      </c>
      <c r="B1056" s="14">
        <v>5.6908000000000002E-4</v>
      </c>
      <c r="C1056" s="15">
        <v>2.7558999999999998E-4</v>
      </c>
    </row>
    <row r="1057" spans="1:3" x14ac:dyDescent="0.45">
      <c r="A1057" s="11">
        <v>27.28</v>
      </c>
      <c r="B1057" s="14">
        <v>5.6912E-4</v>
      </c>
      <c r="C1057" s="15">
        <v>2.7576E-4</v>
      </c>
    </row>
    <row r="1058" spans="1:3" x14ac:dyDescent="0.45">
      <c r="A1058" s="11">
        <v>27.29</v>
      </c>
      <c r="B1058" s="14">
        <v>5.6915999999999998E-4</v>
      </c>
      <c r="C1058" s="15">
        <v>2.7593000000000002E-4</v>
      </c>
    </row>
    <row r="1059" spans="1:3" x14ac:dyDescent="0.45">
      <c r="A1059" s="11">
        <v>27.3</v>
      </c>
      <c r="B1059" s="14">
        <v>5.6919999999999996E-4</v>
      </c>
      <c r="C1059" s="15">
        <v>2.7609999999999999E-4</v>
      </c>
    </row>
    <row r="1060" spans="1:3" x14ac:dyDescent="0.45">
      <c r="A1060" s="11">
        <v>27.31</v>
      </c>
      <c r="B1060" s="14">
        <v>5.6924000000000005E-4</v>
      </c>
      <c r="C1060" s="15">
        <v>2.7627000000000001E-4</v>
      </c>
    </row>
    <row r="1061" spans="1:3" x14ac:dyDescent="0.45">
      <c r="A1061" s="11">
        <v>27.32</v>
      </c>
      <c r="B1061" s="14">
        <v>5.6928000000000002E-4</v>
      </c>
      <c r="C1061" s="15">
        <v>2.7643999999999998E-4</v>
      </c>
    </row>
    <row r="1062" spans="1:3" x14ac:dyDescent="0.45">
      <c r="A1062" s="11">
        <v>27.33</v>
      </c>
      <c r="B1062" s="14">
        <v>5.6932E-4</v>
      </c>
      <c r="C1062" s="15">
        <v>2.7661E-4</v>
      </c>
    </row>
    <row r="1063" spans="1:3" x14ac:dyDescent="0.45">
      <c r="A1063" s="11">
        <v>27.34</v>
      </c>
      <c r="B1063" s="14">
        <v>5.6935999999999998E-4</v>
      </c>
      <c r="C1063" s="15">
        <v>2.7678000000000002E-4</v>
      </c>
    </row>
    <row r="1064" spans="1:3" x14ac:dyDescent="0.45">
      <c r="A1064" s="11">
        <v>27.35</v>
      </c>
      <c r="B1064" s="14">
        <v>5.6939999999999996E-4</v>
      </c>
      <c r="C1064" s="15">
        <v>2.7694999999999998E-4</v>
      </c>
    </row>
    <row r="1065" spans="1:3" x14ac:dyDescent="0.45">
      <c r="A1065" s="11">
        <v>27.36</v>
      </c>
      <c r="B1065" s="14">
        <v>5.6944000000000005E-4</v>
      </c>
      <c r="C1065" s="15">
        <v>2.7712E-4</v>
      </c>
    </row>
    <row r="1066" spans="1:3" x14ac:dyDescent="0.45">
      <c r="A1066" s="11">
        <v>27.37</v>
      </c>
      <c r="B1066" s="14">
        <v>5.6948000000000003E-4</v>
      </c>
      <c r="C1066" s="15">
        <v>2.7729000000000002E-4</v>
      </c>
    </row>
    <row r="1067" spans="1:3" x14ac:dyDescent="0.45">
      <c r="A1067" s="11">
        <v>27.38</v>
      </c>
      <c r="B1067" s="14">
        <v>5.6952000000000001E-4</v>
      </c>
      <c r="C1067" s="15">
        <v>2.7745999999999999E-4</v>
      </c>
    </row>
    <row r="1068" spans="1:3" x14ac:dyDescent="0.45">
      <c r="A1068" s="11">
        <v>27.39</v>
      </c>
      <c r="B1068" s="14">
        <v>5.6955999999999999E-4</v>
      </c>
      <c r="C1068" s="15">
        <v>2.7763000000000001E-4</v>
      </c>
    </row>
    <row r="1069" spans="1:3" x14ac:dyDescent="0.45">
      <c r="A1069" s="11">
        <v>27.4</v>
      </c>
      <c r="B1069" s="14">
        <v>5.6959999999999997E-4</v>
      </c>
      <c r="C1069" s="15">
        <v>2.7779999999999998E-4</v>
      </c>
    </row>
    <row r="1070" spans="1:3" x14ac:dyDescent="0.45">
      <c r="A1070" s="11">
        <v>27.41</v>
      </c>
      <c r="B1070" s="14">
        <v>5.6963999999999995E-4</v>
      </c>
      <c r="C1070" s="15">
        <v>2.7797E-4</v>
      </c>
    </row>
    <row r="1071" spans="1:3" x14ac:dyDescent="0.45">
      <c r="A1071" s="11">
        <v>27.42</v>
      </c>
      <c r="B1071" s="14">
        <v>5.6968000000000003E-4</v>
      </c>
      <c r="C1071" s="15">
        <v>2.7814000000000002E-4</v>
      </c>
    </row>
    <row r="1072" spans="1:3" x14ac:dyDescent="0.45">
      <c r="A1072" s="11">
        <v>27.43</v>
      </c>
      <c r="B1072" s="14">
        <v>5.6972000000000001E-4</v>
      </c>
      <c r="C1072" s="15">
        <v>2.7830999999999998E-4</v>
      </c>
    </row>
    <row r="1073" spans="1:3" x14ac:dyDescent="0.45">
      <c r="A1073" s="11">
        <v>27.44</v>
      </c>
      <c r="B1073" s="14">
        <v>5.6975999999999999E-4</v>
      </c>
      <c r="C1073" s="15">
        <v>2.7848E-4</v>
      </c>
    </row>
    <row r="1074" spans="1:3" x14ac:dyDescent="0.45">
      <c r="A1074" s="11">
        <v>27.45</v>
      </c>
      <c r="B1074" s="14">
        <v>5.6979999999999997E-4</v>
      </c>
      <c r="C1074" s="15">
        <v>2.7865000000000002E-4</v>
      </c>
    </row>
    <row r="1075" spans="1:3" x14ac:dyDescent="0.45">
      <c r="A1075" s="11">
        <v>27.46</v>
      </c>
      <c r="B1075" s="14">
        <v>5.6983999999999995E-4</v>
      </c>
      <c r="C1075" s="15">
        <v>2.7881999999999999E-4</v>
      </c>
    </row>
    <row r="1076" spans="1:3" x14ac:dyDescent="0.45">
      <c r="A1076" s="11">
        <v>27.47</v>
      </c>
      <c r="B1076" s="14">
        <v>5.6988000000000004E-4</v>
      </c>
      <c r="C1076" s="15">
        <v>2.7899000000000001E-4</v>
      </c>
    </row>
    <row r="1077" spans="1:3" x14ac:dyDescent="0.45">
      <c r="A1077" s="11">
        <v>27.48</v>
      </c>
      <c r="B1077" s="14">
        <v>5.6992000000000002E-4</v>
      </c>
      <c r="C1077" s="15">
        <v>2.7915999999999998E-4</v>
      </c>
    </row>
    <row r="1078" spans="1:3" x14ac:dyDescent="0.45">
      <c r="A1078" s="11">
        <v>27.49</v>
      </c>
      <c r="B1078" s="14">
        <v>5.6996E-4</v>
      </c>
      <c r="C1078" s="15">
        <v>2.7933E-4</v>
      </c>
    </row>
    <row r="1079" spans="1:3" x14ac:dyDescent="0.45">
      <c r="A1079" s="11">
        <v>27.5</v>
      </c>
      <c r="B1079" s="14">
        <v>5.6999999999999998E-4</v>
      </c>
      <c r="C1079" s="15">
        <v>2.7950000000000002E-4</v>
      </c>
    </row>
    <row r="1080" spans="1:3" x14ac:dyDescent="0.45">
      <c r="A1080" s="11">
        <v>27.51</v>
      </c>
      <c r="B1080" s="14">
        <v>5.7003999999999996E-4</v>
      </c>
      <c r="C1080" s="15">
        <v>2.7966999999999998E-4</v>
      </c>
    </row>
    <row r="1081" spans="1:3" x14ac:dyDescent="0.45">
      <c r="A1081" s="11">
        <v>27.52</v>
      </c>
      <c r="B1081" s="14">
        <v>5.7008000000000004E-4</v>
      </c>
      <c r="C1081" s="15">
        <v>2.7984E-4</v>
      </c>
    </row>
    <row r="1082" spans="1:3" x14ac:dyDescent="0.45">
      <c r="A1082" s="11">
        <v>27.53</v>
      </c>
      <c r="B1082" s="14">
        <v>5.7012000000000002E-4</v>
      </c>
      <c r="C1082" s="15">
        <v>2.8001000000000002E-4</v>
      </c>
    </row>
    <row r="1083" spans="1:3" x14ac:dyDescent="0.45">
      <c r="A1083" s="11">
        <v>27.54</v>
      </c>
      <c r="B1083" s="14">
        <v>5.7016E-4</v>
      </c>
      <c r="C1083" s="15">
        <v>2.8017999999999999E-4</v>
      </c>
    </row>
    <row r="1084" spans="1:3" x14ac:dyDescent="0.45">
      <c r="A1084" s="11">
        <v>27.55</v>
      </c>
      <c r="B1084" s="14">
        <v>5.7019999999999998E-4</v>
      </c>
      <c r="C1084" s="15">
        <v>2.8035000000000001E-4</v>
      </c>
    </row>
    <row r="1085" spans="1:3" x14ac:dyDescent="0.45">
      <c r="A1085" s="11">
        <v>27.56</v>
      </c>
      <c r="B1085" s="14">
        <v>5.7023999999999996E-4</v>
      </c>
      <c r="C1085" s="15">
        <v>2.8051999999999998E-4</v>
      </c>
    </row>
    <row r="1086" spans="1:3" x14ac:dyDescent="0.45">
      <c r="A1086" s="11">
        <v>27.57</v>
      </c>
      <c r="B1086" s="14">
        <v>5.7028000000000005E-4</v>
      </c>
      <c r="C1086" s="15">
        <v>2.8069E-4</v>
      </c>
    </row>
    <row r="1087" spans="1:3" x14ac:dyDescent="0.45">
      <c r="A1087" s="11">
        <v>27.58</v>
      </c>
      <c r="B1087" s="14">
        <v>5.7032000000000003E-4</v>
      </c>
      <c r="C1087" s="15">
        <v>2.8086000000000002E-4</v>
      </c>
    </row>
    <row r="1088" spans="1:3" x14ac:dyDescent="0.45">
      <c r="A1088" s="11">
        <v>27.59</v>
      </c>
      <c r="B1088" s="14">
        <v>5.7036000000000001E-4</v>
      </c>
      <c r="C1088" s="15">
        <v>2.8102999999999998E-4</v>
      </c>
    </row>
    <row r="1089" spans="1:3" x14ac:dyDescent="0.45">
      <c r="A1089" s="11">
        <v>27.6</v>
      </c>
      <c r="B1089" s="14">
        <v>5.7039999999999999E-4</v>
      </c>
      <c r="C1089" s="15">
        <v>2.812E-4</v>
      </c>
    </row>
    <row r="1090" spans="1:3" x14ac:dyDescent="0.45">
      <c r="A1090" s="11">
        <v>27.61</v>
      </c>
      <c r="B1090" s="14">
        <v>5.7043999999999997E-4</v>
      </c>
      <c r="C1090" s="15">
        <v>2.8137000000000003E-4</v>
      </c>
    </row>
    <row r="1091" spans="1:3" x14ac:dyDescent="0.45">
      <c r="A1091" s="11">
        <v>27.62</v>
      </c>
      <c r="B1091" s="14">
        <v>5.7048000000000005E-4</v>
      </c>
      <c r="C1091" s="15">
        <v>2.8153999999999999E-4</v>
      </c>
    </row>
    <row r="1092" spans="1:3" x14ac:dyDescent="0.45">
      <c r="A1092" s="11">
        <v>27.63</v>
      </c>
      <c r="B1092" s="14">
        <v>5.7052000000000003E-4</v>
      </c>
      <c r="C1092" s="15">
        <v>2.8171000000000001E-4</v>
      </c>
    </row>
    <row r="1093" spans="1:3" x14ac:dyDescent="0.45">
      <c r="A1093" s="11">
        <v>27.64</v>
      </c>
      <c r="B1093" s="14">
        <v>5.7056000000000001E-4</v>
      </c>
      <c r="C1093" s="15">
        <v>2.8187999999999998E-4</v>
      </c>
    </row>
    <row r="1094" spans="1:3" x14ac:dyDescent="0.45">
      <c r="A1094" s="11">
        <v>27.65</v>
      </c>
      <c r="B1094" s="14">
        <v>5.7059999999999999E-4</v>
      </c>
      <c r="C1094" s="15">
        <v>2.8205E-4</v>
      </c>
    </row>
    <row r="1095" spans="1:3" x14ac:dyDescent="0.45">
      <c r="A1095" s="11">
        <v>27.66</v>
      </c>
      <c r="B1095" s="14">
        <v>5.7063999999999997E-4</v>
      </c>
      <c r="C1095" s="15">
        <v>2.8222000000000002E-4</v>
      </c>
    </row>
    <row r="1096" spans="1:3" x14ac:dyDescent="0.45">
      <c r="A1096" s="11">
        <v>27.67</v>
      </c>
      <c r="B1096" s="14">
        <v>5.7067999999999995E-4</v>
      </c>
      <c r="C1096" s="15">
        <v>2.8238999999999998E-4</v>
      </c>
    </row>
    <row r="1097" spans="1:3" x14ac:dyDescent="0.45">
      <c r="A1097" s="11">
        <v>27.68</v>
      </c>
      <c r="B1097" s="14">
        <v>5.7072000000000004E-4</v>
      </c>
      <c r="C1097" s="15">
        <v>2.8256000000000001E-4</v>
      </c>
    </row>
    <row r="1098" spans="1:3" x14ac:dyDescent="0.45">
      <c r="A1098" s="11">
        <v>27.69</v>
      </c>
      <c r="B1098" s="14">
        <v>5.7076000000000002E-4</v>
      </c>
      <c r="C1098" s="15">
        <v>2.8273000000000003E-4</v>
      </c>
    </row>
    <row r="1099" spans="1:3" x14ac:dyDescent="0.45">
      <c r="A1099" s="11">
        <v>27.7</v>
      </c>
      <c r="B1099" s="14">
        <v>5.708E-4</v>
      </c>
      <c r="C1099" s="15">
        <v>2.8289999999999999E-4</v>
      </c>
    </row>
    <row r="1100" spans="1:3" x14ac:dyDescent="0.45">
      <c r="A1100" s="11">
        <v>27.71</v>
      </c>
      <c r="B1100" s="14">
        <v>5.7083999999999998E-4</v>
      </c>
      <c r="C1100" s="15">
        <v>2.8307000000000001E-4</v>
      </c>
    </row>
    <row r="1101" spans="1:3" x14ac:dyDescent="0.45">
      <c r="A1101" s="11">
        <v>27.72</v>
      </c>
      <c r="B1101" s="14">
        <v>5.7087999999999996E-4</v>
      </c>
      <c r="C1101" s="15">
        <v>2.8323999999999998E-4</v>
      </c>
    </row>
    <row r="1102" spans="1:3" x14ac:dyDescent="0.45">
      <c r="A1102" s="11">
        <v>27.73</v>
      </c>
      <c r="B1102" s="14">
        <v>5.7092000000000004E-4</v>
      </c>
      <c r="C1102" s="15">
        <v>2.8341E-4</v>
      </c>
    </row>
    <row r="1103" spans="1:3" x14ac:dyDescent="0.45">
      <c r="A1103" s="11">
        <v>27.74</v>
      </c>
      <c r="B1103" s="14">
        <v>5.7096000000000002E-4</v>
      </c>
      <c r="C1103" s="15">
        <v>2.8358000000000002E-4</v>
      </c>
    </row>
    <row r="1104" spans="1:3" x14ac:dyDescent="0.45">
      <c r="A1104" s="11">
        <v>27.75</v>
      </c>
      <c r="B1104" s="14">
        <v>5.71E-4</v>
      </c>
      <c r="C1104" s="15">
        <v>2.8374999999999999E-4</v>
      </c>
    </row>
    <row r="1105" spans="1:3" x14ac:dyDescent="0.45">
      <c r="A1105" s="11">
        <v>27.76</v>
      </c>
      <c r="B1105" s="14">
        <v>5.7103999999999998E-4</v>
      </c>
      <c r="C1105" s="15">
        <v>2.8392000000000001E-4</v>
      </c>
    </row>
    <row r="1106" spans="1:3" x14ac:dyDescent="0.45">
      <c r="A1106" s="11">
        <v>27.77</v>
      </c>
      <c r="B1106" s="14">
        <v>5.7107999999999996E-4</v>
      </c>
      <c r="C1106" s="15">
        <v>2.8409000000000003E-4</v>
      </c>
    </row>
    <row r="1107" spans="1:3" x14ac:dyDescent="0.45">
      <c r="A1107" s="11">
        <v>27.78</v>
      </c>
      <c r="B1107" s="14">
        <v>5.7112000000000005E-4</v>
      </c>
      <c r="C1107" s="15">
        <v>2.8425999999999999E-4</v>
      </c>
    </row>
    <row r="1108" spans="1:3" x14ac:dyDescent="0.45">
      <c r="A1108" s="11">
        <v>27.79</v>
      </c>
      <c r="B1108" s="14">
        <v>5.7116000000000003E-4</v>
      </c>
      <c r="C1108" s="15">
        <v>2.8443000000000001E-4</v>
      </c>
    </row>
    <row r="1109" spans="1:3" x14ac:dyDescent="0.45">
      <c r="A1109" s="11">
        <v>27.8</v>
      </c>
      <c r="B1109" s="14">
        <v>5.7120000000000001E-4</v>
      </c>
      <c r="C1109" s="15">
        <v>2.8459999999999998E-4</v>
      </c>
    </row>
    <row r="1110" spans="1:3" x14ac:dyDescent="0.45">
      <c r="A1110" s="11">
        <v>27.81</v>
      </c>
      <c r="B1110" s="14">
        <v>5.7123999999999999E-4</v>
      </c>
      <c r="C1110" s="15">
        <v>2.8477E-4</v>
      </c>
    </row>
    <row r="1111" spans="1:3" x14ac:dyDescent="0.45">
      <c r="A1111" s="11">
        <v>27.82</v>
      </c>
      <c r="B1111" s="14">
        <v>5.7127999999999996E-4</v>
      </c>
      <c r="C1111" s="15">
        <v>2.8494000000000002E-4</v>
      </c>
    </row>
    <row r="1112" spans="1:3" x14ac:dyDescent="0.45">
      <c r="A1112" s="11">
        <v>27.83</v>
      </c>
      <c r="B1112" s="14">
        <v>5.7132000000000005E-4</v>
      </c>
      <c r="C1112" s="15">
        <v>2.8510999999999999E-4</v>
      </c>
    </row>
    <row r="1113" spans="1:3" x14ac:dyDescent="0.45">
      <c r="A1113" s="11">
        <v>27.84</v>
      </c>
      <c r="B1113" s="14">
        <v>5.7136000000000003E-4</v>
      </c>
      <c r="C1113" s="15">
        <v>2.8528000000000001E-4</v>
      </c>
    </row>
    <row r="1114" spans="1:3" x14ac:dyDescent="0.45">
      <c r="A1114" s="11">
        <v>27.85</v>
      </c>
      <c r="B1114" s="14">
        <v>5.7140000000000001E-4</v>
      </c>
      <c r="C1114" s="15">
        <v>2.8545000000000003E-4</v>
      </c>
    </row>
    <row r="1115" spans="1:3" x14ac:dyDescent="0.45">
      <c r="A1115" s="11">
        <v>27.86</v>
      </c>
      <c r="B1115" s="14">
        <v>5.7143999999999999E-4</v>
      </c>
      <c r="C1115" s="15">
        <v>2.8561999999999999E-4</v>
      </c>
    </row>
    <row r="1116" spans="1:3" x14ac:dyDescent="0.45">
      <c r="A1116" s="11">
        <v>27.87</v>
      </c>
      <c r="B1116" s="14">
        <v>5.7147999999999997E-4</v>
      </c>
      <c r="C1116" s="15">
        <v>2.8579000000000001E-4</v>
      </c>
    </row>
    <row r="1117" spans="1:3" x14ac:dyDescent="0.45">
      <c r="A1117" s="11">
        <v>27.88</v>
      </c>
      <c r="B1117" s="14">
        <v>5.7151999999999995E-4</v>
      </c>
      <c r="C1117" s="15">
        <v>2.8595999999999998E-4</v>
      </c>
    </row>
    <row r="1118" spans="1:3" x14ac:dyDescent="0.45">
      <c r="A1118" s="11">
        <v>27.89</v>
      </c>
      <c r="B1118" s="14">
        <v>5.7156000000000004E-4</v>
      </c>
      <c r="C1118" s="15">
        <v>2.8613E-4</v>
      </c>
    </row>
    <row r="1119" spans="1:3" x14ac:dyDescent="0.45">
      <c r="A1119" s="11">
        <v>27.9</v>
      </c>
      <c r="B1119" s="14">
        <v>5.7160000000000002E-4</v>
      </c>
      <c r="C1119" s="15">
        <v>2.8630000000000002E-4</v>
      </c>
    </row>
    <row r="1120" spans="1:3" x14ac:dyDescent="0.45">
      <c r="A1120" s="11">
        <v>27.91</v>
      </c>
      <c r="B1120" s="14">
        <v>5.7164E-4</v>
      </c>
      <c r="C1120" s="15">
        <v>2.8646999999999999E-4</v>
      </c>
    </row>
    <row r="1121" spans="1:3" x14ac:dyDescent="0.45">
      <c r="A1121" s="11">
        <v>27.92</v>
      </c>
      <c r="B1121" s="14">
        <v>5.7167999999999997E-4</v>
      </c>
      <c r="C1121" s="15">
        <v>2.8664000000000001E-4</v>
      </c>
    </row>
    <row r="1122" spans="1:3" x14ac:dyDescent="0.45">
      <c r="A1122" s="11">
        <v>27.93</v>
      </c>
      <c r="B1122" s="14">
        <v>5.7171999999999995E-4</v>
      </c>
      <c r="C1122" s="15">
        <v>2.8680999999999997E-4</v>
      </c>
    </row>
    <row r="1123" spans="1:3" x14ac:dyDescent="0.45">
      <c r="A1123" s="11">
        <v>27.94</v>
      </c>
      <c r="B1123" s="14">
        <v>5.7176000000000004E-4</v>
      </c>
      <c r="C1123" s="15">
        <v>2.8697999999999999E-4</v>
      </c>
    </row>
    <row r="1124" spans="1:3" x14ac:dyDescent="0.45">
      <c r="A1124" s="11">
        <v>27.95</v>
      </c>
      <c r="B1124" s="14">
        <v>5.7180000000000002E-4</v>
      </c>
      <c r="C1124" s="15">
        <v>2.8715000000000001E-4</v>
      </c>
    </row>
    <row r="1125" spans="1:3" x14ac:dyDescent="0.45">
      <c r="A1125" s="11">
        <v>27.96</v>
      </c>
      <c r="B1125" s="14">
        <v>5.7184E-4</v>
      </c>
      <c r="C1125" s="15">
        <v>2.8731999999999998E-4</v>
      </c>
    </row>
    <row r="1126" spans="1:3" x14ac:dyDescent="0.45">
      <c r="A1126" s="11">
        <v>27.97</v>
      </c>
      <c r="B1126" s="14">
        <v>5.7187999999999998E-4</v>
      </c>
      <c r="C1126" s="15">
        <v>2.8749E-4</v>
      </c>
    </row>
    <row r="1127" spans="1:3" x14ac:dyDescent="0.45">
      <c r="A1127" s="11">
        <v>27.98</v>
      </c>
      <c r="B1127" s="14">
        <v>5.7191999999999996E-4</v>
      </c>
      <c r="C1127" s="15">
        <v>2.8766000000000002E-4</v>
      </c>
    </row>
    <row r="1128" spans="1:3" x14ac:dyDescent="0.45">
      <c r="A1128" s="11">
        <v>27.99</v>
      </c>
      <c r="B1128" s="14">
        <v>5.7196000000000005E-4</v>
      </c>
      <c r="C1128" s="15">
        <v>2.8782999999999999E-4</v>
      </c>
    </row>
    <row r="1129" spans="1:3" x14ac:dyDescent="0.45">
      <c r="A1129" s="11">
        <v>28</v>
      </c>
      <c r="B1129" s="14">
        <v>5.7200000000000003E-4</v>
      </c>
      <c r="C1129" s="15">
        <v>2.8800000000000001E-4</v>
      </c>
    </row>
    <row r="1130" spans="1:3" x14ac:dyDescent="0.45">
      <c r="A1130" s="11">
        <v>28.01</v>
      </c>
      <c r="B1130" s="14">
        <v>5.7205000000000005E-4</v>
      </c>
      <c r="C1130" s="15">
        <v>2.8819000000000002E-4</v>
      </c>
    </row>
    <row r="1131" spans="1:3" x14ac:dyDescent="0.45">
      <c r="A1131" s="11">
        <v>28.02</v>
      </c>
      <c r="B1131" s="14">
        <v>5.7209999999999997E-4</v>
      </c>
      <c r="C1131" s="15">
        <v>2.8837999999999997E-4</v>
      </c>
    </row>
    <row r="1132" spans="1:3" x14ac:dyDescent="0.45">
      <c r="A1132" s="11">
        <v>28.03</v>
      </c>
      <c r="B1132" s="14">
        <v>5.7215E-4</v>
      </c>
      <c r="C1132" s="15">
        <v>2.8856999999999998E-4</v>
      </c>
    </row>
    <row r="1133" spans="1:3" x14ac:dyDescent="0.45">
      <c r="A1133" s="11">
        <v>28.04</v>
      </c>
      <c r="B1133" s="14">
        <v>5.7220000000000003E-4</v>
      </c>
      <c r="C1133" s="15">
        <v>2.8875999999999999E-4</v>
      </c>
    </row>
    <row r="1134" spans="1:3" x14ac:dyDescent="0.45">
      <c r="A1134" s="11">
        <v>28.05</v>
      </c>
      <c r="B1134" s="14">
        <v>5.7224999999999995E-4</v>
      </c>
      <c r="C1134" s="15">
        <v>2.8895E-4</v>
      </c>
    </row>
    <row r="1135" spans="1:3" x14ac:dyDescent="0.45">
      <c r="A1135" s="11">
        <v>28.06</v>
      </c>
      <c r="B1135" s="14">
        <v>5.7229999999999998E-4</v>
      </c>
      <c r="C1135" s="15">
        <v>2.8914000000000001E-4</v>
      </c>
    </row>
    <row r="1136" spans="1:3" x14ac:dyDescent="0.45">
      <c r="A1136" s="11">
        <v>28.07</v>
      </c>
      <c r="B1136" s="14">
        <v>5.7235000000000001E-4</v>
      </c>
      <c r="C1136" s="15">
        <v>2.8933000000000002E-4</v>
      </c>
    </row>
    <row r="1137" spans="1:3" x14ac:dyDescent="0.45">
      <c r="A1137" s="11">
        <v>28.08</v>
      </c>
      <c r="B1137" s="14">
        <v>5.7240000000000004E-4</v>
      </c>
      <c r="C1137" s="15">
        <v>2.8951999999999998E-4</v>
      </c>
    </row>
    <row r="1138" spans="1:3" x14ac:dyDescent="0.45">
      <c r="A1138" s="11">
        <v>28.09</v>
      </c>
      <c r="B1138" s="14">
        <v>5.7244999999999996E-4</v>
      </c>
      <c r="C1138" s="15">
        <v>2.8970999999999999E-4</v>
      </c>
    </row>
    <row r="1139" spans="1:3" x14ac:dyDescent="0.45">
      <c r="A1139" s="11">
        <v>28.1</v>
      </c>
      <c r="B1139" s="14">
        <v>5.7249999999999998E-4</v>
      </c>
      <c r="C1139" s="15">
        <v>2.899E-4</v>
      </c>
    </row>
    <row r="1140" spans="1:3" x14ac:dyDescent="0.45">
      <c r="A1140" s="11">
        <v>28.11</v>
      </c>
      <c r="B1140" s="14">
        <v>5.7255000000000001E-4</v>
      </c>
      <c r="C1140" s="15">
        <v>2.9009000000000001E-4</v>
      </c>
    </row>
    <row r="1141" spans="1:3" x14ac:dyDescent="0.45">
      <c r="A1141" s="11">
        <v>28.12</v>
      </c>
      <c r="B1141" s="14">
        <v>5.7260000000000004E-4</v>
      </c>
      <c r="C1141" s="15">
        <v>2.9028000000000002E-4</v>
      </c>
    </row>
    <row r="1142" spans="1:3" x14ac:dyDescent="0.45">
      <c r="A1142" s="11">
        <v>28.13</v>
      </c>
      <c r="B1142" s="14">
        <v>5.7264999999999996E-4</v>
      </c>
      <c r="C1142" s="15">
        <v>2.9046999999999998E-4</v>
      </c>
    </row>
    <row r="1143" spans="1:3" x14ac:dyDescent="0.45">
      <c r="A1143" s="11">
        <v>28.14</v>
      </c>
      <c r="B1143" s="14">
        <v>5.7269999999999999E-4</v>
      </c>
      <c r="C1143" s="15">
        <v>2.9065999999999999E-4</v>
      </c>
    </row>
    <row r="1144" spans="1:3" x14ac:dyDescent="0.45">
      <c r="A1144" s="11">
        <v>28.15</v>
      </c>
      <c r="B1144" s="14">
        <v>5.7275000000000002E-4</v>
      </c>
      <c r="C1144" s="15">
        <v>2.9085E-4</v>
      </c>
    </row>
    <row r="1145" spans="1:3" x14ac:dyDescent="0.45">
      <c r="A1145" s="11">
        <v>28.16</v>
      </c>
      <c r="B1145" s="14">
        <v>5.7280000000000005E-4</v>
      </c>
      <c r="C1145" s="15">
        <v>2.9104000000000001E-4</v>
      </c>
    </row>
    <row r="1146" spans="1:3" x14ac:dyDescent="0.45">
      <c r="A1146" s="11">
        <v>28.17</v>
      </c>
      <c r="B1146" s="14">
        <v>5.7284999999999997E-4</v>
      </c>
      <c r="C1146" s="15">
        <v>2.9123000000000002E-4</v>
      </c>
    </row>
    <row r="1147" spans="1:3" x14ac:dyDescent="0.45">
      <c r="A1147" s="11">
        <v>28.18</v>
      </c>
      <c r="B1147" s="14">
        <v>5.7289999999999999E-4</v>
      </c>
      <c r="C1147" s="15">
        <v>2.9142000000000003E-4</v>
      </c>
    </row>
    <row r="1148" spans="1:3" x14ac:dyDescent="0.45">
      <c r="A1148" s="11">
        <v>28.19</v>
      </c>
      <c r="B1148" s="14">
        <v>5.7295000000000002E-4</v>
      </c>
      <c r="C1148" s="15">
        <v>2.9160999999999998E-4</v>
      </c>
    </row>
    <row r="1149" spans="1:3" x14ac:dyDescent="0.45">
      <c r="A1149" s="11">
        <v>28.2</v>
      </c>
      <c r="B1149" s="14">
        <v>5.7300000000000005E-4</v>
      </c>
      <c r="C1149" s="15">
        <v>2.9179999999999999E-4</v>
      </c>
    </row>
    <row r="1150" spans="1:3" x14ac:dyDescent="0.45">
      <c r="A1150" s="11">
        <v>28.21</v>
      </c>
      <c r="B1150" s="14">
        <v>5.7304999999999997E-4</v>
      </c>
      <c r="C1150" s="15">
        <v>2.9199E-4</v>
      </c>
    </row>
    <row r="1151" spans="1:3" x14ac:dyDescent="0.45">
      <c r="A1151" s="11">
        <v>28.22</v>
      </c>
      <c r="B1151" s="14">
        <v>5.731E-4</v>
      </c>
      <c r="C1151" s="15">
        <v>2.9218000000000001E-4</v>
      </c>
    </row>
    <row r="1152" spans="1:3" x14ac:dyDescent="0.45">
      <c r="A1152" s="11">
        <v>28.23</v>
      </c>
      <c r="B1152" s="14">
        <v>5.7315000000000003E-4</v>
      </c>
      <c r="C1152" s="15">
        <v>2.9237000000000002E-4</v>
      </c>
    </row>
    <row r="1153" spans="1:3" x14ac:dyDescent="0.45">
      <c r="A1153" s="11">
        <v>28.24</v>
      </c>
      <c r="B1153" s="14">
        <v>5.7319999999999995E-4</v>
      </c>
      <c r="C1153" s="15">
        <v>2.9255999999999998E-4</v>
      </c>
    </row>
    <row r="1154" spans="1:3" x14ac:dyDescent="0.45">
      <c r="A1154" s="11">
        <v>28.25</v>
      </c>
      <c r="B1154" s="14">
        <v>5.7324999999999997E-4</v>
      </c>
      <c r="C1154" s="15">
        <v>2.9274999999999999E-4</v>
      </c>
    </row>
    <row r="1155" spans="1:3" x14ac:dyDescent="0.45">
      <c r="A1155" s="11">
        <v>28.26</v>
      </c>
      <c r="B1155" s="14">
        <v>5.733E-4</v>
      </c>
      <c r="C1155" s="15">
        <v>2.9294E-4</v>
      </c>
    </row>
    <row r="1156" spans="1:3" x14ac:dyDescent="0.45">
      <c r="A1156" s="11">
        <v>28.27</v>
      </c>
      <c r="B1156" s="14">
        <v>5.7335000000000003E-4</v>
      </c>
      <c r="C1156" s="15">
        <v>2.9313000000000001E-4</v>
      </c>
    </row>
    <row r="1157" spans="1:3" x14ac:dyDescent="0.45">
      <c r="A1157" s="11">
        <v>28.28</v>
      </c>
      <c r="B1157" s="14">
        <v>5.7339999999999995E-4</v>
      </c>
      <c r="C1157" s="15">
        <v>2.9332000000000002E-4</v>
      </c>
    </row>
    <row r="1158" spans="1:3" x14ac:dyDescent="0.45">
      <c r="A1158" s="11">
        <v>28.29</v>
      </c>
      <c r="B1158" s="14">
        <v>5.7344999999999998E-4</v>
      </c>
      <c r="C1158" s="15">
        <v>2.9350999999999997E-4</v>
      </c>
    </row>
    <row r="1159" spans="1:3" x14ac:dyDescent="0.45">
      <c r="A1159" s="11">
        <v>28.3</v>
      </c>
      <c r="B1159" s="14">
        <v>5.7350000000000001E-4</v>
      </c>
      <c r="C1159" s="15">
        <v>2.9369999999999998E-4</v>
      </c>
    </row>
    <row r="1160" spans="1:3" x14ac:dyDescent="0.45">
      <c r="A1160" s="11">
        <v>28.31</v>
      </c>
      <c r="B1160" s="14">
        <v>5.7355000000000004E-4</v>
      </c>
      <c r="C1160" s="15">
        <v>2.9388999999999999E-4</v>
      </c>
    </row>
    <row r="1161" spans="1:3" x14ac:dyDescent="0.45">
      <c r="A1161" s="11">
        <v>28.32</v>
      </c>
      <c r="B1161" s="14">
        <v>5.7359999999999996E-4</v>
      </c>
      <c r="C1161" s="15">
        <v>2.9408E-4</v>
      </c>
    </row>
    <row r="1162" spans="1:3" x14ac:dyDescent="0.45">
      <c r="A1162" s="11">
        <v>28.33</v>
      </c>
      <c r="B1162" s="14">
        <v>5.7364999999999998E-4</v>
      </c>
      <c r="C1162" s="15">
        <v>2.9427000000000001E-4</v>
      </c>
    </row>
    <row r="1163" spans="1:3" x14ac:dyDescent="0.45">
      <c r="A1163" s="11">
        <v>28.34</v>
      </c>
      <c r="B1163" s="14">
        <v>5.7370000000000001E-4</v>
      </c>
      <c r="C1163" s="15">
        <v>2.9446000000000002E-4</v>
      </c>
    </row>
    <row r="1164" spans="1:3" x14ac:dyDescent="0.45">
      <c r="A1164" s="11">
        <v>28.35</v>
      </c>
      <c r="B1164" s="14">
        <v>5.7375000000000004E-4</v>
      </c>
      <c r="C1164" s="15">
        <v>2.9464999999999998E-4</v>
      </c>
    </row>
    <row r="1165" spans="1:3" x14ac:dyDescent="0.45">
      <c r="A1165" s="11">
        <v>28.36</v>
      </c>
      <c r="B1165" s="14">
        <v>5.7379999999999996E-4</v>
      </c>
      <c r="C1165" s="15">
        <v>2.9483999999999999E-4</v>
      </c>
    </row>
    <row r="1166" spans="1:3" x14ac:dyDescent="0.45">
      <c r="A1166" s="11">
        <v>28.37</v>
      </c>
      <c r="B1166" s="14">
        <v>5.7384999999999999E-4</v>
      </c>
      <c r="C1166" s="15">
        <v>2.9503E-4</v>
      </c>
    </row>
    <row r="1167" spans="1:3" x14ac:dyDescent="0.45">
      <c r="A1167" s="11">
        <v>28.38</v>
      </c>
      <c r="B1167" s="14">
        <v>5.7390000000000002E-4</v>
      </c>
      <c r="C1167" s="15">
        <v>2.9522000000000001E-4</v>
      </c>
    </row>
    <row r="1168" spans="1:3" x14ac:dyDescent="0.45">
      <c r="A1168" s="11">
        <v>28.39</v>
      </c>
      <c r="B1168" s="14">
        <v>5.7395000000000005E-4</v>
      </c>
      <c r="C1168" s="15">
        <v>2.9541000000000002E-4</v>
      </c>
    </row>
    <row r="1169" spans="1:3" x14ac:dyDescent="0.45">
      <c r="A1169" s="11">
        <v>28.4</v>
      </c>
      <c r="B1169" s="14">
        <v>5.7399999999999997E-4</v>
      </c>
      <c r="C1169" s="15">
        <v>2.9559999999999998E-4</v>
      </c>
    </row>
    <row r="1170" spans="1:3" x14ac:dyDescent="0.45">
      <c r="A1170" s="11">
        <v>28.41</v>
      </c>
      <c r="B1170" s="14">
        <v>5.7404999999999999E-4</v>
      </c>
      <c r="C1170" s="15">
        <v>2.9578999999999999E-4</v>
      </c>
    </row>
    <row r="1171" spans="1:3" x14ac:dyDescent="0.45">
      <c r="A1171" s="11">
        <v>28.42</v>
      </c>
      <c r="B1171" s="14">
        <v>5.7410000000000002E-4</v>
      </c>
      <c r="C1171" s="15">
        <v>2.9598E-4</v>
      </c>
    </row>
    <row r="1172" spans="1:3" x14ac:dyDescent="0.45">
      <c r="A1172" s="11">
        <v>28.43</v>
      </c>
      <c r="B1172" s="14">
        <v>5.7415000000000005E-4</v>
      </c>
      <c r="C1172" s="15">
        <v>2.9617000000000001E-4</v>
      </c>
    </row>
    <row r="1173" spans="1:3" x14ac:dyDescent="0.45">
      <c r="A1173" s="11">
        <v>28.44</v>
      </c>
      <c r="B1173" s="14">
        <v>5.7419999999999997E-4</v>
      </c>
      <c r="C1173" s="15">
        <v>2.9636000000000002E-4</v>
      </c>
    </row>
    <row r="1174" spans="1:3" x14ac:dyDescent="0.45">
      <c r="A1174" s="11">
        <v>28.45</v>
      </c>
      <c r="B1174" s="14">
        <v>5.7425E-4</v>
      </c>
      <c r="C1174" s="15">
        <v>2.9655000000000003E-4</v>
      </c>
    </row>
    <row r="1175" spans="1:3" x14ac:dyDescent="0.45">
      <c r="A1175" s="11">
        <v>28.46</v>
      </c>
      <c r="B1175" s="14">
        <v>5.7430000000000003E-4</v>
      </c>
      <c r="C1175" s="15">
        <v>2.9673999999999998E-4</v>
      </c>
    </row>
    <row r="1176" spans="1:3" x14ac:dyDescent="0.45">
      <c r="A1176" s="11">
        <v>28.47</v>
      </c>
      <c r="B1176" s="14">
        <v>5.7434999999999995E-4</v>
      </c>
      <c r="C1176" s="15">
        <v>2.9692999999999999E-4</v>
      </c>
    </row>
    <row r="1177" spans="1:3" x14ac:dyDescent="0.45">
      <c r="A1177" s="11">
        <v>28.48</v>
      </c>
      <c r="B1177" s="14">
        <v>5.7439999999999998E-4</v>
      </c>
      <c r="C1177" s="15">
        <v>2.9712E-4</v>
      </c>
    </row>
    <row r="1178" spans="1:3" x14ac:dyDescent="0.45">
      <c r="A1178" s="11">
        <v>28.49</v>
      </c>
      <c r="B1178" s="14">
        <v>5.7445E-4</v>
      </c>
      <c r="C1178" s="15">
        <v>2.9731000000000001E-4</v>
      </c>
    </row>
    <row r="1179" spans="1:3" x14ac:dyDescent="0.45">
      <c r="A1179" s="11">
        <v>28.5</v>
      </c>
      <c r="B1179" s="14">
        <v>5.7450000000000003E-4</v>
      </c>
      <c r="C1179" s="15">
        <v>2.9750000000000002E-4</v>
      </c>
    </row>
    <row r="1180" spans="1:3" x14ac:dyDescent="0.45">
      <c r="A1180" s="11">
        <v>28.51</v>
      </c>
      <c r="B1180" s="14">
        <v>5.7454999999999995E-4</v>
      </c>
      <c r="C1180" s="15">
        <v>2.9768999999999998E-4</v>
      </c>
    </row>
    <row r="1181" spans="1:3" x14ac:dyDescent="0.45">
      <c r="A1181" s="11">
        <v>28.52</v>
      </c>
      <c r="B1181" s="14">
        <v>5.7459999999999998E-4</v>
      </c>
      <c r="C1181" s="15">
        <v>2.9787999999999999E-4</v>
      </c>
    </row>
    <row r="1182" spans="1:3" x14ac:dyDescent="0.45">
      <c r="A1182" s="11">
        <v>28.53</v>
      </c>
      <c r="B1182" s="14">
        <v>5.7465000000000001E-4</v>
      </c>
      <c r="C1182" s="15">
        <v>2.9807E-4</v>
      </c>
    </row>
    <row r="1183" spans="1:3" x14ac:dyDescent="0.45">
      <c r="A1183" s="11">
        <v>28.54</v>
      </c>
      <c r="B1183" s="14">
        <v>5.7470000000000004E-4</v>
      </c>
      <c r="C1183" s="15">
        <v>2.9826000000000001E-4</v>
      </c>
    </row>
    <row r="1184" spans="1:3" x14ac:dyDescent="0.45">
      <c r="A1184" s="11">
        <v>28.55</v>
      </c>
      <c r="B1184" s="14">
        <v>5.7474999999999996E-4</v>
      </c>
      <c r="C1184" s="15">
        <v>2.9845000000000002E-4</v>
      </c>
    </row>
    <row r="1185" spans="1:3" x14ac:dyDescent="0.45">
      <c r="A1185" s="11">
        <v>28.56</v>
      </c>
      <c r="B1185" s="14">
        <v>5.7479999999999999E-4</v>
      </c>
      <c r="C1185" s="15">
        <v>2.9863999999999997E-4</v>
      </c>
    </row>
    <row r="1186" spans="1:3" x14ac:dyDescent="0.45">
      <c r="A1186" s="11">
        <v>28.57</v>
      </c>
      <c r="B1186" s="14">
        <v>5.7485000000000001E-4</v>
      </c>
      <c r="C1186" s="15">
        <v>2.9882999999999998E-4</v>
      </c>
    </row>
    <row r="1187" spans="1:3" x14ac:dyDescent="0.45">
      <c r="A1187" s="11">
        <v>28.58</v>
      </c>
      <c r="B1187" s="14">
        <v>5.7490000000000004E-4</v>
      </c>
      <c r="C1187" s="15">
        <v>2.9901999999999999E-4</v>
      </c>
    </row>
    <row r="1188" spans="1:3" x14ac:dyDescent="0.45">
      <c r="A1188" s="11">
        <v>28.59</v>
      </c>
      <c r="B1188" s="14">
        <v>5.7494999999999996E-4</v>
      </c>
      <c r="C1188" s="15">
        <v>2.9921E-4</v>
      </c>
    </row>
    <row r="1189" spans="1:3" x14ac:dyDescent="0.45">
      <c r="A1189" s="11">
        <v>28.6</v>
      </c>
      <c r="B1189" s="14">
        <v>5.7499999999999999E-4</v>
      </c>
      <c r="C1189" s="15">
        <v>2.9940000000000001E-4</v>
      </c>
    </row>
    <row r="1190" spans="1:3" x14ac:dyDescent="0.45">
      <c r="A1190" s="11">
        <v>28.61</v>
      </c>
      <c r="B1190" s="14">
        <v>5.7505000000000002E-4</v>
      </c>
      <c r="C1190" s="15">
        <v>2.9959000000000002E-4</v>
      </c>
    </row>
    <row r="1191" spans="1:3" x14ac:dyDescent="0.45">
      <c r="A1191" s="11">
        <v>28.62</v>
      </c>
      <c r="B1191" s="14">
        <v>5.7510000000000005E-4</v>
      </c>
      <c r="C1191" s="15">
        <v>2.9977999999999998E-4</v>
      </c>
    </row>
    <row r="1192" spans="1:3" x14ac:dyDescent="0.45">
      <c r="A1192" s="11">
        <v>28.63</v>
      </c>
      <c r="B1192" s="14">
        <v>5.7514999999999997E-4</v>
      </c>
      <c r="C1192" s="15">
        <v>2.9996999999999999E-4</v>
      </c>
    </row>
    <row r="1193" spans="1:3" x14ac:dyDescent="0.45">
      <c r="A1193" s="11">
        <v>28.64</v>
      </c>
      <c r="B1193" s="14">
        <v>5.752E-4</v>
      </c>
      <c r="C1193" s="15">
        <v>3.0016E-4</v>
      </c>
    </row>
    <row r="1194" spans="1:3" x14ac:dyDescent="0.45">
      <c r="A1194" s="11">
        <v>28.65</v>
      </c>
      <c r="B1194" s="14">
        <v>5.7525000000000002E-4</v>
      </c>
      <c r="C1194" s="15">
        <v>3.0035000000000001E-4</v>
      </c>
    </row>
    <row r="1195" spans="1:3" x14ac:dyDescent="0.45">
      <c r="A1195" s="11">
        <v>28.66</v>
      </c>
      <c r="B1195" s="14">
        <v>5.7530000000000005E-4</v>
      </c>
      <c r="C1195" s="15">
        <v>3.0054000000000002E-4</v>
      </c>
    </row>
    <row r="1196" spans="1:3" x14ac:dyDescent="0.45">
      <c r="A1196" s="11">
        <v>28.67</v>
      </c>
      <c r="B1196" s="14">
        <v>5.7534999999999997E-4</v>
      </c>
      <c r="C1196" s="15">
        <v>3.0072999999999998E-4</v>
      </c>
    </row>
    <row r="1197" spans="1:3" x14ac:dyDescent="0.45">
      <c r="A1197" s="11">
        <v>28.68</v>
      </c>
      <c r="B1197" s="14">
        <v>5.754E-4</v>
      </c>
      <c r="C1197" s="15">
        <v>3.0091999999999999E-4</v>
      </c>
    </row>
    <row r="1198" spans="1:3" x14ac:dyDescent="0.45">
      <c r="A1198" s="11">
        <v>28.69</v>
      </c>
      <c r="B1198" s="14">
        <v>5.7545000000000003E-4</v>
      </c>
      <c r="C1198" s="15">
        <v>3.0111E-4</v>
      </c>
    </row>
    <row r="1199" spans="1:3" x14ac:dyDescent="0.45">
      <c r="A1199" s="11">
        <v>28.7</v>
      </c>
      <c r="B1199" s="14">
        <v>5.7549999999999995E-4</v>
      </c>
      <c r="C1199" s="15">
        <v>3.0130000000000001E-4</v>
      </c>
    </row>
    <row r="1200" spans="1:3" x14ac:dyDescent="0.45">
      <c r="A1200" s="11">
        <v>28.71</v>
      </c>
      <c r="B1200" s="14">
        <v>5.7554999999999998E-4</v>
      </c>
      <c r="C1200" s="15">
        <v>3.0149000000000002E-4</v>
      </c>
    </row>
    <row r="1201" spans="1:3" x14ac:dyDescent="0.45">
      <c r="A1201" s="11">
        <v>28.72</v>
      </c>
      <c r="B1201" s="14">
        <v>5.756E-4</v>
      </c>
      <c r="C1201" s="15">
        <v>3.0168000000000003E-4</v>
      </c>
    </row>
    <row r="1202" spans="1:3" x14ac:dyDescent="0.45">
      <c r="A1202" s="11">
        <v>28.73</v>
      </c>
      <c r="B1202" s="14">
        <v>5.7565000000000003E-4</v>
      </c>
      <c r="C1202" s="15">
        <v>3.0186999999999998E-4</v>
      </c>
    </row>
    <row r="1203" spans="1:3" x14ac:dyDescent="0.45">
      <c r="A1203" s="11">
        <v>28.74</v>
      </c>
      <c r="B1203" s="14">
        <v>5.7569999999999995E-4</v>
      </c>
      <c r="C1203" s="15">
        <v>3.0205999999999999E-4</v>
      </c>
    </row>
    <row r="1204" spans="1:3" x14ac:dyDescent="0.45">
      <c r="A1204" s="11">
        <v>28.75</v>
      </c>
      <c r="B1204" s="14">
        <v>5.7574999999999998E-4</v>
      </c>
      <c r="C1204" s="15">
        <v>3.0225E-4</v>
      </c>
    </row>
    <row r="1205" spans="1:3" x14ac:dyDescent="0.45">
      <c r="A1205" s="11">
        <v>28.76</v>
      </c>
      <c r="B1205" s="14">
        <v>5.7580000000000001E-4</v>
      </c>
      <c r="C1205" s="15">
        <v>3.0244000000000001E-4</v>
      </c>
    </row>
    <row r="1206" spans="1:3" x14ac:dyDescent="0.45">
      <c r="A1206" s="11">
        <v>28.77</v>
      </c>
      <c r="B1206" s="14">
        <v>5.7585000000000004E-4</v>
      </c>
      <c r="C1206" s="15">
        <v>3.0263000000000002E-4</v>
      </c>
    </row>
    <row r="1207" spans="1:3" x14ac:dyDescent="0.45">
      <c r="A1207" s="11">
        <v>28.78</v>
      </c>
      <c r="B1207" s="14">
        <v>5.7589999999999996E-4</v>
      </c>
      <c r="C1207" s="15">
        <v>3.0281999999999998E-4</v>
      </c>
    </row>
    <row r="1208" spans="1:3" x14ac:dyDescent="0.45">
      <c r="A1208" s="11">
        <v>28.79</v>
      </c>
      <c r="B1208" s="14">
        <v>5.7594999999999999E-4</v>
      </c>
      <c r="C1208" s="15">
        <v>3.0300999999999999E-4</v>
      </c>
    </row>
    <row r="1209" spans="1:3" x14ac:dyDescent="0.45">
      <c r="A1209" s="11">
        <v>28.8</v>
      </c>
      <c r="B1209" s="14">
        <v>5.7600000000000001E-4</v>
      </c>
      <c r="C1209" s="15">
        <v>3.032E-4</v>
      </c>
    </row>
    <row r="1210" spans="1:3" x14ac:dyDescent="0.45">
      <c r="A1210" s="11">
        <v>28.81</v>
      </c>
      <c r="B1210" s="14">
        <v>5.7605000000000004E-4</v>
      </c>
      <c r="C1210" s="15">
        <v>3.0339000000000001E-4</v>
      </c>
    </row>
    <row r="1211" spans="1:3" x14ac:dyDescent="0.45">
      <c r="A1211" s="11">
        <v>28.82</v>
      </c>
      <c r="B1211" s="14">
        <v>5.7609999999999996E-4</v>
      </c>
      <c r="C1211" s="15">
        <v>3.0358000000000002E-4</v>
      </c>
    </row>
    <row r="1212" spans="1:3" x14ac:dyDescent="0.45">
      <c r="A1212" s="11">
        <v>28.83</v>
      </c>
      <c r="B1212" s="14">
        <v>5.7614999999999999E-4</v>
      </c>
      <c r="C1212" s="15">
        <v>3.0376999999999997E-4</v>
      </c>
    </row>
    <row r="1213" spans="1:3" x14ac:dyDescent="0.45">
      <c r="A1213" s="11">
        <v>28.84</v>
      </c>
      <c r="B1213" s="14">
        <v>5.7620000000000002E-4</v>
      </c>
      <c r="C1213" s="15">
        <v>3.0395999999999998E-4</v>
      </c>
    </row>
    <row r="1214" spans="1:3" x14ac:dyDescent="0.45">
      <c r="A1214" s="11">
        <v>28.85</v>
      </c>
      <c r="B1214" s="14">
        <v>5.7625000000000005E-4</v>
      </c>
      <c r="C1214" s="15">
        <v>3.0414999999999999E-4</v>
      </c>
    </row>
    <row r="1215" spans="1:3" x14ac:dyDescent="0.45">
      <c r="A1215" s="11">
        <v>28.86</v>
      </c>
      <c r="B1215" s="14">
        <v>5.7629999999999997E-4</v>
      </c>
      <c r="C1215" s="15">
        <v>3.0434E-4</v>
      </c>
    </row>
    <row r="1216" spans="1:3" x14ac:dyDescent="0.45">
      <c r="A1216" s="11">
        <v>28.87</v>
      </c>
      <c r="B1216" s="14">
        <v>5.7635E-4</v>
      </c>
      <c r="C1216" s="15">
        <v>3.0453000000000001E-4</v>
      </c>
    </row>
    <row r="1217" spans="1:3" x14ac:dyDescent="0.45">
      <c r="A1217" s="11">
        <v>28.88</v>
      </c>
      <c r="B1217" s="14">
        <v>5.7640000000000002E-4</v>
      </c>
      <c r="C1217" s="15">
        <v>3.0472000000000002E-4</v>
      </c>
    </row>
    <row r="1218" spans="1:3" x14ac:dyDescent="0.45">
      <c r="A1218" s="11">
        <v>28.89</v>
      </c>
      <c r="B1218" s="14">
        <v>5.7645000000000005E-4</v>
      </c>
      <c r="C1218" s="15">
        <v>3.0490999999999998E-4</v>
      </c>
    </row>
    <row r="1219" spans="1:3" x14ac:dyDescent="0.45">
      <c r="A1219" s="11">
        <v>28.9</v>
      </c>
      <c r="B1219" s="14">
        <v>5.7649999999999997E-4</v>
      </c>
      <c r="C1219" s="15">
        <v>3.0509999999999999E-4</v>
      </c>
    </row>
    <row r="1220" spans="1:3" x14ac:dyDescent="0.45">
      <c r="A1220" s="11">
        <v>28.91</v>
      </c>
      <c r="B1220" s="14">
        <v>5.7655E-4</v>
      </c>
      <c r="C1220" s="15">
        <v>3.0529E-4</v>
      </c>
    </row>
    <row r="1221" spans="1:3" x14ac:dyDescent="0.45">
      <c r="A1221" s="11">
        <v>28.92</v>
      </c>
      <c r="B1221" s="14">
        <v>5.7660000000000003E-4</v>
      </c>
      <c r="C1221" s="15">
        <v>3.0548000000000001E-4</v>
      </c>
    </row>
    <row r="1222" spans="1:3" x14ac:dyDescent="0.45">
      <c r="A1222" s="11">
        <v>28.93</v>
      </c>
      <c r="B1222" s="14">
        <v>5.7664999999999995E-4</v>
      </c>
      <c r="C1222" s="15">
        <v>3.0567000000000002E-4</v>
      </c>
    </row>
    <row r="1223" spans="1:3" x14ac:dyDescent="0.45">
      <c r="A1223" s="11">
        <v>28.94</v>
      </c>
      <c r="B1223" s="14">
        <v>5.7669999999999998E-4</v>
      </c>
      <c r="C1223" s="15">
        <v>3.0585999999999998E-4</v>
      </c>
    </row>
    <row r="1224" spans="1:3" x14ac:dyDescent="0.45">
      <c r="A1224" s="11">
        <v>28.95</v>
      </c>
      <c r="B1224" s="14">
        <v>5.7675000000000001E-4</v>
      </c>
      <c r="C1224" s="15">
        <v>3.0604999999999999E-4</v>
      </c>
    </row>
    <row r="1225" spans="1:3" x14ac:dyDescent="0.45">
      <c r="A1225" s="11">
        <v>28.96</v>
      </c>
      <c r="B1225" s="14">
        <v>5.7680000000000003E-4</v>
      </c>
      <c r="C1225" s="15">
        <v>3.0624E-4</v>
      </c>
    </row>
    <row r="1226" spans="1:3" x14ac:dyDescent="0.45">
      <c r="A1226" s="11">
        <v>28.97</v>
      </c>
      <c r="B1226" s="14">
        <v>5.7684999999999995E-4</v>
      </c>
      <c r="C1226" s="15">
        <v>3.0643000000000001E-4</v>
      </c>
    </row>
    <row r="1227" spans="1:3" x14ac:dyDescent="0.45">
      <c r="A1227" s="11">
        <v>28.98</v>
      </c>
      <c r="B1227" s="14">
        <v>5.7689999999999998E-4</v>
      </c>
      <c r="C1227" s="15">
        <v>3.0662000000000002E-4</v>
      </c>
    </row>
    <row r="1228" spans="1:3" x14ac:dyDescent="0.45">
      <c r="A1228" s="11">
        <v>28.99</v>
      </c>
      <c r="B1228" s="14">
        <v>5.7695000000000001E-4</v>
      </c>
      <c r="C1228" s="15">
        <v>3.0681000000000003E-4</v>
      </c>
    </row>
    <row r="1229" spans="1:3" x14ac:dyDescent="0.45">
      <c r="A1229" s="11">
        <v>29</v>
      </c>
      <c r="B1229" s="14">
        <v>5.7700000000000004E-4</v>
      </c>
      <c r="C1229" s="15">
        <v>3.0699999999999998E-4</v>
      </c>
    </row>
    <row r="1230" spans="1:3" x14ac:dyDescent="0.45">
      <c r="A1230" s="11">
        <v>29.01</v>
      </c>
      <c r="B1230" s="14">
        <v>5.7708E-4</v>
      </c>
      <c r="C1230" s="15">
        <v>3.0720999999999998E-4</v>
      </c>
    </row>
    <row r="1231" spans="1:3" x14ac:dyDescent="0.45">
      <c r="A1231" s="11">
        <v>29.02</v>
      </c>
      <c r="B1231" s="14">
        <v>5.7715999999999996E-4</v>
      </c>
      <c r="C1231" s="15">
        <v>3.0741999999999998E-4</v>
      </c>
    </row>
    <row r="1232" spans="1:3" x14ac:dyDescent="0.45">
      <c r="A1232" s="11">
        <v>29.03</v>
      </c>
      <c r="B1232" s="14">
        <v>5.7724000000000002E-4</v>
      </c>
      <c r="C1232" s="15">
        <v>3.0762999999999998E-4</v>
      </c>
    </row>
    <row r="1233" spans="1:3" x14ac:dyDescent="0.45">
      <c r="A1233" s="11">
        <v>29.04</v>
      </c>
      <c r="B1233" s="14">
        <v>5.7731999999999998E-4</v>
      </c>
      <c r="C1233" s="15">
        <v>3.0783999999999998E-4</v>
      </c>
    </row>
    <row r="1234" spans="1:3" x14ac:dyDescent="0.45">
      <c r="A1234" s="11">
        <v>29.05</v>
      </c>
      <c r="B1234" s="14">
        <v>5.7740000000000005E-4</v>
      </c>
      <c r="C1234" s="15">
        <v>3.0804999999999998E-4</v>
      </c>
    </row>
    <row r="1235" spans="1:3" x14ac:dyDescent="0.45">
      <c r="A1235" s="11">
        <v>29.06</v>
      </c>
      <c r="B1235" s="14">
        <v>5.7748000000000001E-4</v>
      </c>
      <c r="C1235" s="15">
        <v>3.0825999999999998E-4</v>
      </c>
    </row>
    <row r="1236" spans="1:3" x14ac:dyDescent="0.45">
      <c r="A1236" s="11">
        <v>29.07</v>
      </c>
      <c r="B1236" s="14">
        <v>5.7755999999999997E-4</v>
      </c>
      <c r="C1236" s="15">
        <v>3.0846999999999998E-4</v>
      </c>
    </row>
    <row r="1237" spans="1:3" x14ac:dyDescent="0.45">
      <c r="A1237" s="11">
        <v>29.08</v>
      </c>
      <c r="B1237" s="14">
        <v>5.7764000000000003E-4</v>
      </c>
      <c r="C1237" s="15">
        <v>3.0867999999999998E-4</v>
      </c>
    </row>
    <row r="1238" spans="1:3" x14ac:dyDescent="0.45">
      <c r="A1238" s="11">
        <v>29.09</v>
      </c>
      <c r="B1238" s="14">
        <v>5.7771999999999999E-4</v>
      </c>
      <c r="C1238" s="15">
        <v>3.0888999999999998E-4</v>
      </c>
    </row>
    <row r="1239" spans="1:3" x14ac:dyDescent="0.45">
      <c r="A1239" s="11">
        <v>29.1</v>
      </c>
      <c r="B1239" s="14">
        <v>5.7779999999999995E-4</v>
      </c>
      <c r="C1239" s="15">
        <v>3.0909999999999998E-4</v>
      </c>
    </row>
    <row r="1240" spans="1:3" x14ac:dyDescent="0.45">
      <c r="A1240" s="11">
        <v>29.11</v>
      </c>
      <c r="B1240" s="14">
        <v>5.7788000000000002E-4</v>
      </c>
      <c r="C1240" s="15">
        <v>3.0930999999999998E-4</v>
      </c>
    </row>
    <row r="1241" spans="1:3" x14ac:dyDescent="0.45">
      <c r="A1241" s="11">
        <v>29.12</v>
      </c>
      <c r="B1241" s="14">
        <v>5.7795999999999998E-4</v>
      </c>
      <c r="C1241" s="15">
        <v>3.0951999999999998E-4</v>
      </c>
    </row>
    <row r="1242" spans="1:3" x14ac:dyDescent="0.45">
      <c r="A1242" s="11">
        <v>29.13</v>
      </c>
      <c r="B1242" s="14">
        <v>5.7804000000000004E-4</v>
      </c>
      <c r="C1242" s="15">
        <v>3.0972999999999998E-4</v>
      </c>
    </row>
    <row r="1243" spans="1:3" x14ac:dyDescent="0.45">
      <c r="A1243" s="11">
        <v>29.14</v>
      </c>
      <c r="B1243" s="14">
        <v>5.7812E-4</v>
      </c>
      <c r="C1243" s="15">
        <v>3.0993999999999998E-4</v>
      </c>
    </row>
    <row r="1244" spans="1:3" x14ac:dyDescent="0.45">
      <c r="A1244" s="11">
        <v>29.15</v>
      </c>
      <c r="B1244" s="14">
        <v>5.7819999999999996E-4</v>
      </c>
      <c r="C1244" s="15">
        <v>3.1014999999999998E-4</v>
      </c>
    </row>
    <row r="1245" spans="1:3" x14ac:dyDescent="0.45">
      <c r="A1245" s="11">
        <v>29.16</v>
      </c>
      <c r="B1245" s="14">
        <v>5.7828000000000003E-4</v>
      </c>
      <c r="C1245" s="15">
        <v>3.1035999999999998E-4</v>
      </c>
    </row>
    <row r="1246" spans="1:3" x14ac:dyDescent="0.45">
      <c r="A1246" s="11">
        <v>29.17</v>
      </c>
      <c r="B1246" s="14">
        <v>5.7835999999999999E-4</v>
      </c>
      <c r="C1246" s="15">
        <v>3.1056999999999998E-4</v>
      </c>
    </row>
    <row r="1247" spans="1:3" x14ac:dyDescent="0.45">
      <c r="A1247" s="11">
        <v>29.18</v>
      </c>
      <c r="B1247" s="14">
        <v>5.7844000000000005E-4</v>
      </c>
      <c r="C1247" s="15">
        <v>3.1077999999999998E-4</v>
      </c>
    </row>
    <row r="1248" spans="1:3" x14ac:dyDescent="0.45">
      <c r="A1248" s="11">
        <v>29.19</v>
      </c>
      <c r="B1248" s="14">
        <v>5.7852000000000001E-4</v>
      </c>
      <c r="C1248" s="15">
        <v>3.1098999999999998E-4</v>
      </c>
    </row>
    <row r="1249" spans="1:3" x14ac:dyDescent="0.45">
      <c r="A1249" s="11">
        <v>29.2</v>
      </c>
      <c r="B1249" s="14">
        <v>5.7859999999999997E-4</v>
      </c>
      <c r="C1249" s="15">
        <v>3.1119999999999997E-4</v>
      </c>
    </row>
    <row r="1250" spans="1:3" x14ac:dyDescent="0.45">
      <c r="A1250" s="11">
        <v>29.21</v>
      </c>
      <c r="B1250" s="14">
        <v>5.7868000000000004E-4</v>
      </c>
      <c r="C1250" s="15">
        <v>3.1140999999999997E-4</v>
      </c>
    </row>
    <row r="1251" spans="1:3" x14ac:dyDescent="0.45">
      <c r="A1251" s="11">
        <v>29.22</v>
      </c>
      <c r="B1251" s="14">
        <v>5.7875999999999999E-4</v>
      </c>
      <c r="C1251" s="15">
        <v>3.1161999999999997E-4</v>
      </c>
    </row>
    <row r="1252" spans="1:3" x14ac:dyDescent="0.45">
      <c r="A1252" s="11">
        <v>29.23</v>
      </c>
      <c r="B1252" s="14">
        <v>5.7883999999999995E-4</v>
      </c>
      <c r="C1252" s="15">
        <v>3.1182999999999997E-4</v>
      </c>
    </row>
    <row r="1253" spans="1:3" x14ac:dyDescent="0.45">
      <c r="A1253" s="11">
        <v>29.24</v>
      </c>
      <c r="B1253" s="14">
        <v>5.7892000000000002E-4</v>
      </c>
      <c r="C1253" s="15">
        <v>3.1203999999999997E-4</v>
      </c>
    </row>
    <row r="1254" spans="1:3" x14ac:dyDescent="0.45">
      <c r="A1254" s="11">
        <v>29.25</v>
      </c>
      <c r="B1254" s="14">
        <v>5.7899999999999998E-4</v>
      </c>
      <c r="C1254" s="15">
        <v>3.1224999999999997E-4</v>
      </c>
    </row>
    <row r="1255" spans="1:3" x14ac:dyDescent="0.45">
      <c r="A1255" s="11">
        <v>29.26</v>
      </c>
      <c r="B1255" s="14">
        <v>5.7908000000000005E-4</v>
      </c>
      <c r="C1255" s="15">
        <v>3.1245999999999997E-4</v>
      </c>
    </row>
    <row r="1256" spans="1:3" x14ac:dyDescent="0.45">
      <c r="A1256" s="11">
        <v>29.27</v>
      </c>
      <c r="B1256" s="14">
        <v>5.7916E-4</v>
      </c>
      <c r="C1256" s="15">
        <v>3.1267000000000003E-4</v>
      </c>
    </row>
    <row r="1257" spans="1:3" x14ac:dyDescent="0.45">
      <c r="A1257" s="11">
        <v>29.28</v>
      </c>
      <c r="B1257" s="14">
        <v>5.7923999999999996E-4</v>
      </c>
      <c r="C1257" s="15">
        <v>3.1288000000000003E-4</v>
      </c>
    </row>
    <row r="1258" spans="1:3" x14ac:dyDescent="0.45">
      <c r="A1258" s="11">
        <v>29.29</v>
      </c>
      <c r="B1258" s="14">
        <v>5.7932000000000003E-4</v>
      </c>
      <c r="C1258" s="15">
        <v>3.1309000000000003E-4</v>
      </c>
    </row>
    <row r="1259" spans="1:3" x14ac:dyDescent="0.45">
      <c r="A1259" s="11">
        <v>29.3</v>
      </c>
      <c r="B1259" s="14">
        <v>5.7939999999999999E-4</v>
      </c>
      <c r="C1259" s="15">
        <v>3.1330000000000003E-4</v>
      </c>
    </row>
    <row r="1260" spans="1:3" x14ac:dyDescent="0.45">
      <c r="A1260" s="11">
        <v>29.31</v>
      </c>
      <c r="B1260" s="14">
        <v>5.7947999999999995E-4</v>
      </c>
      <c r="C1260" s="15">
        <v>3.1351000000000003E-4</v>
      </c>
    </row>
    <row r="1261" spans="1:3" x14ac:dyDescent="0.45">
      <c r="A1261" s="11">
        <v>29.32</v>
      </c>
      <c r="B1261" s="14">
        <v>5.7956000000000001E-4</v>
      </c>
      <c r="C1261" s="15">
        <v>3.1372000000000003E-4</v>
      </c>
    </row>
    <row r="1262" spans="1:3" x14ac:dyDescent="0.45">
      <c r="A1262" s="11">
        <v>29.33</v>
      </c>
      <c r="B1262" s="14">
        <v>5.7963999999999997E-4</v>
      </c>
      <c r="C1262" s="15">
        <v>3.1393000000000003E-4</v>
      </c>
    </row>
    <row r="1263" spans="1:3" x14ac:dyDescent="0.45">
      <c r="A1263" s="11">
        <v>29.34</v>
      </c>
      <c r="B1263" s="14">
        <v>5.7972000000000004E-4</v>
      </c>
      <c r="C1263" s="15">
        <v>3.1414000000000002E-4</v>
      </c>
    </row>
    <row r="1264" spans="1:3" x14ac:dyDescent="0.45">
      <c r="A1264" s="11">
        <v>29.35</v>
      </c>
      <c r="B1264" s="14">
        <v>5.798E-4</v>
      </c>
      <c r="C1264" s="15">
        <v>3.1435000000000002E-4</v>
      </c>
    </row>
    <row r="1265" spans="1:3" x14ac:dyDescent="0.45">
      <c r="A1265" s="11">
        <v>29.36</v>
      </c>
      <c r="B1265" s="14">
        <v>5.7987999999999996E-4</v>
      </c>
      <c r="C1265" s="15">
        <v>3.1456000000000002E-4</v>
      </c>
    </row>
    <row r="1266" spans="1:3" x14ac:dyDescent="0.45">
      <c r="A1266" s="11">
        <v>29.37</v>
      </c>
      <c r="B1266" s="14">
        <v>5.7996000000000002E-4</v>
      </c>
      <c r="C1266" s="15">
        <v>3.1477000000000002E-4</v>
      </c>
    </row>
    <row r="1267" spans="1:3" x14ac:dyDescent="0.45">
      <c r="A1267" s="11">
        <v>29.38</v>
      </c>
      <c r="B1267" s="14">
        <v>5.8003999999999998E-4</v>
      </c>
      <c r="C1267" s="15">
        <v>3.1498000000000002E-4</v>
      </c>
    </row>
    <row r="1268" spans="1:3" x14ac:dyDescent="0.45">
      <c r="A1268" s="11">
        <v>29.39</v>
      </c>
      <c r="B1268" s="14">
        <v>5.8012000000000005E-4</v>
      </c>
      <c r="C1268" s="15">
        <v>3.1519000000000002E-4</v>
      </c>
    </row>
    <row r="1269" spans="1:3" x14ac:dyDescent="0.45">
      <c r="A1269" s="11">
        <v>29.4</v>
      </c>
      <c r="B1269" s="14">
        <v>5.8020000000000001E-4</v>
      </c>
      <c r="C1269" s="15">
        <v>3.1540000000000002E-4</v>
      </c>
    </row>
    <row r="1270" spans="1:3" x14ac:dyDescent="0.45">
      <c r="A1270" s="11">
        <v>29.41</v>
      </c>
      <c r="B1270" s="14">
        <v>5.8027999999999997E-4</v>
      </c>
      <c r="C1270" s="15">
        <v>3.1561000000000002E-4</v>
      </c>
    </row>
    <row r="1271" spans="1:3" x14ac:dyDescent="0.45">
      <c r="A1271" s="11">
        <v>29.42</v>
      </c>
      <c r="B1271" s="14">
        <v>5.8036000000000003E-4</v>
      </c>
      <c r="C1271" s="15">
        <v>3.1582000000000002E-4</v>
      </c>
    </row>
    <row r="1272" spans="1:3" x14ac:dyDescent="0.45">
      <c r="A1272" s="11">
        <v>29.43</v>
      </c>
      <c r="B1272" s="14">
        <v>5.8043999999999999E-4</v>
      </c>
      <c r="C1272" s="15">
        <v>3.1603000000000002E-4</v>
      </c>
    </row>
    <row r="1273" spans="1:3" x14ac:dyDescent="0.45">
      <c r="A1273" s="11">
        <v>29.44</v>
      </c>
      <c r="B1273" s="14">
        <v>5.8051999999999995E-4</v>
      </c>
      <c r="C1273" s="15">
        <v>3.1624000000000002E-4</v>
      </c>
    </row>
    <row r="1274" spans="1:3" x14ac:dyDescent="0.45">
      <c r="A1274" s="11">
        <v>29.45</v>
      </c>
      <c r="B1274" s="14">
        <v>5.8060000000000002E-4</v>
      </c>
      <c r="C1274" s="15">
        <v>3.1645000000000002E-4</v>
      </c>
    </row>
    <row r="1275" spans="1:3" x14ac:dyDescent="0.45">
      <c r="A1275" s="11">
        <v>29.46</v>
      </c>
      <c r="B1275" s="14">
        <v>5.8067999999999998E-4</v>
      </c>
      <c r="C1275" s="15">
        <v>3.1666000000000002E-4</v>
      </c>
    </row>
    <row r="1276" spans="1:3" x14ac:dyDescent="0.45">
      <c r="A1276" s="11">
        <v>29.47</v>
      </c>
      <c r="B1276" s="14">
        <v>5.8076000000000004E-4</v>
      </c>
      <c r="C1276" s="15">
        <v>3.1687000000000002E-4</v>
      </c>
    </row>
    <row r="1277" spans="1:3" x14ac:dyDescent="0.45">
      <c r="A1277" s="11">
        <v>29.48</v>
      </c>
      <c r="B1277" s="14">
        <v>5.8084E-4</v>
      </c>
      <c r="C1277" s="15">
        <v>3.1708000000000002E-4</v>
      </c>
    </row>
    <row r="1278" spans="1:3" x14ac:dyDescent="0.45">
      <c r="A1278" s="11">
        <v>29.49</v>
      </c>
      <c r="B1278" s="14">
        <v>5.8091999999999996E-4</v>
      </c>
      <c r="C1278" s="15">
        <v>3.1729000000000002E-4</v>
      </c>
    </row>
    <row r="1279" spans="1:3" x14ac:dyDescent="0.45">
      <c r="A1279" s="11">
        <v>29.5</v>
      </c>
      <c r="B1279" s="14">
        <v>5.8100000000000003E-4</v>
      </c>
      <c r="C1279" s="15">
        <v>3.1750000000000002E-4</v>
      </c>
    </row>
    <row r="1280" spans="1:3" x14ac:dyDescent="0.45">
      <c r="A1280" s="11">
        <v>29.51</v>
      </c>
      <c r="B1280" s="14">
        <v>5.8107999999999999E-4</v>
      </c>
      <c r="C1280" s="15">
        <v>3.1771000000000002E-4</v>
      </c>
    </row>
    <row r="1281" spans="1:3" x14ac:dyDescent="0.45">
      <c r="A1281" s="11">
        <v>29.52</v>
      </c>
      <c r="B1281" s="14">
        <v>5.8116000000000005E-4</v>
      </c>
      <c r="C1281" s="15">
        <v>3.1792000000000002E-4</v>
      </c>
    </row>
    <row r="1282" spans="1:3" x14ac:dyDescent="0.45">
      <c r="A1282" s="11">
        <v>29.53</v>
      </c>
      <c r="B1282" s="14">
        <v>5.8124000000000001E-4</v>
      </c>
      <c r="C1282" s="15">
        <v>3.1813000000000002E-4</v>
      </c>
    </row>
    <row r="1283" spans="1:3" x14ac:dyDescent="0.45">
      <c r="A1283" s="11">
        <v>29.54</v>
      </c>
      <c r="B1283" s="14">
        <v>5.8131999999999997E-4</v>
      </c>
      <c r="C1283" s="15">
        <v>3.1834000000000002E-4</v>
      </c>
    </row>
    <row r="1284" spans="1:3" x14ac:dyDescent="0.45">
      <c r="A1284" s="11">
        <v>29.55</v>
      </c>
      <c r="B1284" s="14">
        <v>5.8140000000000004E-4</v>
      </c>
      <c r="C1284" s="15">
        <v>3.1855000000000002E-4</v>
      </c>
    </row>
    <row r="1285" spans="1:3" x14ac:dyDescent="0.45">
      <c r="A1285" s="11">
        <v>29.56</v>
      </c>
      <c r="B1285" s="14">
        <v>5.8148E-4</v>
      </c>
      <c r="C1285" s="15">
        <v>3.1876000000000002E-4</v>
      </c>
    </row>
    <row r="1286" spans="1:3" x14ac:dyDescent="0.45">
      <c r="A1286" s="11">
        <v>29.57</v>
      </c>
      <c r="B1286" s="14">
        <v>5.8155999999999995E-4</v>
      </c>
      <c r="C1286" s="15">
        <v>3.1897000000000002E-4</v>
      </c>
    </row>
    <row r="1287" spans="1:3" x14ac:dyDescent="0.45">
      <c r="A1287" s="11">
        <v>29.58</v>
      </c>
      <c r="B1287" s="14">
        <v>5.8164000000000002E-4</v>
      </c>
      <c r="C1287" s="15">
        <v>3.1918000000000002E-4</v>
      </c>
    </row>
    <row r="1288" spans="1:3" x14ac:dyDescent="0.45">
      <c r="A1288" s="11">
        <v>29.59</v>
      </c>
      <c r="B1288" s="14">
        <v>5.8171999999999998E-4</v>
      </c>
      <c r="C1288" s="15">
        <v>3.1939000000000002E-4</v>
      </c>
    </row>
    <row r="1289" spans="1:3" x14ac:dyDescent="0.45">
      <c r="A1289" s="11">
        <v>29.6</v>
      </c>
      <c r="B1289" s="14">
        <v>5.8180000000000005E-4</v>
      </c>
      <c r="C1289" s="15">
        <v>3.1960000000000002E-4</v>
      </c>
    </row>
    <row r="1290" spans="1:3" x14ac:dyDescent="0.45">
      <c r="A1290" s="11">
        <v>29.61</v>
      </c>
      <c r="B1290" s="14">
        <v>5.8188000000000001E-4</v>
      </c>
      <c r="C1290" s="15">
        <v>3.1981000000000002E-4</v>
      </c>
    </row>
    <row r="1291" spans="1:3" x14ac:dyDescent="0.45">
      <c r="A1291" s="11">
        <v>29.62</v>
      </c>
      <c r="B1291" s="14">
        <v>5.8195999999999996E-4</v>
      </c>
      <c r="C1291" s="15">
        <v>3.2002000000000002E-4</v>
      </c>
    </row>
    <row r="1292" spans="1:3" x14ac:dyDescent="0.45">
      <c r="A1292" s="11">
        <v>29.63</v>
      </c>
      <c r="B1292" s="14">
        <v>5.8204000000000003E-4</v>
      </c>
      <c r="C1292" s="15">
        <v>3.2023000000000002E-4</v>
      </c>
    </row>
    <row r="1293" spans="1:3" x14ac:dyDescent="0.45">
      <c r="A1293" s="11">
        <v>29.64</v>
      </c>
      <c r="B1293" s="14">
        <v>5.8211999999999999E-4</v>
      </c>
      <c r="C1293" s="15">
        <v>3.2044000000000002E-4</v>
      </c>
    </row>
    <row r="1294" spans="1:3" x14ac:dyDescent="0.45">
      <c r="A1294" s="11">
        <v>29.65</v>
      </c>
      <c r="B1294" s="14">
        <v>5.8219999999999995E-4</v>
      </c>
      <c r="C1294" s="15">
        <v>3.2065000000000001E-4</v>
      </c>
    </row>
    <row r="1295" spans="1:3" x14ac:dyDescent="0.45">
      <c r="A1295" s="11">
        <v>29.66</v>
      </c>
      <c r="B1295" s="14">
        <v>5.8228000000000002E-4</v>
      </c>
      <c r="C1295" s="15">
        <v>3.2086000000000001E-4</v>
      </c>
    </row>
    <row r="1296" spans="1:3" x14ac:dyDescent="0.45">
      <c r="A1296" s="11">
        <v>29.67</v>
      </c>
      <c r="B1296" s="14">
        <v>5.8235999999999997E-4</v>
      </c>
      <c r="C1296" s="15">
        <v>3.2107000000000001E-4</v>
      </c>
    </row>
    <row r="1297" spans="1:3" x14ac:dyDescent="0.45">
      <c r="A1297" s="11">
        <v>29.68</v>
      </c>
      <c r="B1297" s="14">
        <v>5.8244000000000004E-4</v>
      </c>
      <c r="C1297" s="15">
        <v>3.2128000000000001E-4</v>
      </c>
    </row>
    <row r="1298" spans="1:3" x14ac:dyDescent="0.45">
      <c r="A1298" s="11">
        <v>29.69</v>
      </c>
      <c r="B1298" s="14">
        <v>5.8252E-4</v>
      </c>
      <c r="C1298" s="15">
        <v>3.2149000000000001E-4</v>
      </c>
    </row>
    <row r="1299" spans="1:3" x14ac:dyDescent="0.45">
      <c r="A1299" s="11">
        <v>29.7</v>
      </c>
      <c r="B1299" s="14">
        <v>5.8259999999999996E-4</v>
      </c>
      <c r="C1299" s="15">
        <v>3.2170000000000001E-4</v>
      </c>
    </row>
    <row r="1300" spans="1:3" x14ac:dyDescent="0.45">
      <c r="A1300" s="11">
        <v>29.71</v>
      </c>
      <c r="B1300" s="14">
        <v>5.8268000000000003E-4</v>
      </c>
      <c r="C1300" s="15">
        <v>3.2191000000000001E-4</v>
      </c>
    </row>
    <row r="1301" spans="1:3" x14ac:dyDescent="0.45">
      <c r="A1301" s="11">
        <v>29.72</v>
      </c>
      <c r="B1301" s="14">
        <v>5.8275999999999998E-4</v>
      </c>
      <c r="C1301" s="15">
        <v>3.2212000000000001E-4</v>
      </c>
    </row>
    <row r="1302" spans="1:3" x14ac:dyDescent="0.45">
      <c r="A1302" s="11">
        <v>29.73</v>
      </c>
      <c r="B1302" s="14">
        <v>5.8284000000000005E-4</v>
      </c>
      <c r="C1302" s="15">
        <v>3.2233000000000001E-4</v>
      </c>
    </row>
    <row r="1303" spans="1:3" x14ac:dyDescent="0.45">
      <c r="A1303" s="11">
        <v>29.74</v>
      </c>
      <c r="B1303" s="14">
        <v>5.8292000000000001E-4</v>
      </c>
      <c r="C1303" s="15">
        <v>3.2254000000000001E-4</v>
      </c>
    </row>
    <row r="1304" spans="1:3" x14ac:dyDescent="0.45">
      <c r="A1304" s="11">
        <v>29.75</v>
      </c>
      <c r="B1304" s="14">
        <v>5.8299999999999997E-4</v>
      </c>
      <c r="C1304" s="15">
        <v>3.2275000000000001E-4</v>
      </c>
    </row>
    <row r="1305" spans="1:3" x14ac:dyDescent="0.45">
      <c r="A1305" s="11">
        <v>29.76</v>
      </c>
      <c r="B1305" s="14">
        <v>5.8308000000000003E-4</v>
      </c>
      <c r="C1305" s="15">
        <v>3.2296000000000001E-4</v>
      </c>
    </row>
    <row r="1306" spans="1:3" x14ac:dyDescent="0.45">
      <c r="A1306" s="11">
        <v>29.77</v>
      </c>
      <c r="B1306" s="14">
        <v>5.8315999999999999E-4</v>
      </c>
      <c r="C1306" s="15">
        <v>3.2317000000000001E-4</v>
      </c>
    </row>
    <row r="1307" spans="1:3" x14ac:dyDescent="0.45">
      <c r="A1307" s="11">
        <v>29.78</v>
      </c>
      <c r="B1307" s="14">
        <v>5.8323999999999995E-4</v>
      </c>
      <c r="C1307" s="15">
        <v>3.2338000000000001E-4</v>
      </c>
    </row>
    <row r="1308" spans="1:3" x14ac:dyDescent="0.45">
      <c r="A1308" s="11">
        <v>29.79</v>
      </c>
      <c r="B1308" s="14">
        <v>5.8332000000000002E-4</v>
      </c>
      <c r="C1308" s="15">
        <v>3.2359000000000001E-4</v>
      </c>
    </row>
    <row r="1309" spans="1:3" x14ac:dyDescent="0.45">
      <c r="A1309" s="11">
        <v>29.8</v>
      </c>
      <c r="B1309" s="14">
        <v>5.8339999999999998E-4</v>
      </c>
      <c r="C1309" s="15">
        <v>3.2380000000000001E-4</v>
      </c>
    </row>
    <row r="1310" spans="1:3" x14ac:dyDescent="0.45">
      <c r="A1310" s="11">
        <v>29.81</v>
      </c>
      <c r="B1310" s="14">
        <v>5.8348000000000004E-4</v>
      </c>
      <c r="C1310" s="15">
        <v>3.2401000000000001E-4</v>
      </c>
    </row>
    <row r="1311" spans="1:3" x14ac:dyDescent="0.45">
      <c r="A1311" s="11">
        <v>29.82</v>
      </c>
      <c r="B1311" s="14">
        <v>5.8356E-4</v>
      </c>
      <c r="C1311" s="15">
        <v>3.2422000000000001E-4</v>
      </c>
    </row>
    <row r="1312" spans="1:3" x14ac:dyDescent="0.45">
      <c r="A1312" s="11">
        <v>29.83</v>
      </c>
      <c r="B1312" s="14">
        <v>5.8363999999999996E-4</v>
      </c>
      <c r="C1312" s="15">
        <v>3.2443000000000001E-4</v>
      </c>
    </row>
    <row r="1313" spans="1:3" x14ac:dyDescent="0.45">
      <c r="A1313" s="11">
        <v>29.84</v>
      </c>
      <c r="B1313" s="14">
        <v>5.8372000000000003E-4</v>
      </c>
      <c r="C1313" s="15">
        <v>3.2464000000000001E-4</v>
      </c>
    </row>
    <row r="1314" spans="1:3" x14ac:dyDescent="0.45">
      <c r="A1314" s="11">
        <v>29.85</v>
      </c>
      <c r="B1314" s="14">
        <v>5.8379999999999999E-4</v>
      </c>
      <c r="C1314" s="15">
        <v>3.2485000000000001E-4</v>
      </c>
    </row>
    <row r="1315" spans="1:3" x14ac:dyDescent="0.45">
      <c r="A1315" s="11">
        <v>29.86</v>
      </c>
      <c r="B1315" s="14">
        <v>5.8387999999999995E-4</v>
      </c>
      <c r="C1315" s="15">
        <v>3.2506000000000001E-4</v>
      </c>
    </row>
    <row r="1316" spans="1:3" x14ac:dyDescent="0.45">
      <c r="A1316" s="11">
        <v>29.87</v>
      </c>
      <c r="B1316" s="14">
        <v>5.8396000000000001E-4</v>
      </c>
      <c r="C1316" s="15">
        <v>3.2527000000000001E-4</v>
      </c>
    </row>
    <row r="1317" spans="1:3" x14ac:dyDescent="0.45">
      <c r="A1317" s="11">
        <v>29.88</v>
      </c>
      <c r="B1317" s="14">
        <v>5.8403999999999997E-4</v>
      </c>
      <c r="C1317" s="15">
        <v>3.2548000000000001E-4</v>
      </c>
    </row>
    <row r="1318" spans="1:3" x14ac:dyDescent="0.45">
      <c r="A1318" s="11">
        <v>29.89</v>
      </c>
      <c r="B1318" s="14">
        <v>5.8412000000000004E-4</v>
      </c>
      <c r="C1318" s="15">
        <v>3.2569000000000001E-4</v>
      </c>
    </row>
    <row r="1319" spans="1:3" x14ac:dyDescent="0.45">
      <c r="A1319" s="11">
        <v>29.9</v>
      </c>
      <c r="B1319" s="14">
        <v>5.842E-4</v>
      </c>
      <c r="C1319" s="15">
        <v>3.2590000000000001E-4</v>
      </c>
    </row>
    <row r="1320" spans="1:3" x14ac:dyDescent="0.45">
      <c r="A1320" s="11">
        <v>29.91</v>
      </c>
      <c r="B1320" s="14">
        <v>5.8427999999999996E-4</v>
      </c>
      <c r="C1320" s="15">
        <v>3.2611000000000001E-4</v>
      </c>
    </row>
    <row r="1321" spans="1:3" x14ac:dyDescent="0.45">
      <c r="A1321" s="11">
        <v>29.92</v>
      </c>
      <c r="B1321" s="14">
        <v>5.8436000000000002E-4</v>
      </c>
      <c r="C1321" s="15">
        <v>3.2632000000000001E-4</v>
      </c>
    </row>
    <row r="1322" spans="1:3" x14ac:dyDescent="0.45">
      <c r="A1322" s="11">
        <v>29.93</v>
      </c>
      <c r="B1322" s="14">
        <v>5.8443999999999998E-4</v>
      </c>
      <c r="C1322" s="15">
        <v>3.2653000000000001E-4</v>
      </c>
    </row>
    <row r="1323" spans="1:3" x14ac:dyDescent="0.45">
      <c r="A1323" s="11">
        <v>29.94</v>
      </c>
      <c r="B1323" s="14">
        <v>5.8452000000000005E-4</v>
      </c>
      <c r="C1323" s="15">
        <v>3.2674000000000001E-4</v>
      </c>
    </row>
    <row r="1324" spans="1:3" x14ac:dyDescent="0.45">
      <c r="A1324" s="11">
        <v>29.95</v>
      </c>
      <c r="B1324" s="14">
        <v>5.8460000000000001E-4</v>
      </c>
      <c r="C1324" s="15">
        <v>3.2695000000000001E-4</v>
      </c>
    </row>
    <row r="1325" spans="1:3" x14ac:dyDescent="0.45">
      <c r="A1325" s="11">
        <v>29.96</v>
      </c>
      <c r="B1325" s="14">
        <v>5.8467999999999997E-4</v>
      </c>
      <c r="C1325" s="15">
        <v>3.2716000000000001E-4</v>
      </c>
    </row>
    <row r="1326" spans="1:3" x14ac:dyDescent="0.45">
      <c r="A1326" s="11">
        <v>29.97</v>
      </c>
      <c r="B1326" s="14">
        <v>5.8476000000000003E-4</v>
      </c>
      <c r="C1326" s="15">
        <v>3.2737E-4</v>
      </c>
    </row>
    <row r="1327" spans="1:3" x14ac:dyDescent="0.45">
      <c r="A1327" s="11">
        <v>29.98</v>
      </c>
      <c r="B1327" s="14">
        <v>5.8483999999999999E-4</v>
      </c>
      <c r="C1327" s="15">
        <v>3.2758E-4</v>
      </c>
    </row>
    <row r="1328" spans="1:3" x14ac:dyDescent="0.45">
      <c r="A1328" s="11">
        <v>29.99</v>
      </c>
      <c r="B1328" s="14">
        <v>5.8491999999999995E-4</v>
      </c>
      <c r="C1328" s="15">
        <v>3.2779E-4</v>
      </c>
    </row>
    <row r="1329" spans="1:3" x14ac:dyDescent="0.45">
      <c r="A1329" s="11">
        <v>30</v>
      </c>
      <c r="B1329" s="14">
        <v>5.8500000000000002E-4</v>
      </c>
      <c r="C1329" s="15">
        <v>3.28E-4</v>
      </c>
    </row>
    <row r="1330" spans="1:3" x14ac:dyDescent="0.45">
      <c r="A1330" s="11">
        <v>30.01</v>
      </c>
      <c r="B1330" s="14">
        <v>5.8511000000000001E-4</v>
      </c>
      <c r="C1330" s="15">
        <v>3.2822999999999999E-4</v>
      </c>
    </row>
    <row r="1331" spans="1:3" x14ac:dyDescent="0.45">
      <c r="A1331" s="11">
        <v>30.02</v>
      </c>
      <c r="B1331" s="14">
        <v>5.8522000000000001E-4</v>
      </c>
      <c r="C1331" s="15">
        <v>3.2845999999999998E-4</v>
      </c>
    </row>
    <row r="1332" spans="1:3" x14ac:dyDescent="0.45">
      <c r="A1332" s="11">
        <v>30.03</v>
      </c>
      <c r="B1332" s="14">
        <v>5.8533000000000001E-4</v>
      </c>
      <c r="C1332" s="15">
        <v>3.2869000000000003E-4</v>
      </c>
    </row>
    <row r="1333" spans="1:3" x14ac:dyDescent="0.45">
      <c r="A1333" s="11">
        <v>30.04</v>
      </c>
      <c r="B1333" s="14">
        <v>5.8544000000000001E-4</v>
      </c>
      <c r="C1333" s="15">
        <v>3.2892000000000002E-4</v>
      </c>
    </row>
    <row r="1334" spans="1:3" x14ac:dyDescent="0.45">
      <c r="A1334" s="11">
        <v>30.05</v>
      </c>
      <c r="B1334" s="14">
        <v>5.8555E-4</v>
      </c>
      <c r="C1334" s="15">
        <v>3.2915E-4</v>
      </c>
    </row>
    <row r="1335" spans="1:3" x14ac:dyDescent="0.45">
      <c r="A1335" s="11">
        <v>30.06</v>
      </c>
      <c r="B1335" s="14">
        <v>5.8566E-4</v>
      </c>
      <c r="C1335" s="15">
        <v>3.2937999999999999E-4</v>
      </c>
    </row>
    <row r="1336" spans="1:3" x14ac:dyDescent="0.45">
      <c r="A1336" s="11">
        <v>30.07</v>
      </c>
      <c r="B1336" s="14">
        <v>5.8577E-4</v>
      </c>
      <c r="C1336" s="15">
        <v>3.2960999999999998E-4</v>
      </c>
    </row>
    <row r="1337" spans="1:3" x14ac:dyDescent="0.45">
      <c r="A1337" s="11">
        <v>30.08</v>
      </c>
      <c r="B1337" s="14">
        <v>5.8587999999999999E-4</v>
      </c>
      <c r="C1337" s="15">
        <v>3.2984000000000003E-4</v>
      </c>
    </row>
    <row r="1338" spans="1:3" x14ac:dyDescent="0.45">
      <c r="A1338" s="11">
        <v>30.09</v>
      </c>
      <c r="B1338" s="14">
        <v>5.8598999999999999E-4</v>
      </c>
      <c r="C1338" s="15">
        <v>3.3007000000000002E-4</v>
      </c>
    </row>
    <row r="1339" spans="1:3" x14ac:dyDescent="0.45">
      <c r="A1339" s="11">
        <v>30.1</v>
      </c>
      <c r="B1339" s="14">
        <v>5.8609999999999999E-4</v>
      </c>
      <c r="C1339" s="15">
        <v>3.3030000000000001E-4</v>
      </c>
    </row>
    <row r="1340" spans="1:3" x14ac:dyDescent="0.45">
      <c r="A1340" s="11">
        <v>30.11</v>
      </c>
      <c r="B1340" s="14">
        <v>5.8620999999999999E-4</v>
      </c>
      <c r="C1340" s="15">
        <v>3.3052999999999999E-4</v>
      </c>
    </row>
    <row r="1341" spans="1:3" x14ac:dyDescent="0.45">
      <c r="A1341" s="11">
        <v>30.12</v>
      </c>
      <c r="B1341" s="14">
        <v>5.8631999999999998E-4</v>
      </c>
      <c r="C1341" s="15">
        <v>3.3075999999999998E-4</v>
      </c>
    </row>
    <row r="1342" spans="1:3" x14ac:dyDescent="0.45">
      <c r="A1342" s="11">
        <v>30.13</v>
      </c>
      <c r="B1342" s="14">
        <v>5.8642999999999998E-4</v>
      </c>
      <c r="C1342" s="15">
        <v>3.3098999999999997E-4</v>
      </c>
    </row>
    <row r="1343" spans="1:3" x14ac:dyDescent="0.45">
      <c r="A1343" s="11">
        <v>30.14</v>
      </c>
      <c r="B1343" s="14">
        <v>5.8653999999999998E-4</v>
      </c>
      <c r="C1343" s="15">
        <v>3.3122000000000002E-4</v>
      </c>
    </row>
    <row r="1344" spans="1:3" x14ac:dyDescent="0.45">
      <c r="A1344" s="11">
        <v>30.15</v>
      </c>
      <c r="B1344" s="14">
        <v>5.8664999999999998E-4</v>
      </c>
      <c r="C1344" s="15">
        <v>3.3145000000000001E-4</v>
      </c>
    </row>
    <row r="1345" spans="1:3" x14ac:dyDescent="0.45">
      <c r="A1345" s="11">
        <v>30.16</v>
      </c>
      <c r="B1345" s="14">
        <v>5.8675999999999997E-4</v>
      </c>
      <c r="C1345" s="15">
        <v>3.3168E-4</v>
      </c>
    </row>
    <row r="1346" spans="1:3" x14ac:dyDescent="0.45">
      <c r="A1346" s="11">
        <v>30.17</v>
      </c>
      <c r="B1346" s="14">
        <v>5.8686999999999997E-4</v>
      </c>
      <c r="C1346" s="15">
        <v>3.3190999999999998E-4</v>
      </c>
    </row>
    <row r="1347" spans="1:3" x14ac:dyDescent="0.45">
      <c r="A1347" s="11">
        <v>30.18</v>
      </c>
      <c r="B1347" s="14">
        <v>5.8697999999999997E-4</v>
      </c>
      <c r="C1347" s="15">
        <v>3.3213999999999997E-4</v>
      </c>
    </row>
    <row r="1348" spans="1:3" x14ac:dyDescent="0.45">
      <c r="A1348" s="11">
        <v>30.19</v>
      </c>
      <c r="B1348" s="14">
        <v>5.8708999999999996E-4</v>
      </c>
      <c r="C1348" s="15">
        <v>3.3237000000000002E-4</v>
      </c>
    </row>
    <row r="1349" spans="1:3" x14ac:dyDescent="0.45">
      <c r="A1349" s="11">
        <v>30.2</v>
      </c>
      <c r="B1349" s="14">
        <v>5.8719999999999996E-4</v>
      </c>
      <c r="C1349" s="15">
        <v>3.3260000000000001E-4</v>
      </c>
    </row>
    <row r="1350" spans="1:3" x14ac:dyDescent="0.45">
      <c r="A1350" s="11">
        <v>30.21</v>
      </c>
      <c r="B1350" s="14">
        <v>5.8730999999999996E-4</v>
      </c>
      <c r="C1350" s="15">
        <v>3.3283E-4</v>
      </c>
    </row>
    <row r="1351" spans="1:3" x14ac:dyDescent="0.45">
      <c r="A1351" s="11">
        <v>30.22</v>
      </c>
      <c r="B1351" s="14">
        <v>5.8741999999999996E-4</v>
      </c>
      <c r="C1351" s="15">
        <v>3.3305999999999999E-4</v>
      </c>
    </row>
    <row r="1352" spans="1:3" x14ac:dyDescent="0.45">
      <c r="A1352" s="11">
        <v>30.23</v>
      </c>
      <c r="B1352" s="14">
        <v>5.8752999999999995E-4</v>
      </c>
      <c r="C1352" s="15">
        <v>3.3328999999999998E-4</v>
      </c>
    </row>
    <row r="1353" spans="1:3" x14ac:dyDescent="0.45">
      <c r="A1353" s="11">
        <v>30.24</v>
      </c>
      <c r="B1353" s="14">
        <v>5.8763999999999995E-4</v>
      </c>
      <c r="C1353" s="15">
        <v>3.3352000000000002E-4</v>
      </c>
    </row>
    <row r="1354" spans="1:3" x14ac:dyDescent="0.45">
      <c r="A1354" s="11">
        <v>30.25</v>
      </c>
      <c r="B1354" s="14">
        <v>5.8774999999999995E-4</v>
      </c>
      <c r="C1354" s="15">
        <v>3.3375000000000001E-4</v>
      </c>
    </row>
    <row r="1355" spans="1:3" x14ac:dyDescent="0.45">
      <c r="A1355" s="11">
        <v>30.26</v>
      </c>
      <c r="B1355" s="14">
        <v>5.8786000000000005E-4</v>
      </c>
      <c r="C1355" s="15">
        <v>3.3398E-4</v>
      </c>
    </row>
    <row r="1356" spans="1:3" x14ac:dyDescent="0.45">
      <c r="A1356" s="11">
        <v>30.27</v>
      </c>
      <c r="B1356" s="14">
        <v>5.8797000000000005E-4</v>
      </c>
      <c r="C1356" s="15">
        <v>3.3420999999999999E-4</v>
      </c>
    </row>
    <row r="1357" spans="1:3" x14ac:dyDescent="0.45">
      <c r="A1357" s="11">
        <v>30.28</v>
      </c>
      <c r="B1357" s="14">
        <v>5.8808000000000005E-4</v>
      </c>
      <c r="C1357" s="15">
        <v>3.3443999999999998E-4</v>
      </c>
    </row>
    <row r="1358" spans="1:3" x14ac:dyDescent="0.45">
      <c r="A1358" s="11">
        <v>30.29</v>
      </c>
      <c r="B1358" s="14">
        <v>5.8819000000000005E-4</v>
      </c>
      <c r="C1358" s="15">
        <v>3.3467000000000002E-4</v>
      </c>
    </row>
    <row r="1359" spans="1:3" x14ac:dyDescent="0.45">
      <c r="A1359" s="11">
        <v>30.3</v>
      </c>
      <c r="B1359" s="14">
        <v>5.8830000000000004E-4</v>
      </c>
      <c r="C1359" s="15">
        <v>3.3490000000000001E-4</v>
      </c>
    </row>
    <row r="1360" spans="1:3" x14ac:dyDescent="0.45">
      <c r="A1360" s="11">
        <v>30.31</v>
      </c>
      <c r="B1360" s="14">
        <v>5.8841000000000004E-4</v>
      </c>
      <c r="C1360" s="15">
        <v>3.3513E-4</v>
      </c>
    </row>
    <row r="1361" spans="1:3" x14ac:dyDescent="0.45">
      <c r="A1361" s="11">
        <v>30.32</v>
      </c>
      <c r="B1361" s="14">
        <v>5.8852000000000004E-4</v>
      </c>
      <c r="C1361" s="15">
        <v>3.3535999999999999E-4</v>
      </c>
    </row>
    <row r="1362" spans="1:3" x14ac:dyDescent="0.45">
      <c r="A1362" s="11">
        <v>30.33</v>
      </c>
      <c r="B1362" s="14">
        <v>5.8863000000000003E-4</v>
      </c>
      <c r="C1362" s="15">
        <v>3.3558999999999998E-4</v>
      </c>
    </row>
    <row r="1363" spans="1:3" x14ac:dyDescent="0.45">
      <c r="A1363" s="11">
        <v>30.34</v>
      </c>
      <c r="B1363" s="14">
        <v>5.8874000000000003E-4</v>
      </c>
      <c r="C1363" s="15">
        <v>3.3582000000000002E-4</v>
      </c>
    </row>
    <row r="1364" spans="1:3" x14ac:dyDescent="0.45">
      <c r="A1364" s="11">
        <v>30.35</v>
      </c>
      <c r="B1364" s="14">
        <v>5.8885000000000003E-4</v>
      </c>
      <c r="C1364" s="15">
        <v>3.3605000000000001E-4</v>
      </c>
    </row>
    <row r="1365" spans="1:3" x14ac:dyDescent="0.45">
      <c r="A1365" s="11">
        <v>30.36</v>
      </c>
      <c r="B1365" s="14">
        <v>5.8896000000000003E-4</v>
      </c>
      <c r="C1365" s="15">
        <v>3.3628E-4</v>
      </c>
    </row>
    <row r="1366" spans="1:3" x14ac:dyDescent="0.45">
      <c r="A1366" s="11">
        <v>30.37</v>
      </c>
      <c r="B1366" s="14">
        <v>5.8907000000000002E-4</v>
      </c>
      <c r="C1366" s="15">
        <v>3.3650999999999999E-4</v>
      </c>
    </row>
    <row r="1367" spans="1:3" x14ac:dyDescent="0.45">
      <c r="A1367" s="11">
        <v>30.38</v>
      </c>
      <c r="B1367" s="14">
        <v>5.8918000000000002E-4</v>
      </c>
      <c r="C1367" s="15">
        <v>3.3673999999999998E-4</v>
      </c>
    </row>
    <row r="1368" spans="1:3" x14ac:dyDescent="0.45">
      <c r="A1368" s="11">
        <v>30.39</v>
      </c>
      <c r="B1368" s="14">
        <v>5.8929000000000002E-4</v>
      </c>
      <c r="C1368" s="15">
        <v>3.3697000000000002E-4</v>
      </c>
    </row>
    <row r="1369" spans="1:3" x14ac:dyDescent="0.45">
      <c r="A1369" s="11">
        <v>30.4</v>
      </c>
      <c r="B1369" s="14">
        <v>5.8940000000000002E-4</v>
      </c>
      <c r="C1369" s="15">
        <v>3.3720000000000001E-4</v>
      </c>
    </row>
    <row r="1370" spans="1:3" x14ac:dyDescent="0.45">
      <c r="A1370" s="11">
        <v>30.41</v>
      </c>
      <c r="B1370" s="14">
        <v>5.8951000000000001E-4</v>
      </c>
      <c r="C1370" s="15">
        <v>3.3743E-4</v>
      </c>
    </row>
    <row r="1371" spans="1:3" x14ac:dyDescent="0.45">
      <c r="A1371" s="11">
        <v>30.42</v>
      </c>
      <c r="B1371" s="14">
        <v>5.8962000000000001E-4</v>
      </c>
      <c r="C1371" s="15">
        <v>3.3765999999999999E-4</v>
      </c>
    </row>
    <row r="1372" spans="1:3" x14ac:dyDescent="0.45">
      <c r="A1372" s="11">
        <v>30.43</v>
      </c>
      <c r="B1372" s="14">
        <v>5.8973000000000001E-4</v>
      </c>
      <c r="C1372" s="15">
        <v>3.3788999999999998E-4</v>
      </c>
    </row>
    <row r="1373" spans="1:3" x14ac:dyDescent="0.45">
      <c r="A1373" s="11">
        <v>30.44</v>
      </c>
      <c r="B1373" s="14">
        <v>5.8984E-4</v>
      </c>
      <c r="C1373" s="15">
        <v>3.3812000000000002E-4</v>
      </c>
    </row>
    <row r="1374" spans="1:3" x14ac:dyDescent="0.45">
      <c r="A1374" s="11">
        <v>30.45</v>
      </c>
      <c r="B1374" s="14">
        <v>5.8995E-4</v>
      </c>
      <c r="C1374" s="15">
        <v>3.3835000000000001E-4</v>
      </c>
    </row>
    <row r="1375" spans="1:3" x14ac:dyDescent="0.45">
      <c r="A1375" s="11">
        <v>30.46</v>
      </c>
      <c r="B1375" s="14">
        <v>5.9006E-4</v>
      </c>
      <c r="C1375" s="15">
        <v>3.3858E-4</v>
      </c>
    </row>
    <row r="1376" spans="1:3" x14ac:dyDescent="0.45">
      <c r="A1376" s="11">
        <v>30.47</v>
      </c>
      <c r="B1376" s="14">
        <v>5.9017E-4</v>
      </c>
      <c r="C1376" s="15">
        <v>3.3880999999999999E-4</v>
      </c>
    </row>
    <row r="1377" spans="1:3" x14ac:dyDescent="0.45">
      <c r="A1377" s="11">
        <v>30.48</v>
      </c>
      <c r="B1377" s="14">
        <v>5.9027999999999999E-4</v>
      </c>
      <c r="C1377" s="15">
        <v>3.3903999999999998E-4</v>
      </c>
    </row>
    <row r="1378" spans="1:3" x14ac:dyDescent="0.45">
      <c r="A1378" s="11">
        <v>30.49</v>
      </c>
      <c r="B1378" s="14">
        <v>5.9038999999999999E-4</v>
      </c>
      <c r="C1378" s="15">
        <v>3.3927000000000002E-4</v>
      </c>
    </row>
    <row r="1379" spans="1:3" x14ac:dyDescent="0.45">
      <c r="A1379" s="11">
        <v>30.5</v>
      </c>
      <c r="B1379" s="14">
        <v>5.9049999999999999E-4</v>
      </c>
      <c r="C1379" s="15">
        <v>3.3950000000000001E-4</v>
      </c>
    </row>
    <row r="1380" spans="1:3" x14ac:dyDescent="0.45">
      <c r="A1380" s="11">
        <v>30.51</v>
      </c>
      <c r="B1380" s="14">
        <v>5.9060999999999998E-4</v>
      </c>
      <c r="C1380" s="15">
        <v>3.3973E-4</v>
      </c>
    </row>
    <row r="1381" spans="1:3" x14ac:dyDescent="0.45">
      <c r="A1381" s="11">
        <v>30.52</v>
      </c>
      <c r="B1381" s="14">
        <v>5.9071999999999998E-4</v>
      </c>
      <c r="C1381" s="15">
        <v>3.3995999999999999E-4</v>
      </c>
    </row>
    <row r="1382" spans="1:3" x14ac:dyDescent="0.45">
      <c r="A1382" s="11">
        <v>30.53</v>
      </c>
      <c r="B1382" s="14">
        <v>5.9082999999999998E-4</v>
      </c>
      <c r="C1382" s="15">
        <v>3.4018999999999998E-4</v>
      </c>
    </row>
    <row r="1383" spans="1:3" x14ac:dyDescent="0.45">
      <c r="A1383" s="11">
        <v>30.54</v>
      </c>
      <c r="B1383" s="14">
        <v>5.9093999999999998E-4</v>
      </c>
      <c r="C1383" s="15">
        <v>3.4042000000000002E-4</v>
      </c>
    </row>
    <row r="1384" spans="1:3" x14ac:dyDescent="0.45">
      <c r="A1384" s="11">
        <v>30.55</v>
      </c>
      <c r="B1384" s="14">
        <v>5.9104999999999997E-4</v>
      </c>
      <c r="C1384" s="15">
        <v>3.4065000000000001E-4</v>
      </c>
    </row>
    <row r="1385" spans="1:3" x14ac:dyDescent="0.45">
      <c r="A1385" s="11">
        <v>30.56</v>
      </c>
      <c r="B1385" s="14">
        <v>5.9115999999999997E-4</v>
      </c>
      <c r="C1385" s="15">
        <v>3.4088E-4</v>
      </c>
    </row>
    <row r="1386" spans="1:3" x14ac:dyDescent="0.45">
      <c r="A1386" s="11">
        <v>30.57</v>
      </c>
      <c r="B1386" s="14">
        <v>5.9126999999999997E-4</v>
      </c>
      <c r="C1386" s="15">
        <v>3.4110999999999999E-4</v>
      </c>
    </row>
    <row r="1387" spans="1:3" x14ac:dyDescent="0.45">
      <c r="A1387" s="11">
        <v>30.58</v>
      </c>
      <c r="B1387" s="14">
        <v>5.9137999999999997E-4</v>
      </c>
      <c r="C1387" s="15">
        <v>3.4133999999999998E-4</v>
      </c>
    </row>
    <row r="1388" spans="1:3" x14ac:dyDescent="0.45">
      <c r="A1388" s="11">
        <v>30.59</v>
      </c>
      <c r="B1388" s="14">
        <v>5.9148999999999996E-4</v>
      </c>
      <c r="C1388" s="15">
        <v>3.4157000000000002E-4</v>
      </c>
    </row>
    <row r="1389" spans="1:3" x14ac:dyDescent="0.45">
      <c r="A1389" s="11">
        <v>30.6</v>
      </c>
      <c r="B1389" s="14">
        <v>5.9159999999999996E-4</v>
      </c>
      <c r="C1389" s="15">
        <v>3.4180000000000001E-4</v>
      </c>
    </row>
    <row r="1390" spans="1:3" x14ac:dyDescent="0.45">
      <c r="A1390" s="11">
        <v>30.61</v>
      </c>
      <c r="B1390" s="14">
        <v>5.9170999999999996E-4</v>
      </c>
      <c r="C1390" s="15">
        <v>3.4203E-4</v>
      </c>
    </row>
    <row r="1391" spans="1:3" x14ac:dyDescent="0.45">
      <c r="A1391" s="11">
        <v>30.62</v>
      </c>
      <c r="B1391" s="14">
        <v>5.9181999999999995E-4</v>
      </c>
      <c r="C1391" s="15">
        <v>3.4225999999999999E-4</v>
      </c>
    </row>
    <row r="1392" spans="1:3" x14ac:dyDescent="0.45">
      <c r="A1392" s="11">
        <v>30.63</v>
      </c>
      <c r="B1392" s="14">
        <v>5.9192999999999995E-4</v>
      </c>
      <c r="C1392" s="15">
        <v>3.4248999999999998E-4</v>
      </c>
    </row>
    <row r="1393" spans="1:3" x14ac:dyDescent="0.45">
      <c r="A1393" s="11">
        <v>30.64</v>
      </c>
      <c r="B1393" s="14">
        <v>5.9203999999999995E-4</v>
      </c>
      <c r="C1393" s="15">
        <v>3.4272000000000003E-4</v>
      </c>
    </row>
    <row r="1394" spans="1:3" x14ac:dyDescent="0.45">
      <c r="A1394" s="11">
        <v>30.65</v>
      </c>
      <c r="B1394" s="14">
        <v>5.9214999999999995E-4</v>
      </c>
      <c r="C1394" s="15">
        <v>3.4295000000000001E-4</v>
      </c>
    </row>
    <row r="1395" spans="1:3" x14ac:dyDescent="0.45">
      <c r="A1395" s="11">
        <v>30.66</v>
      </c>
      <c r="B1395" s="14">
        <v>5.9226000000000005E-4</v>
      </c>
      <c r="C1395" s="15">
        <v>3.4318E-4</v>
      </c>
    </row>
    <row r="1396" spans="1:3" x14ac:dyDescent="0.45">
      <c r="A1396" s="11">
        <v>30.67</v>
      </c>
      <c r="B1396" s="14">
        <v>5.9237000000000005E-4</v>
      </c>
      <c r="C1396" s="15">
        <v>3.4340999999999999E-4</v>
      </c>
    </row>
    <row r="1397" spans="1:3" x14ac:dyDescent="0.45">
      <c r="A1397" s="11">
        <v>30.68</v>
      </c>
      <c r="B1397" s="14">
        <v>5.9248000000000005E-4</v>
      </c>
      <c r="C1397" s="15">
        <v>3.4363999999999998E-4</v>
      </c>
    </row>
    <row r="1398" spans="1:3" x14ac:dyDescent="0.45">
      <c r="A1398" s="11">
        <v>30.69</v>
      </c>
      <c r="B1398" s="14">
        <v>5.9259000000000004E-4</v>
      </c>
      <c r="C1398" s="15">
        <v>3.4387000000000003E-4</v>
      </c>
    </row>
    <row r="1399" spans="1:3" x14ac:dyDescent="0.45">
      <c r="A1399" s="11">
        <v>30.7</v>
      </c>
      <c r="B1399" s="14">
        <v>5.9270000000000004E-4</v>
      </c>
      <c r="C1399" s="15">
        <v>3.4410000000000002E-4</v>
      </c>
    </row>
    <row r="1400" spans="1:3" x14ac:dyDescent="0.45">
      <c r="A1400" s="11">
        <v>30.71</v>
      </c>
      <c r="B1400" s="14">
        <v>5.9281000000000004E-4</v>
      </c>
      <c r="C1400" s="15">
        <v>3.4433E-4</v>
      </c>
    </row>
    <row r="1401" spans="1:3" x14ac:dyDescent="0.45">
      <c r="A1401" s="11">
        <v>30.72</v>
      </c>
      <c r="B1401" s="14">
        <v>5.9292000000000004E-4</v>
      </c>
      <c r="C1401" s="15">
        <v>3.4455999999999999E-4</v>
      </c>
    </row>
    <row r="1402" spans="1:3" x14ac:dyDescent="0.45">
      <c r="A1402" s="11">
        <v>30.73</v>
      </c>
      <c r="B1402" s="14">
        <v>5.9303000000000003E-4</v>
      </c>
      <c r="C1402" s="15">
        <v>3.4478999999999998E-4</v>
      </c>
    </row>
    <row r="1403" spans="1:3" x14ac:dyDescent="0.45">
      <c r="A1403" s="11">
        <v>30.74</v>
      </c>
      <c r="B1403" s="14">
        <v>5.9314000000000003E-4</v>
      </c>
      <c r="C1403" s="15">
        <v>3.4501999999999997E-4</v>
      </c>
    </row>
    <row r="1404" spans="1:3" x14ac:dyDescent="0.45">
      <c r="A1404" s="11">
        <v>30.75</v>
      </c>
      <c r="B1404" s="14">
        <v>5.9325000000000003E-4</v>
      </c>
      <c r="C1404" s="15">
        <v>3.4525000000000002E-4</v>
      </c>
    </row>
    <row r="1405" spans="1:3" x14ac:dyDescent="0.45">
      <c r="A1405" s="11">
        <v>30.76</v>
      </c>
      <c r="B1405" s="14">
        <v>5.9336000000000002E-4</v>
      </c>
      <c r="C1405" s="15">
        <v>3.4548000000000001E-4</v>
      </c>
    </row>
    <row r="1406" spans="1:3" x14ac:dyDescent="0.45">
      <c r="A1406" s="11">
        <v>30.77</v>
      </c>
      <c r="B1406" s="14">
        <v>5.9347000000000002E-4</v>
      </c>
      <c r="C1406" s="15">
        <v>3.4571E-4</v>
      </c>
    </row>
    <row r="1407" spans="1:3" x14ac:dyDescent="0.45">
      <c r="A1407" s="11">
        <v>30.78</v>
      </c>
      <c r="B1407" s="14">
        <v>5.9358000000000002E-4</v>
      </c>
      <c r="C1407" s="15">
        <v>3.4593999999999998E-4</v>
      </c>
    </row>
    <row r="1408" spans="1:3" x14ac:dyDescent="0.45">
      <c r="A1408" s="11">
        <v>30.79</v>
      </c>
      <c r="B1408" s="14">
        <v>5.9369000000000002E-4</v>
      </c>
      <c r="C1408" s="15">
        <v>3.4616999999999997E-4</v>
      </c>
    </row>
    <row r="1409" spans="1:3" x14ac:dyDescent="0.45">
      <c r="A1409" s="11">
        <v>30.8</v>
      </c>
      <c r="B1409" s="14">
        <v>5.9380000000000001E-4</v>
      </c>
      <c r="C1409" s="15">
        <v>3.4640000000000002E-4</v>
      </c>
    </row>
    <row r="1410" spans="1:3" x14ac:dyDescent="0.45">
      <c r="A1410" s="11">
        <v>30.81</v>
      </c>
      <c r="B1410" s="14">
        <v>5.9391000000000001E-4</v>
      </c>
      <c r="C1410" s="15">
        <v>3.4663000000000001E-4</v>
      </c>
    </row>
    <row r="1411" spans="1:3" x14ac:dyDescent="0.45">
      <c r="A1411" s="11">
        <v>30.82</v>
      </c>
      <c r="B1411" s="14">
        <v>5.9402000000000001E-4</v>
      </c>
      <c r="C1411" s="15">
        <v>3.4686E-4</v>
      </c>
    </row>
    <row r="1412" spans="1:3" x14ac:dyDescent="0.45">
      <c r="A1412" s="11">
        <v>30.83</v>
      </c>
      <c r="B1412" s="14">
        <v>5.9413000000000001E-4</v>
      </c>
      <c r="C1412" s="15">
        <v>3.4708999999999999E-4</v>
      </c>
    </row>
    <row r="1413" spans="1:3" x14ac:dyDescent="0.45">
      <c r="A1413" s="11">
        <v>30.84</v>
      </c>
      <c r="B1413" s="14">
        <v>5.9424E-4</v>
      </c>
      <c r="C1413" s="15">
        <v>3.4731999999999997E-4</v>
      </c>
    </row>
    <row r="1414" spans="1:3" x14ac:dyDescent="0.45">
      <c r="A1414" s="11">
        <v>30.85</v>
      </c>
      <c r="B1414" s="14">
        <v>5.9435E-4</v>
      </c>
      <c r="C1414" s="15">
        <v>3.4755000000000002E-4</v>
      </c>
    </row>
    <row r="1415" spans="1:3" x14ac:dyDescent="0.45">
      <c r="A1415" s="11">
        <v>30.86</v>
      </c>
      <c r="B1415" s="14">
        <v>5.9446E-4</v>
      </c>
      <c r="C1415" s="15">
        <v>3.4778000000000001E-4</v>
      </c>
    </row>
    <row r="1416" spans="1:3" x14ac:dyDescent="0.45">
      <c r="A1416" s="11">
        <v>30.87</v>
      </c>
      <c r="B1416" s="14">
        <v>5.9456999999999999E-4</v>
      </c>
      <c r="C1416" s="15">
        <v>3.4801E-4</v>
      </c>
    </row>
    <row r="1417" spans="1:3" x14ac:dyDescent="0.45">
      <c r="A1417" s="11">
        <v>30.88</v>
      </c>
      <c r="B1417" s="14">
        <v>5.9467999999999999E-4</v>
      </c>
      <c r="C1417" s="15">
        <v>3.4823999999999999E-4</v>
      </c>
    </row>
    <row r="1418" spans="1:3" x14ac:dyDescent="0.45">
      <c r="A1418" s="11">
        <v>30.89</v>
      </c>
      <c r="B1418" s="14">
        <v>5.9478999999999999E-4</v>
      </c>
      <c r="C1418" s="15">
        <v>3.4846999999999998E-4</v>
      </c>
    </row>
    <row r="1419" spans="1:3" x14ac:dyDescent="0.45">
      <c r="A1419" s="11">
        <v>30.9</v>
      </c>
      <c r="B1419" s="14">
        <v>5.9489999999999999E-4</v>
      </c>
      <c r="C1419" s="15">
        <v>3.4870000000000002E-4</v>
      </c>
    </row>
    <row r="1420" spans="1:3" x14ac:dyDescent="0.45">
      <c r="A1420" s="11">
        <v>30.91</v>
      </c>
      <c r="B1420" s="14">
        <v>5.9500999999999998E-4</v>
      </c>
      <c r="C1420" s="15">
        <v>3.4893000000000001E-4</v>
      </c>
    </row>
    <row r="1421" spans="1:3" x14ac:dyDescent="0.45">
      <c r="A1421" s="11">
        <v>30.92</v>
      </c>
      <c r="B1421" s="14">
        <v>5.9511999999999998E-4</v>
      </c>
      <c r="C1421" s="15">
        <v>3.4916E-4</v>
      </c>
    </row>
    <row r="1422" spans="1:3" x14ac:dyDescent="0.45">
      <c r="A1422" s="11">
        <v>30.93</v>
      </c>
      <c r="B1422" s="14">
        <v>5.9522999999999998E-4</v>
      </c>
      <c r="C1422" s="15">
        <v>3.4938999999999999E-4</v>
      </c>
    </row>
    <row r="1423" spans="1:3" x14ac:dyDescent="0.45">
      <c r="A1423" s="11">
        <v>30.94</v>
      </c>
      <c r="B1423" s="14">
        <v>5.9533999999999998E-4</v>
      </c>
      <c r="C1423" s="15">
        <v>3.4961999999999998E-4</v>
      </c>
    </row>
    <row r="1424" spans="1:3" x14ac:dyDescent="0.45">
      <c r="A1424" s="11">
        <v>30.95</v>
      </c>
      <c r="B1424" s="14">
        <v>5.9544999999999997E-4</v>
      </c>
      <c r="C1424" s="15">
        <v>3.4985000000000002E-4</v>
      </c>
    </row>
    <row r="1425" spans="1:3" x14ac:dyDescent="0.45">
      <c r="A1425" s="11">
        <v>30.96</v>
      </c>
      <c r="B1425" s="14">
        <v>5.9555999999999997E-4</v>
      </c>
      <c r="C1425" s="15">
        <v>3.5008000000000001E-4</v>
      </c>
    </row>
    <row r="1426" spans="1:3" x14ac:dyDescent="0.45">
      <c r="A1426" s="11">
        <v>30.97</v>
      </c>
      <c r="B1426" s="14">
        <v>5.9566999999999997E-4</v>
      </c>
      <c r="C1426" s="15">
        <v>3.5031E-4</v>
      </c>
    </row>
    <row r="1427" spans="1:3" x14ac:dyDescent="0.45">
      <c r="A1427" s="11">
        <v>30.98</v>
      </c>
      <c r="B1427" s="14">
        <v>5.9577999999999996E-4</v>
      </c>
      <c r="C1427" s="15">
        <v>3.5053999999999999E-4</v>
      </c>
    </row>
    <row r="1428" spans="1:3" x14ac:dyDescent="0.45">
      <c r="A1428" s="11">
        <v>30.99</v>
      </c>
      <c r="B1428" s="14">
        <v>5.9588999999999996E-4</v>
      </c>
      <c r="C1428" s="15">
        <v>3.5076999999999998E-4</v>
      </c>
    </row>
    <row r="1429" spans="1:3" x14ac:dyDescent="0.45">
      <c r="A1429" s="11">
        <v>31</v>
      </c>
      <c r="B1429" s="14">
        <v>5.9599999999999996E-4</v>
      </c>
      <c r="C1429" s="15">
        <v>3.5100000000000002E-4</v>
      </c>
    </row>
    <row r="1430" spans="1:3" x14ac:dyDescent="0.45">
      <c r="A1430" s="11">
        <v>31.01</v>
      </c>
      <c r="B1430" s="14">
        <v>5.9613000000000005E-4</v>
      </c>
      <c r="C1430" s="15">
        <v>3.5125999999999999E-4</v>
      </c>
    </row>
    <row r="1431" spans="1:3" x14ac:dyDescent="0.45">
      <c r="A1431" s="11">
        <v>31.02</v>
      </c>
      <c r="B1431" s="14">
        <v>5.9626000000000004E-4</v>
      </c>
      <c r="C1431" s="15">
        <v>3.5152000000000002E-4</v>
      </c>
    </row>
    <row r="1432" spans="1:3" x14ac:dyDescent="0.45">
      <c r="A1432" s="11">
        <v>31.03</v>
      </c>
      <c r="B1432" s="14">
        <v>5.9639000000000003E-4</v>
      </c>
      <c r="C1432" s="15">
        <v>3.5178E-4</v>
      </c>
    </row>
    <row r="1433" spans="1:3" x14ac:dyDescent="0.45">
      <c r="A1433" s="11">
        <v>31.04</v>
      </c>
      <c r="B1433" s="14">
        <v>5.9652000000000001E-4</v>
      </c>
      <c r="C1433" s="15">
        <v>3.5204000000000002E-4</v>
      </c>
    </row>
    <row r="1434" spans="1:3" x14ac:dyDescent="0.45">
      <c r="A1434" s="11">
        <v>31.05</v>
      </c>
      <c r="B1434" s="14">
        <v>5.9665E-4</v>
      </c>
      <c r="C1434" s="15">
        <v>3.523E-4</v>
      </c>
    </row>
    <row r="1435" spans="1:3" x14ac:dyDescent="0.45">
      <c r="A1435" s="11">
        <v>31.06</v>
      </c>
      <c r="B1435" s="14">
        <v>5.9677999999999999E-4</v>
      </c>
      <c r="C1435" s="15">
        <v>3.5256000000000003E-4</v>
      </c>
    </row>
    <row r="1436" spans="1:3" x14ac:dyDescent="0.45">
      <c r="A1436" s="11">
        <v>31.07</v>
      </c>
      <c r="B1436" s="14">
        <v>5.9690999999999998E-4</v>
      </c>
      <c r="C1436" s="15">
        <v>3.5282E-4</v>
      </c>
    </row>
    <row r="1437" spans="1:3" x14ac:dyDescent="0.45">
      <c r="A1437" s="11">
        <v>31.08</v>
      </c>
      <c r="B1437" s="14">
        <v>5.9703999999999996E-4</v>
      </c>
      <c r="C1437" s="15">
        <v>3.5307999999999997E-4</v>
      </c>
    </row>
    <row r="1438" spans="1:3" x14ac:dyDescent="0.45">
      <c r="A1438" s="11">
        <v>31.09</v>
      </c>
      <c r="B1438" s="14">
        <v>5.9716999999999995E-4</v>
      </c>
      <c r="C1438" s="15">
        <v>3.5334E-4</v>
      </c>
    </row>
    <row r="1439" spans="1:3" x14ac:dyDescent="0.45">
      <c r="A1439" s="11">
        <v>31.1</v>
      </c>
      <c r="B1439" s="14">
        <v>5.9730000000000004E-4</v>
      </c>
      <c r="C1439" s="15">
        <v>3.5359999999999998E-4</v>
      </c>
    </row>
    <row r="1440" spans="1:3" x14ac:dyDescent="0.45">
      <c r="A1440" s="11">
        <v>31.11</v>
      </c>
      <c r="B1440" s="14">
        <v>5.9743000000000003E-4</v>
      </c>
      <c r="C1440" s="15">
        <v>3.5386E-4</v>
      </c>
    </row>
    <row r="1441" spans="1:3" x14ac:dyDescent="0.45">
      <c r="A1441" s="11">
        <v>31.12</v>
      </c>
      <c r="B1441" s="14">
        <v>5.9756000000000002E-4</v>
      </c>
      <c r="C1441" s="15">
        <v>3.5411999999999998E-4</v>
      </c>
    </row>
    <row r="1442" spans="1:3" x14ac:dyDescent="0.45">
      <c r="A1442" s="11">
        <v>31.13</v>
      </c>
      <c r="B1442" s="14">
        <v>5.9769000000000001E-4</v>
      </c>
      <c r="C1442" s="15">
        <v>3.5438000000000001E-4</v>
      </c>
    </row>
    <row r="1443" spans="1:3" x14ac:dyDescent="0.45">
      <c r="A1443" s="11">
        <v>31.14</v>
      </c>
      <c r="B1443" s="14">
        <v>5.9781999999999999E-4</v>
      </c>
      <c r="C1443" s="15">
        <v>3.5463999999999998E-4</v>
      </c>
    </row>
    <row r="1444" spans="1:3" x14ac:dyDescent="0.45">
      <c r="A1444" s="11">
        <v>31.15</v>
      </c>
      <c r="B1444" s="14">
        <v>5.9794999999999998E-4</v>
      </c>
      <c r="C1444" s="15">
        <v>3.5490000000000001E-4</v>
      </c>
    </row>
    <row r="1445" spans="1:3" x14ac:dyDescent="0.45">
      <c r="A1445" s="11">
        <v>31.16</v>
      </c>
      <c r="B1445" s="14">
        <v>5.9807999999999997E-4</v>
      </c>
      <c r="C1445" s="15">
        <v>3.5515999999999998E-4</v>
      </c>
    </row>
    <row r="1446" spans="1:3" x14ac:dyDescent="0.45">
      <c r="A1446" s="11">
        <v>31.17</v>
      </c>
      <c r="B1446" s="14">
        <v>5.9820999999999995E-4</v>
      </c>
      <c r="C1446" s="15">
        <v>3.5542000000000001E-4</v>
      </c>
    </row>
    <row r="1447" spans="1:3" x14ac:dyDescent="0.45">
      <c r="A1447" s="11">
        <v>31.18</v>
      </c>
      <c r="B1447" s="14">
        <v>5.9834000000000005E-4</v>
      </c>
      <c r="C1447" s="15">
        <v>3.5567999999999998E-4</v>
      </c>
    </row>
    <row r="1448" spans="1:3" x14ac:dyDescent="0.45">
      <c r="A1448" s="11">
        <v>31.19</v>
      </c>
      <c r="B1448" s="14">
        <v>5.9847000000000003E-4</v>
      </c>
      <c r="C1448" s="15">
        <v>3.5594000000000001E-4</v>
      </c>
    </row>
    <row r="1449" spans="1:3" x14ac:dyDescent="0.45">
      <c r="A1449" s="11">
        <v>31.2</v>
      </c>
      <c r="B1449" s="14">
        <v>5.9860000000000002E-4</v>
      </c>
      <c r="C1449" s="15">
        <v>3.5619999999999998E-4</v>
      </c>
    </row>
    <row r="1450" spans="1:3" x14ac:dyDescent="0.45">
      <c r="A1450" s="11">
        <v>31.21</v>
      </c>
      <c r="B1450" s="14">
        <v>5.9873000000000001E-4</v>
      </c>
      <c r="C1450" s="15">
        <v>3.5646000000000001E-4</v>
      </c>
    </row>
    <row r="1451" spans="1:3" x14ac:dyDescent="0.45">
      <c r="A1451" s="11">
        <v>31.22</v>
      </c>
      <c r="B1451" s="14">
        <v>5.9886E-4</v>
      </c>
      <c r="C1451" s="15">
        <v>3.5671999999999999E-4</v>
      </c>
    </row>
    <row r="1452" spans="1:3" x14ac:dyDescent="0.45">
      <c r="A1452" s="11">
        <v>31.23</v>
      </c>
      <c r="B1452" s="14">
        <v>5.9898999999999998E-4</v>
      </c>
      <c r="C1452" s="15">
        <v>3.5698000000000001E-4</v>
      </c>
    </row>
    <row r="1453" spans="1:3" x14ac:dyDescent="0.45">
      <c r="A1453" s="11">
        <v>31.24</v>
      </c>
      <c r="B1453" s="14">
        <v>5.9911999999999997E-4</v>
      </c>
      <c r="C1453" s="15">
        <v>3.5723999999999999E-4</v>
      </c>
    </row>
    <row r="1454" spans="1:3" x14ac:dyDescent="0.45">
      <c r="A1454" s="11">
        <v>31.25</v>
      </c>
      <c r="B1454" s="14">
        <v>5.9924999999999996E-4</v>
      </c>
      <c r="C1454" s="15">
        <v>3.5750000000000002E-4</v>
      </c>
    </row>
    <row r="1455" spans="1:3" x14ac:dyDescent="0.45">
      <c r="A1455" s="11">
        <v>31.26</v>
      </c>
      <c r="B1455" s="14">
        <v>5.9938000000000005E-4</v>
      </c>
      <c r="C1455" s="15">
        <v>3.5775999999999999E-4</v>
      </c>
    </row>
    <row r="1456" spans="1:3" x14ac:dyDescent="0.45">
      <c r="A1456" s="11">
        <v>31.27</v>
      </c>
      <c r="B1456" s="14">
        <v>5.9951000000000004E-4</v>
      </c>
      <c r="C1456" s="15">
        <v>3.5802000000000002E-4</v>
      </c>
    </row>
    <row r="1457" spans="1:3" x14ac:dyDescent="0.45">
      <c r="A1457" s="11">
        <v>31.28</v>
      </c>
      <c r="B1457" s="14">
        <v>5.9964000000000003E-4</v>
      </c>
      <c r="C1457" s="15">
        <v>3.5827999999999999E-4</v>
      </c>
    </row>
    <row r="1458" spans="1:3" x14ac:dyDescent="0.45">
      <c r="A1458" s="11">
        <v>31.29</v>
      </c>
      <c r="B1458" s="14">
        <v>5.9977000000000001E-4</v>
      </c>
      <c r="C1458" s="15">
        <v>3.5854000000000002E-4</v>
      </c>
    </row>
    <row r="1459" spans="1:3" x14ac:dyDescent="0.45">
      <c r="A1459" s="11">
        <v>31.3</v>
      </c>
      <c r="B1459" s="14">
        <v>5.999E-4</v>
      </c>
      <c r="C1459" s="15">
        <v>3.5879999999999999E-4</v>
      </c>
    </row>
    <row r="1460" spans="1:3" x14ac:dyDescent="0.45">
      <c r="A1460" s="11">
        <v>31.31</v>
      </c>
      <c r="B1460" s="14">
        <v>6.0002999999999999E-4</v>
      </c>
      <c r="C1460" s="15">
        <v>3.5906000000000002E-4</v>
      </c>
    </row>
    <row r="1461" spans="1:3" x14ac:dyDescent="0.45">
      <c r="A1461" s="11">
        <v>31.32</v>
      </c>
      <c r="B1461" s="14">
        <v>6.0015999999999997E-4</v>
      </c>
      <c r="C1461" s="15">
        <v>3.5932E-4</v>
      </c>
    </row>
    <row r="1462" spans="1:3" x14ac:dyDescent="0.45">
      <c r="A1462" s="11">
        <v>31.33</v>
      </c>
      <c r="B1462" s="14">
        <v>6.0028999999999996E-4</v>
      </c>
      <c r="C1462" s="15">
        <v>3.5958000000000002E-4</v>
      </c>
    </row>
    <row r="1463" spans="1:3" x14ac:dyDescent="0.45">
      <c r="A1463" s="11">
        <v>31.34</v>
      </c>
      <c r="B1463" s="14">
        <v>6.0041999999999995E-4</v>
      </c>
      <c r="C1463" s="15">
        <v>3.5984E-4</v>
      </c>
    </row>
    <row r="1464" spans="1:3" x14ac:dyDescent="0.45">
      <c r="A1464" s="11">
        <v>31.35</v>
      </c>
      <c r="B1464" s="14">
        <v>6.0055000000000004E-4</v>
      </c>
      <c r="C1464" s="15">
        <v>3.6010000000000003E-4</v>
      </c>
    </row>
    <row r="1465" spans="1:3" x14ac:dyDescent="0.45">
      <c r="A1465" s="11">
        <v>31.36</v>
      </c>
      <c r="B1465" s="14">
        <v>6.0068000000000003E-4</v>
      </c>
      <c r="C1465" s="15">
        <v>3.6036E-4</v>
      </c>
    </row>
    <row r="1466" spans="1:3" x14ac:dyDescent="0.45">
      <c r="A1466" s="11">
        <v>31.37</v>
      </c>
      <c r="B1466" s="14">
        <v>6.0081000000000002E-4</v>
      </c>
      <c r="C1466" s="15">
        <v>3.6062000000000003E-4</v>
      </c>
    </row>
    <row r="1467" spans="1:3" x14ac:dyDescent="0.45">
      <c r="A1467" s="11">
        <v>31.38</v>
      </c>
      <c r="B1467" s="14">
        <v>6.0094E-4</v>
      </c>
      <c r="C1467" s="15">
        <v>3.6088E-4</v>
      </c>
    </row>
    <row r="1468" spans="1:3" x14ac:dyDescent="0.45">
      <c r="A1468" s="11">
        <v>31.39</v>
      </c>
      <c r="B1468" s="14">
        <v>6.0106999999999999E-4</v>
      </c>
      <c r="C1468" s="15">
        <v>3.6113999999999997E-4</v>
      </c>
    </row>
    <row r="1469" spans="1:3" x14ac:dyDescent="0.45">
      <c r="A1469" s="11">
        <v>31.4</v>
      </c>
      <c r="B1469" s="14">
        <v>6.0119999999999998E-4</v>
      </c>
      <c r="C1469" s="15">
        <v>3.614E-4</v>
      </c>
    </row>
    <row r="1470" spans="1:3" x14ac:dyDescent="0.45">
      <c r="A1470" s="11">
        <v>31.41</v>
      </c>
      <c r="B1470" s="14">
        <v>6.0132999999999996E-4</v>
      </c>
      <c r="C1470" s="15">
        <v>3.6165999999999998E-4</v>
      </c>
    </row>
    <row r="1471" spans="1:3" x14ac:dyDescent="0.45">
      <c r="A1471" s="11">
        <v>31.42</v>
      </c>
      <c r="B1471" s="14">
        <v>6.0145999999999995E-4</v>
      </c>
      <c r="C1471" s="15">
        <v>3.6192E-4</v>
      </c>
    </row>
    <row r="1472" spans="1:3" x14ac:dyDescent="0.45">
      <c r="A1472" s="11">
        <v>31.43</v>
      </c>
      <c r="B1472" s="14">
        <v>6.0159000000000005E-4</v>
      </c>
      <c r="C1472" s="15">
        <v>3.6217999999999998E-4</v>
      </c>
    </row>
    <row r="1473" spans="1:3" x14ac:dyDescent="0.45">
      <c r="A1473" s="11">
        <v>31.44</v>
      </c>
      <c r="B1473" s="14">
        <v>6.0172000000000003E-4</v>
      </c>
      <c r="C1473" s="15">
        <v>3.6244000000000001E-4</v>
      </c>
    </row>
    <row r="1474" spans="1:3" x14ac:dyDescent="0.45">
      <c r="A1474" s="11">
        <v>31.45</v>
      </c>
      <c r="B1474" s="14">
        <v>6.0185000000000002E-4</v>
      </c>
      <c r="C1474" s="15">
        <v>3.6269999999999998E-4</v>
      </c>
    </row>
    <row r="1475" spans="1:3" x14ac:dyDescent="0.45">
      <c r="A1475" s="11">
        <v>31.46</v>
      </c>
      <c r="B1475" s="14">
        <v>6.0198000000000001E-4</v>
      </c>
      <c r="C1475" s="15">
        <v>3.6296000000000001E-4</v>
      </c>
    </row>
    <row r="1476" spans="1:3" x14ac:dyDescent="0.45">
      <c r="A1476" s="11">
        <v>31.47</v>
      </c>
      <c r="B1476" s="14">
        <v>6.0210999999999999E-4</v>
      </c>
      <c r="C1476" s="15">
        <v>3.6321999999999998E-4</v>
      </c>
    </row>
    <row r="1477" spans="1:3" x14ac:dyDescent="0.45">
      <c r="A1477" s="11">
        <v>31.48</v>
      </c>
      <c r="B1477" s="14">
        <v>6.0223999999999998E-4</v>
      </c>
      <c r="C1477" s="15">
        <v>3.6348000000000001E-4</v>
      </c>
    </row>
    <row r="1478" spans="1:3" x14ac:dyDescent="0.45">
      <c r="A1478" s="11">
        <v>31.49</v>
      </c>
      <c r="B1478" s="14">
        <v>6.0236999999999997E-4</v>
      </c>
      <c r="C1478" s="15">
        <v>3.6373999999999998E-4</v>
      </c>
    </row>
    <row r="1479" spans="1:3" x14ac:dyDescent="0.45">
      <c r="A1479" s="11">
        <v>31.5</v>
      </c>
      <c r="B1479" s="14">
        <v>6.0249999999999995E-4</v>
      </c>
      <c r="C1479" s="15">
        <v>3.6400000000000001E-4</v>
      </c>
    </row>
    <row r="1480" spans="1:3" x14ac:dyDescent="0.45">
      <c r="A1480" s="11">
        <v>31.51</v>
      </c>
      <c r="B1480" s="14">
        <v>6.0263000000000005E-4</v>
      </c>
      <c r="C1480" s="15">
        <v>3.6425999999999999E-4</v>
      </c>
    </row>
    <row r="1481" spans="1:3" x14ac:dyDescent="0.45">
      <c r="A1481" s="11">
        <v>31.52</v>
      </c>
      <c r="B1481" s="14">
        <v>6.0276000000000004E-4</v>
      </c>
      <c r="C1481" s="15">
        <v>3.6452000000000001E-4</v>
      </c>
    </row>
    <row r="1482" spans="1:3" x14ac:dyDescent="0.45">
      <c r="A1482" s="11">
        <v>31.53</v>
      </c>
      <c r="B1482" s="14">
        <v>6.0289000000000002E-4</v>
      </c>
      <c r="C1482" s="15">
        <v>3.6477999999999999E-4</v>
      </c>
    </row>
    <row r="1483" spans="1:3" x14ac:dyDescent="0.45">
      <c r="A1483" s="11">
        <v>31.54</v>
      </c>
      <c r="B1483" s="14">
        <v>6.0302000000000001E-4</v>
      </c>
      <c r="C1483" s="15">
        <v>3.6504000000000002E-4</v>
      </c>
    </row>
    <row r="1484" spans="1:3" x14ac:dyDescent="0.45">
      <c r="A1484" s="11">
        <v>31.55</v>
      </c>
      <c r="B1484" s="14">
        <v>6.0315E-4</v>
      </c>
      <c r="C1484" s="15">
        <v>3.6529999999999999E-4</v>
      </c>
    </row>
    <row r="1485" spans="1:3" x14ac:dyDescent="0.45">
      <c r="A1485" s="11">
        <v>31.56</v>
      </c>
      <c r="B1485" s="14">
        <v>6.0327999999999998E-4</v>
      </c>
      <c r="C1485" s="15">
        <v>3.6556000000000002E-4</v>
      </c>
    </row>
    <row r="1486" spans="1:3" x14ac:dyDescent="0.45">
      <c r="A1486" s="11">
        <v>31.57</v>
      </c>
      <c r="B1486" s="14">
        <v>6.0340999999999997E-4</v>
      </c>
      <c r="C1486" s="15">
        <v>3.6581999999999999E-4</v>
      </c>
    </row>
    <row r="1487" spans="1:3" x14ac:dyDescent="0.45">
      <c r="A1487" s="11">
        <v>31.58</v>
      </c>
      <c r="B1487" s="14">
        <v>6.0353999999999996E-4</v>
      </c>
      <c r="C1487" s="15">
        <v>3.6608000000000002E-4</v>
      </c>
    </row>
    <row r="1488" spans="1:3" x14ac:dyDescent="0.45">
      <c r="A1488" s="11">
        <v>31.59</v>
      </c>
      <c r="B1488" s="14">
        <v>6.0367000000000005E-4</v>
      </c>
      <c r="C1488" s="15">
        <v>3.6633999999999999E-4</v>
      </c>
    </row>
    <row r="1489" spans="1:3" x14ac:dyDescent="0.45">
      <c r="A1489" s="11">
        <v>31.6</v>
      </c>
      <c r="B1489" s="14">
        <v>6.0380000000000004E-4</v>
      </c>
      <c r="C1489" s="15">
        <v>3.6660000000000002E-4</v>
      </c>
    </row>
    <row r="1490" spans="1:3" x14ac:dyDescent="0.45">
      <c r="A1490" s="11">
        <v>31.61</v>
      </c>
      <c r="B1490" s="14">
        <v>6.0393000000000003E-4</v>
      </c>
      <c r="C1490" s="15">
        <v>3.6685999999999999E-4</v>
      </c>
    </row>
    <row r="1491" spans="1:3" x14ac:dyDescent="0.45">
      <c r="A1491" s="11">
        <v>31.62</v>
      </c>
      <c r="B1491" s="14">
        <v>6.0406000000000001E-4</v>
      </c>
      <c r="C1491" s="15">
        <v>3.6712000000000002E-4</v>
      </c>
    </row>
    <row r="1492" spans="1:3" x14ac:dyDescent="0.45">
      <c r="A1492" s="11">
        <v>31.63</v>
      </c>
      <c r="B1492" s="14">
        <v>6.0419E-4</v>
      </c>
      <c r="C1492" s="15">
        <v>3.6738E-4</v>
      </c>
    </row>
    <row r="1493" spans="1:3" x14ac:dyDescent="0.45">
      <c r="A1493" s="11">
        <v>31.64</v>
      </c>
      <c r="B1493" s="14">
        <v>6.0431999999999999E-4</v>
      </c>
      <c r="C1493" s="15">
        <v>3.6764000000000002E-4</v>
      </c>
    </row>
    <row r="1494" spans="1:3" x14ac:dyDescent="0.45">
      <c r="A1494" s="11">
        <v>31.65</v>
      </c>
      <c r="B1494" s="14">
        <v>6.0444999999999997E-4</v>
      </c>
      <c r="C1494" s="15">
        <v>3.679E-4</v>
      </c>
    </row>
    <row r="1495" spans="1:3" x14ac:dyDescent="0.45">
      <c r="A1495" s="11">
        <v>31.66</v>
      </c>
      <c r="B1495" s="14">
        <v>6.0457999999999996E-4</v>
      </c>
      <c r="C1495" s="15">
        <v>3.6816000000000003E-4</v>
      </c>
    </row>
    <row r="1496" spans="1:3" x14ac:dyDescent="0.45">
      <c r="A1496" s="11">
        <v>31.67</v>
      </c>
      <c r="B1496" s="14">
        <v>6.0470999999999995E-4</v>
      </c>
      <c r="C1496" s="15">
        <v>3.6842E-4</v>
      </c>
    </row>
    <row r="1497" spans="1:3" x14ac:dyDescent="0.45">
      <c r="A1497" s="11">
        <v>31.68</v>
      </c>
      <c r="B1497" s="14">
        <v>6.0484000000000004E-4</v>
      </c>
      <c r="C1497" s="15">
        <v>3.6867999999999997E-4</v>
      </c>
    </row>
    <row r="1498" spans="1:3" x14ac:dyDescent="0.45">
      <c r="A1498" s="11">
        <v>31.69</v>
      </c>
      <c r="B1498" s="14">
        <v>6.0497000000000003E-4</v>
      </c>
      <c r="C1498" s="15">
        <v>3.6894E-4</v>
      </c>
    </row>
    <row r="1499" spans="1:3" x14ac:dyDescent="0.45">
      <c r="A1499" s="11">
        <v>31.7</v>
      </c>
      <c r="B1499" s="14">
        <v>6.0510000000000002E-4</v>
      </c>
      <c r="C1499" s="15">
        <v>3.6919999999999998E-4</v>
      </c>
    </row>
    <row r="1500" spans="1:3" x14ac:dyDescent="0.45">
      <c r="A1500" s="11">
        <v>31.71</v>
      </c>
      <c r="B1500" s="14">
        <v>6.0523E-4</v>
      </c>
      <c r="C1500" s="15">
        <v>3.6946E-4</v>
      </c>
    </row>
    <row r="1501" spans="1:3" x14ac:dyDescent="0.45">
      <c r="A1501" s="11">
        <v>31.72</v>
      </c>
      <c r="B1501" s="14">
        <v>6.0535999999999999E-4</v>
      </c>
      <c r="C1501" s="15">
        <v>3.6971999999999998E-4</v>
      </c>
    </row>
    <row r="1502" spans="1:3" x14ac:dyDescent="0.45">
      <c r="A1502" s="11">
        <v>31.73</v>
      </c>
      <c r="B1502" s="14">
        <v>6.0548999999999998E-4</v>
      </c>
      <c r="C1502" s="15">
        <v>3.6998000000000001E-4</v>
      </c>
    </row>
    <row r="1503" spans="1:3" x14ac:dyDescent="0.45">
      <c r="A1503" s="11">
        <v>31.74</v>
      </c>
      <c r="B1503" s="14">
        <v>6.0561999999999996E-4</v>
      </c>
      <c r="C1503" s="15">
        <v>3.7023999999999998E-4</v>
      </c>
    </row>
    <row r="1504" spans="1:3" x14ac:dyDescent="0.45">
      <c r="A1504" s="11">
        <v>31.75</v>
      </c>
      <c r="B1504" s="14">
        <v>6.0574999999999995E-4</v>
      </c>
      <c r="C1504" s="15">
        <v>3.7050000000000001E-4</v>
      </c>
    </row>
    <row r="1505" spans="1:3" x14ac:dyDescent="0.45">
      <c r="A1505" s="11">
        <v>31.76</v>
      </c>
      <c r="B1505" s="14">
        <v>6.0588000000000005E-4</v>
      </c>
      <c r="C1505" s="15">
        <v>3.7075999999999998E-4</v>
      </c>
    </row>
    <row r="1506" spans="1:3" x14ac:dyDescent="0.45">
      <c r="A1506" s="11">
        <v>31.77</v>
      </c>
      <c r="B1506" s="14">
        <v>6.0601000000000003E-4</v>
      </c>
      <c r="C1506" s="15">
        <v>3.7102000000000001E-4</v>
      </c>
    </row>
    <row r="1507" spans="1:3" x14ac:dyDescent="0.45">
      <c r="A1507" s="11">
        <v>31.78</v>
      </c>
      <c r="B1507" s="14">
        <v>6.0614000000000002E-4</v>
      </c>
      <c r="C1507" s="15">
        <v>3.7127999999999998E-4</v>
      </c>
    </row>
    <row r="1508" spans="1:3" x14ac:dyDescent="0.45">
      <c r="A1508" s="11">
        <v>31.79</v>
      </c>
      <c r="B1508" s="14">
        <v>6.0627000000000001E-4</v>
      </c>
      <c r="C1508" s="15">
        <v>3.7154000000000001E-4</v>
      </c>
    </row>
    <row r="1509" spans="1:3" x14ac:dyDescent="0.45">
      <c r="A1509" s="11">
        <v>31.8</v>
      </c>
      <c r="B1509" s="14">
        <v>6.0639999999999999E-4</v>
      </c>
      <c r="C1509" s="15">
        <v>3.7179999999999998E-4</v>
      </c>
    </row>
    <row r="1510" spans="1:3" x14ac:dyDescent="0.45">
      <c r="A1510" s="11">
        <v>31.81</v>
      </c>
      <c r="B1510" s="14">
        <v>6.0652999999999998E-4</v>
      </c>
      <c r="C1510" s="15">
        <v>3.7206000000000001E-4</v>
      </c>
    </row>
    <row r="1511" spans="1:3" x14ac:dyDescent="0.45">
      <c r="A1511" s="11">
        <v>31.82</v>
      </c>
      <c r="B1511" s="14">
        <v>6.0665999999999997E-4</v>
      </c>
      <c r="C1511" s="15">
        <v>3.7231999999999999E-4</v>
      </c>
    </row>
    <row r="1512" spans="1:3" x14ac:dyDescent="0.45">
      <c r="A1512" s="11">
        <v>31.83</v>
      </c>
      <c r="B1512" s="14">
        <v>6.0678999999999996E-4</v>
      </c>
      <c r="C1512" s="15">
        <v>3.7258000000000001E-4</v>
      </c>
    </row>
    <row r="1513" spans="1:3" x14ac:dyDescent="0.45">
      <c r="A1513" s="11">
        <v>31.84</v>
      </c>
      <c r="B1513" s="14">
        <v>6.0692000000000005E-4</v>
      </c>
      <c r="C1513" s="15">
        <v>3.7283999999999999E-4</v>
      </c>
    </row>
    <row r="1514" spans="1:3" x14ac:dyDescent="0.45">
      <c r="A1514" s="11">
        <v>31.85</v>
      </c>
      <c r="B1514" s="14">
        <v>6.0705000000000004E-4</v>
      </c>
      <c r="C1514" s="15">
        <v>3.7310000000000002E-4</v>
      </c>
    </row>
    <row r="1515" spans="1:3" x14ac:dyDescent="0.45">
      <c r="A1515" s="11">
        <v>31.86</v>
      </c>
      <c r="B1515" s="14">
        <v>6.0718000000000002E-4</v>
      </c>
      <c r="C1515" s="15">
        <v>3.7335999999999999E-4</v>
      </c>
    </row>
    <row r="1516" spans="1:3" x14ac:dyDescent="0.45">
      <c r="A1516" s="11">
        <v>31.87</v>
      </c>
      <c r="B1516" s="14">
        <v>6.0731000000000001E-4</v>
      </c>
      <c r="C1516" s="15">
        <v>3.7362000000000002E-4</v>
      </c>
    </row>
    <row r="1517" spans="1:3" x14ac:dyDescent="0.45">
      <c r="A1517" s="11">
        <v>31.88</v>
      </c>
      <c r="B1517" s="14">
        <v>6.0744E-4</v>
      </c>
      <c r="C1517" s="15">
        <v>3.7387999999999999E-4</v>
      </c>
    </row>
    <row r="1518" spans="1:3" x14ac:dyDescent="0.45">
      <c r="A1518" s="11">
        <v>31.89</v>
      </c>
      <c r="B1518" s="14">
        <v>6.0756999999999999E-4</v>
      </c>
      <c r="C1518" s="15">
        <v>3.7414000000000002E-4</v>
      </c>
    </row>
    <row r="1519" spans="1:3" x14ac:dyDescent="0.45">
      <c r="A1519" s="11">
        <v>31.9</v>
      </c>
      <c r="B1519" s="14">
        <v>6.0769999999999997E-4</v>
      </c>
      <c r="C1519" s="15">
        <v>3.7439999999999999E-4</v>
      </c>
    </row>
    <row r="1520" spans="1:3" x14ac:dyDescent="0.45">
      <c r="A1520" s="11">
        <v>31.91</v>
      </c>
      <c r="B1520" s="14">
        <v>6.0782999999999996E-4</v>
      </c>
      <c r="C1520" s="15">
        <v>3.7466000000000002E-4</v>
      </c>
    </row>
    <row r="1521" spans="1:3" x14ac:dyDescent="0.45">
      <c r="A1521" s="11">
        <v>31.92</v>
      </c>
      <c r="B1521" s="14">
        <v>6.0796000000000005E-4</v>
      </c>
      <c r="C1521" s="15">
        <v>3.7492E-4</v>
      </c>
    </row>
    <row r="1522" spans="1:3" x14ac:dyDescent="0.45">
      <c r="A1522" s="11">
        <v>31.93</v>
      </c>
      <c r="B1522" s="14">
        <v>6.0809000000000004E-4</v>
      </c>
      <c r="C1522" s="15">
        <v>3.7518000000000002E-4</v>
      </c>
    </row>
    <row r="1523" spans="1:3" x14ac:dyDescent="0.45">
      <c r="A1523" s="11">
        <v>31.94</v>
      </c>
      <c r="B1523" s="14">
        <v>6.0822000000000003E-4</v>
      </c>
      <c r="C1523" s="15">
        <v>3.7544E-4</v>
      </c>
    </row>
    <row r="1524" spans="1:3" x14ac:dyDescent="0.45">
      <c r="A1524" s="11">
        <v>31.95</v>
      </c>
      <c r="B1524" s="14">
        <v>6.0835000000000001E-4</v>
      </c>
      <c r="C1524" s="15">
        <v>3.7570000000000002E-4</v>
      </c>
    </row>
    <row r="1525" spans="1:3" x14ac:dyDescent="0.45">
      <c r="A1525" s="11">
        <v>31.96</v>
      </c>
      <c r="B1525" s="14">
        <v>6.0848E-4</v>
      </c>
      <c r="C1525" s="15">
        <v>3.7596E-4</v>
      </c>
    </row>
    <row r="1526" spans="1:3" x14ac:dyDescent="0.45">
      <c r="A1526" s="11">
        <v>31.97</v>
      </c>
      <c r="B1526" s="14">
        <v>6.0860999999999999E-4</v>
      </c>
      <c r="C1526" s="15">
        <v>3.7622000000000003E-4</v>
      </c>
    </row>
    <row r="1527" spans="1:3" x14ac:dyDescent="0.45">
      <c r="A1527" s="11">
        <v>31.98</v>
      </c>
      <c r="B1527" s="14">
        <v>6.0873999999999998E-4</v>
      </c>
      <c r="C1527" s="15">
        <v>3.7648E-4</v>
      </c>
    </row>
    <row r="1528" spans="1:3" x14ac:dyDescent="0.45">
      <c r="A1528" s="11">
        <v>31.99</v>
      </c>
      <c r="B1528" s="14">
        <v>6.0886999999999996E-4</v>
      </c>
      <c r="C1528" s="15">
        <v>3.7673999999999997E-4</v>
      </c>
    </row>
    <row r="1529" spans="1:3" x14ac:dyDescent="0.45">
      <c r="A1529" s="11">
        <v>32</v>
      </c>
      <c r="B1529" s="14">
        <v>6.0899999999999995E-4</v>
      </c>
      <c r="C1529" s="15">
        <v>3.77E-4</v>
      </c>
    </row>
    <row r="1530" spans="1:3" x14ac:dyDescent="0.45">
      <c r="A1530" s="11">
        <v>32.01</v>
      </c>
      <c r="B1530" s="14">
        <v>6.0917000000000002E-4</v>
      </c>
      <c r="C1530" s="15">
        <v>3.7729000000000001E-4</v>
      </c>
    </row>
    <row r="1531" spans="1:3" x14ac:dyDescent="0.45">
      <c r="A1531" s="11">
        <v>32.020000000000003</v>
      </c>
      <c r="B1531" s="14">
        <v>6.0933999999999999E-4</v>
      </c>
      <c r="C1531" s="15">
        <v>3.7757999999999997E-4</v>
      </c>
    </row>
    <row r="1532" spans="1:3" x14ac:dyDescent="0.45">
      <c r="A1532" s="11">
        <v>32.03</v>
      </c>
      <c r="B1532" s="14">
        <v>6.0950999999999996E-4</v>
      </c>
      <c r="C1532" s="15">
        <v>3.7786999999999999E-4</v>
      </c>
    </row>
    <row r="1533" spans="1:3" x14ac:dyDescent="0.45">
      <c r="A1533" s="11">
        <v>32.04</v>
      </c>
      <c r="B1533" s="14">
        <v>6.0968000000000003E-4</v>
      </c>
      <c r="C1533" s="15">
        <v>3.7816E-4</v>
      </c>
    </row>
    <row r="1534" spans="1:3" x14ac:dyDescent="0.45">
      <c r="A1534" s="11">
        <v>32.049999999999997</v>
      </c>
      <c r="B1534" s="14">
        <v>6.0985E-4</v>
      </c>
      <c r="C1534" s="15">
        <v>3.7845000000000001E-4</v>
      </c>
    </row>
    <row r="1535" spans="1:3" x14ac:dyDescent="0.45">
      <c r="A1535" s="11">
        <v>32.06</v>
      </c>
      <c r="B1535" s="14">
        <v>6.1001999999999996E-4</v>
      </c>
      <c r="C1535" s="15">
        <v>3.7874000000000002E-4</v>
      </c>
    </row>
    <row r="1536" spans="1:3" x14ac:dyDescent="0.45">
      <c r="A1536" s="11">
        <v>32.07</v>
      </c>
      <c r="B1536" s="14">
        <v>6.1019000000000004E-4</v>
      </c>
      <c r="C1536" s="15">
        <v>3.7902999999999998E-4</v>
      </c>
    </row>
    <row r="1537" spans="1:3" x14ac:dyDescent="0.45">
      <c r="A1537" s="11">
        <v>32.08</v>
      </c>
      <c r="B1537" s="14">
        <v>6.1036E-4</v>
      </c>
      <c r="C1537" s="15">
        <v>3.7931999999999999E-4</v>
      </c>
    </row>
    <row r="1538" spans="1:3" x14ac:dyDescent="0.45">
      <c r="A1538" s="11">
        <v>32.090000000000003</v>
      </c>
      <c r="B1538" s="14">
        <v>6.1052999999999997E-4</v>
      </c>
      <c r="C1538" s="15">
        <v>3.7961000000000001E-4</v>
      </c>
    </row>
    <row r="1539" spans="1:3" x14ac:dyDescent="0.45">
      <c r="A1539" s="11">
        <v>32.1</v>
      </c>
      <c r="B1539" s="14">
        <v>6.1070000000000004E-4</v>
      </c>
      <c r="C1539" s="15">
        <v>3.7990000000000002E-4</v>
      </c>
    </row>
    <row r="1540" spans="1:3" x14ac:dyDescent="0.45">
      <c r="A1540" s="11">
        <v>32.11</v>
      </c>
      <c r="B1540" s="14">
        <v>6.1087000000000001E-4</v>
      </c>
      <c r="C1540" s="15">
        <v>3.8018999999999998E-4</v>
      </c>
    </row>
    <row r="1541" spans="1:3" x14ac:dyDescent="0.45">
      <c r="A1541" s="11">
        <v>32.119999999999997</v>
      </c>
      <c r="B1541" s="14">
        <v>6.1103999999999998E-4</v>
      </c>
      <c r="C1541" s="15">
        <v>3.8047999999999999E-4</v>
      </c>
    </row>
    <row r="1542" spans="1:3" x14ac:dyDescent="0.45">
      <c r="A1542" s="11">
        <v>32.130000000000003</v>
      </c>
      <c r="B1542" s="14">
        <v>6.1121000000000005E-4</v>
      </c>
      <c r="C1542" s="15">
        <v>3.8077E-4</v>
      </c>
    </row>
    <row r="1543" spans="1:3" x14ac:dyDescent="0.45">
      <c r="A1543" s="11">
        <v>32.14</v>
      </c>
      <c r="B1543" s="14">
        <v>6.1138000000000002E-4</v>
      </c>
      <c r="C1543" s="15">
        <v>3.8106000000000001E-4</v>
      </c>
    </row>
    <row r="1544" spans="1:3" x14ac:dyDescent="0.45">
      <c r="A1544" s="11">
        <v>32.15</v>
      </c>
      <c r="B1544" s="14">
        <v>6.1154999999999998E-4</v>
      </c>
      <c r="C1544" s="15">
        <v>3.8135000000000003E-4</v>
      </c>
    </row>
    <row r="1545" spans="1:3" x14ac:dyDescent="0.45">
      <c r="A1545" s="11">
        <v>32.159999999999997</v>
      </c>
      <c r="B1545" s="14">
        <v>6.1171999999999995E-4</v>
      </c>
      <c r="C1545" s="15">
        <v>3.8163999999999998E-4</v>
      </c>
    </row>
    <row r="1546" spans="1:3" x14ac:dyDescent="0.45">
      <c r="A1546" s="11">
        <v>32.17</v>
      </c>
      <c r="B1546" s="14">
        <v>6.1189000000000003E-4</v>
      </c>
      <c r="C1546" s="15">
        <v>3.8193E-4</v>
      </c>
    </row>
    <row r="1547" spans="1:3" x14ac:dyDescent="0.45">
      <c r="A1547" s="11">
        <v>32.18</v>
      </c>
      <c r="B1547" s="14">
        <v>6.1205999999999999E-4</v>
      </c>
      <c r="C1547" s="15">
        <v>3.8222000000000001E-4</v>
      </c>
    </row>
    <row r="1548" spans="1:3" x14ac:dyDescent="0.45">
      <c r="A1548" s="11">
        <v>32.19</v>
      </c>
      <c r="B1548" s="14">
        <v>6.1222999999999996E-4</v>
      </c>
      <c r="C1548" s="15">
        <v>3.8251000000000002E-4</v>
      </c>
    </row>
    <row r="1549" spans="1:3" x14ac:dyDescent="0.45">
      <c r="A1549" s="11">
        <v>32.200000000000003</v>
      </c>
      <c r="B1549" s="14">
        <v>6.1240000000000003E-4</v>
      </c>
      <c r="C1549" s="15">
        <v>3.8279999999999998E-4</v>
      </c>
    </row>
    <row r="1550" spans="1:3" x14ac:dyDescent="0.45">
      <c r="A1550" s="11">
        <v>32.21</v>
      </c>
      <c r="B1550" s="14">
        <v>6.1257E-4</v>
      </c>
      <c r="C1550" s="15">
        <v>3.8308999999999999E-4</v>
      </c>
    </row>
    <row r="1551" spans="1:3" x14ac:dyDescent="0.45">
      <c r="A1551" s="11">
        <v>32.22</v>
      </c>
      <c r="B1551" s="14">
        <v>6.1273999999999996E-4</v>
      </c>
      <c r="C1551" s="15">
        <v>3.8338000000000001E-4</v>
      </c>
    </row>
    <row r="1552" spans="1:3" x14ac:dyDescent="0.45">
      <c r="A1552" s="11">
        <v>32.229999999999997</v>
      </c>
      <c r="B1552" s="14">
        <v>6.1291000000000004E-4</v>
      </c>
      <c r="C1552" s="15">
        <v>3.8367000000000002E-4</v>
      </c>
    </row>
    <row r="1553" spans="1:3" x14ac:dyDescent="0.45">
      <c r="A1553" s="11">
        <v>32.24</v>
      </c>
      <c r="B1553" s="14">
        <v>6.1308000000000001E-4</v>
      </c>
      <c r="C1553" s="15">
        <v>3.8395999999999998E-4</v>
      </c>
    </row>
    <row r="1554" spans="1:3" x14ac:dyDescent="0.45">
      <c r="A1554" s="11">
        <v>32.25</v>
      </c>
      <c r="B1554" s="14">
        <v>6.1324999999999997E-4</v>
      </c>
      <c r="C1554" s="15">
        <v>3.8424999999999999E-4</v>
      </c>
    </row>
    <row r="1555" spans="1:3" x14ac:dyDescent="0.45">
      <c r="A1555" s="11">
        <v>32.26</v>
      </c>
      <c r="B1555" s="14">
        <v>6.1342000000000005E-4</v>
      </c>
      <c r="C1555" s="15">
        <v>3.8454E-4</v>
      </c>
    </row>
    <row r="1556" spans="1:3" x14ac:dyDescent="0.45">
      <c r="A1556" s="11">
        <v>32.270000000000003</v>
      </c>
      <c r="B1556" s="14">
        <v>6.1359000000000001E-4</v>
      </c>
      <c r="C1556" s="15">
        <v>3.8483000000000001E-4</v>
      </c>
    </row>
    <row r="1557" spans="1:3" x14ac:dyDescent="0.45">
      <c r="A1557" s="11">
        <v>32.28</v>
      </c>
      <c r="B1557" s="14">
        <v>6.1375999999999998E-4</v>
      </c>
      <c r="C1557" s="15">
        <v>3.8512000000000003E-4</v>
      </c>
    </row>
    <row r="1558" spans="1:3" x14ac:dyDescent="0.45">
      <c r="A1558" s="11">
        <v>32.29</v>
      </c>
      <c r="B1558" s="14">
        <v>6.1393000000000005E-4</v>
      </c>
      <c r="C1558" s="15">
        <v>3.8540999999999998E-4</v>
      </c>
    </row>
    <row r="1559" spans="1:3" x14ac:dyDescent="0.45">
      <c r="A1559" s="11">
        <v>32.299999999999997</v>
      </c>
      <c r="B1559" s="14">
        <v>6.1410000000000002E-4</v>
      </c>
      <c r="C1559" s="15">
        <v>3.857E-4</v>
      </c>
    </row>
    <row r="1560" spans="1:3" x14ac:dyDescent="0.45">
      <c r="A1560" s="11">
        <v>32.31</v>
      </c>
      <c r="B1560" s="14">
        <v>6.1426999999999999E-4</v>
      </c>
      <c r="C1560" s="15">
        <v>3.8599000000000001E-4</v>
      </c>
    </row>
    <row r="1561" spans="1:3" x14ac:dyDescent="0.45">
      <c r="A1561" s="11">
        <v>32.32</v>
      </c>
      <c r="B1561" s="14">
        <v>6.1443999999999995E-4</v>
      </c>
      <c r="C1561" s="15">
        <v>3.8628000000000002E-4</v>
      </c>
    </row>
    <row r="1562" spans="1:3" x14ac:dyDescent="0.45">
      <c r="A1562" s="11">
        <v>32.33</v>
      </c>
      <c r="B1562" s="14">
        <v>6.1461000000000003E-4</v>
      </c>
      <c r="C1562" s="15">
        <v>3.8656999999999998E-4</v>
      </c>
    </row>
    <row r="1563" spans="1:3" x14ac:dyDescent="0.45">
      <c r="A1563" s="11">
        <v>32.340000000000003</v>
      </c>
      <c r="B1563" s="14">
        <v>6.1477999999999999E-4</v>
      </c>
      <c r="C1563" s="15">
        <v>3.8685999999999999E-4</v>
      </c>
    </row>
    <row r="1564" spans="1:3" x14ac:dyDescent="0.45">
      <c r="A1564" s="11">
        <v>32.35</v>
      </c>
      <c r="B1564" s="14">
        <v>6.1494999999999996E-4</v>
      </c>
      <c r="C1564" s="15">
        <v>3.8715E-4</v>
      </c>
    </row>
    <row r="1565" spans="1:3" x14ac:dyDescent="0.45">
      <c r="A1565" s="11">
        <v>32.36</v>
      </c>
      <c r="B1565" s="14">
        <v>6.1512000000000003E-4</v>
      </c>
      <c r="C1565" s="15">
        <v>3.8744000000000002E-4</v>
      </c>
    </row>
    <row r="1566" spans="1:3" x14ac:dyDescent="0.45">
      <c r="A1566" s="11">
        <v>32.369999999999997</v>
      </c>
      <c r="B1566" s="14">
        <v>6.1529E-4</v>
      </c>
      <c r="C1566" s="15">
        <v>3.8772999999999998E-4</v>
      </c>
    </row>
    <row r="1567" spans="1:3" x14ac:dyDescent="0.45">
      <c r="A1567" s="11">
        <v>32.380000000000003</v>
      </c>
      <c r="B1567" s="14">
        <v>6.1545999999999997E-4</v>
      </c>
      <c r="C1567" s="15">
        <v>3.8801999999999999E-4</v>
      </c>
    </row>
    <row r="1568" spans="1:3" x14ac:dyDescent="0.45">
      <c r="A1568" s="11">
        <v>32.39</v>
      </c>
      <c r="B1568" s="14">
        <v>6.1563000000000004E-4</v>
      </c>
      <c r="C1568" s="15">
        <v>3.8831E-4</v>
      </c>
    </row>
    <row r="1569" spans="1:3" x14ac:dyDescent="0.45">
      <c r="A1569" s="11">
        <v>32.4</v>
      </c>
      <c r="B1569" s="14">
        <v>6.1580000000000001E-4</v>
      </c>
      <c r="C1569" s="15">
        <v>3.8860000000000001E-4</v>
      </c>
    </row>
    <row r="1570" spans="1:3" x14ac:dyDescent="0.45">
      <c r="A1570" s="11">
        <v>32.409999999999997</v>
      </c>
      <c r="B1570" s="14">
        <v>6.1596999999999997E-4</v>
      </c>
      <c r="C1570" s="15">
        <v>3.8889000000000003E-4</v>
      </c>
    </row>
    <row r="1571" spans="1:3" x14ac:dyDescent="0.45">
      <c r="A1571" s="11">
        <v>32.42</v>
      </c>
      <c r="B1571" s="14">
        <v>6.1614000000000005E-4</v>
      </c>
      <c r="C1571" s="15">
        <v>3.8917999999999998E-4</v>
      </c>
    </row>
    <row r="1572" spans="1:3" x14ac:dyDescent="0.45">
      <c r="A1572" s="11">
        <v>32.43</v>
      </c>
      <c r="B1572" s="14">
        <v>6.1631000000000001E-4</v>
      </c>
      <c r="C1572" s="15">
        <v>3.8947E-4</v>
      </c>
    </row>
    <row r="1573" spans="1:3" x14ac:dyDescent="0.45">
      <c r="A1573" s="11">
        <v>32.44</v>
      </c>
      <c r="B1573" s="14">
        <v>6.1647999999999998E-4</v>
      </c>
      <c r="C1573" s="15">
        <v>3.8976000000000001E-4</v>
      </c>
    </row>
    <row r="1574" spans="1:3" x14ac:dyDescent="0.45">
      <c r="A1574" s="11">
        <v>32.450000000000003</v>
      </c>
      <c r="B1574" s="14">
        <v>6.1665000000000005E-4</v>
      </c>
      <c r="C1574" s="15">
        <v>3.9005000000000002E-4</v>
      </c>
    </row>
    <row r="1575" spans="1:3" x14ac:dyDescent="0.45">
      <c r="A1575" s="11">
        <v>32.46</v>
      </c>
      <c r="B1575" s="14">
        <v>6.1682000000000002E-4</v>
      </c>
      <c r="C1575" s="15">
        <v>3.9033999999999998E-4</v>
      </c>
    </row>
    <row r="1576" spans="1:3" x14ac:dyDescent="0.45">
      <c r="A1576" s="11">
        <v>32.47</v>
      </c>
      <c r="B1576" s="14">
        <v>6.1698999999999999E-4</v>
      </c>
      <c r="C1576" s="15">
        <v>3.9062999999999999E-4</v>
      </c>
    </row>
    <row r="1577" spans="1:3" x14ac:dyDescent="0.45">
      <c r="A1577" s="11">
        <v>32.479999999999997</v>
      </c>
      <c r="B1577" s="14">
        <v>6.1715999999999995E-4</v>
      </c>
      <c r="C1577" s="15">
        <v>3.9092E-4</v>
      </c>
    </row>
    <row r="1578" spans="1:3" x14ac:dyDescent="0.45">
      <c r="A1578" s="11">
        <v>32.49</v>
      </c>
      <c r="B1578" s="14">
        <v>6.1733000000000003E-4</v>
      </c>
      <c r="C1578" s="15">
        <v>3.9121000000000002E-4</v>
      </c>
    </row>
    <row r="1579" spans="1:3" x14ac:dyDescent="0.45">
      <c r="A1579" s="11">
        <v>32.5</v>
      </c>
      <c r="B1579" s="14">
        <v>6.1749999999999999E-4</v>
      </c>
      <c r="C1579" s="15">
        <v>3.9149999999999998E-4</v>
      </c>
    </row>
    <row r="1580" spans="1:3" x14ac:dyDescent="0.45">
      <c r="A1580" s="11">
        <v>32.51</v>
      </c>
      <c r="B1580" s="14">
        <v>6.1766999999999996E-4</v>
      </c>
      <c r="C1580" s="15">
        <v>3.9178999999999999E-4</v>
      </c>
    </row>
    <row r="1581" spans="1:3" x14ac:dyDescent="0.45">
      <c r="A1581" s="11">
        <v>32.520000000000003</v>
      </c>
      <c r="B1581" s="14">
        <v>6.1784000000000003E-4</v>
      </c>
      <c r="C1581" s="15">
        <v>3.9208E-4</v>
      </c>
    </row>
    <row r="1582" spans="1:3" x14ac:dyDescent="0.45">
      <c r="A1582" s="11">
        <v>32.53</v>
      </c>
      <c r="B1582" s="14">
        <v>6.1801E-4</v>
      </c>
      <c r="C1582" s="15">
        <v>3.9237000000000001E-4</v>
      </c>
    </row>
    <row r="1583" spans="1:3" x14ac:dyDescent="0.45">
      <c r="A1583" s="11">
        <v>32.54</v>
      </c>
      <c r="B1583" s="14">
        <v>6.1817999999999997E-4</v>
      </c>
      <c r="C1583" s="15">
        <v>3.9266000000000003E-4</v>
      </c>
    </row>
    <row r="1584" spans="1:3" x14ac:dyDescent="0.45">
      <c r="A1584" s="11">
        <v>32.549999999999997</v>
      </c>
      <c r="B1584" s="14">
        <v>6.1835000000000004E-4</v>
      </c>
      <c r="C1584" s="15">
        <v>3.9294999999999998E-4</v>
      </c>
    </row>
    <row r="1585" spans="1:3" x14ac:dyDescent="0.45">
      <c r="A1585" s="11">
        <v>32.56</v>
      </c>
      <c r="B1585" s="14">
        <v>6.1852000000000001E-4</v>
      </c>
      <c r="C1585" s="15">
        <v>3.9324E-4</v>
      </c>
    </row>
    <row r="1586" spans="1:3" x14ac:dyDescent="0.45">
      <c r="A1586" s="11">
        <v>32.57</v>
      </c>
      <c r="B1586" s="14">
        <v>6.1868999999999997E-4</v>
      </c>
      <c r="C1586" s="15">
        <v>3.9353000000000001E-4</v>
      </c>
    </row>
    <row r="1587" spans="1:3" x14ac:dyDescent="0.45">
      <c r="A1587" s="11">
        <v>32.58</v>
      </c>
      <c r="B1587" s="14">
        <v>6.1886000000000005E-4</v>
      </c>
      <c r="C1587" s="15">
        <v>3.9382000000000002E-4</v>
      </c>
    </row>
    <row r="1588" spans="1:3" x14ac:dyDescent="0.45">
      <c r="A1588" s="11">
        <v>32.590000000000003</v>
      </c>
      <c r="B1588" s="14">
        <v>6.1903000000000001E-4</v>
      </c>
      <c r="C1588" s="15">
        <v>3.9410999999999998E-4</v>
      </c>
    </row>
    <row r="1589" spans="1:3" x14ac:dyDescent="0.45">
      <c r="A1589" s="11">
        <v>32.6</v>
      </c>
      <c r="B1589" s="14">
        <v>6.1919999999999998E-4</v>
      </c>
      <c r="C1589" s="15">
        <v>3.9439999999999999E-4</v>
      </c>
    </row>
    <row r="1590" spans="1:3" x14ac:dyDescent="0.45">
      <c r="A1590" s="11">
        <v>32.61</v>
      </c>
      <c r="B1590" s="14">
        <v>6.1936999999999995E-4</v>
      </c>
      <c r="C1590" s="15">
        <v>3.9469E-4</v>
      </c>
    </row>
    <row r="1591" spans="1:3" x14ac:dyDescent="0.45">
      <c r="A1591" s="11">
        <v>32.619999999999997</v>
      </c>
      <c r="B1591" s="14">
        <v>6.1954000000000002E-4</v>
      </c>
      <c r="C1591" s="15">
        <v>3.9498000000000002E-4</v>
      </c>
    </row>
    <row r="1592" spans="1:3" x14ac:dyDescent="0.45">
      <c r="A1592" s="11">
        <v>32.630000000000003</v>
      </c>
      <c r="B1592" s="14">
        <v>6.1970999999999999E-4</v>
      </c>
      <c r="C1592" s="15">
        <v>3.9526999999999997E-4</v>
      </c>
    </row>
    <row r="1593" spans="1:3" x14ac:dyDescent="0.45">
      <c r="A1593" s="11">
        <v>32.64</v>
      </c>
      <c r="B1593" s="14">
        <v>6.1987999999999995E-4</v>
      </c>
      <c r="C1593" s="15">
        <v>3.9555999999999999E-4</v>
      </c>
    </row>
    <row r="1594" spans="1:3" x14ac:dyDescent="0.45">
      <c r="A1594" s="11">
        <v>32.65</v>
      </c>
      <c r="B1594" s="14">
        <v>6.2005000000000003E-4</v>
      </c>
      <c r="C1594" s="15">
        <v>3.9585E-4</v>
      </c>
    </row>
    <row r="1595" spans="1:3" x14ac:dyDescent="0.45">
      <c r="A1595" s="11">
        <v>32.659999999999997</v>
      </c>
      <c r="B1595" s="14">
        <v>6.2021999999999999E-4</v>
      </c>
      <c r="C1595" s="15">
        <v>3.9614000000000001E-4</v>
      </c>
    </row>
    <row r="1596" spans="1:3" x14ac:dyDescent="0.45">
      <c r="A1596" s="11">
        <v>32.67</v>
      </c>
      <c r="B1596" s="14">
        <v>6.2038999999999996E-4</v>
      </c>
      <c r="C1596" s="15">
        <v>3.9643000000000002E-4</v>
      </c>
    </row>
    <row r="1597" spans="1:3" x14ac:dyDescent="0.45">
      <c r="A1597" s="11">
        <v>32.68</v>
      </c>
      <c r="B1597" s="14">
        <v>6.2056000000000004E-4</v>
      </c>
      <c r="C1597" s="15">
        <v>3.9671999999999998E-4</v>
      </c>
    </row>
    <row r="1598" spans="1:3" x14ac:dyDescent="0.45">
      <c r="A1598" s="11">
        <v>32.69</v>
      </c>
      <c r="B1598" s="14">
        <v>6.2073E-4</v>
      </c>
      <c r="C1598" s="15">
        <v>3.9701E-4</v>
      </c>
    </row>
    <row r="1599" spans="1:3" x14ac:dyDescent="0.45">
      <c r="A1599" s="11">
        <v>32.700000000000003</v>
      </c>
      <c r="B1599" s="14">
        <v>6.2089999999999997E-4</v>
      </c>
      <c r="C1599" s="15">
        <v>3.9730000000000001E-4</v>
      </c>
    </row>
    <row r="1600" spans="1:3" x14ac:dyDescent="0.45">
      <c r="A1600" s="11">
        <v>32.71</v>
      </c>
      <c r="B1600" s="14">
        <v>6.2107000000000004E-4</v>
      </c>
      <c r="C1600" s="15">
        <v>3.9759000000000002E-4</v>
      </c>
    </row>
    <row r="1601" spans="1:3" x14ac:dyDescent="0.45">
      <c r="A1601" s="11">
        <v>32.72</v>
      </c>
      <c r="B1601" s="14">
        <v>6.2124000000000001E-4</v>
      </c>
      <c r="C1601" s="15">
        <v>3.9787999999999998E-4</v>
      </c>
    </row>
    <row r="1602" spans="1:3" x14ac:dyDescent="0.45">
      <c r="A1602" s="11">
        <v>32.729999999999997</v>
      </c>
      <c r="B1602" s="14">
        <v>6.2140999999999997E-4</v>
      </c>
      <c r="C1602" s="15">
        <v>3.9816999999999999E-4</v>
      </c>
    </row>
    <row r="1603" spans="1:3" x14ac:dyDescent="0.45">
      <c r="A1603" s="11">
        <v>32.74</v>
      </c>
      <c r="B1603" s="14">
        <v>6.2158000000000005E-4</v>
      </c>
      <c r="C1603" s="15">
        <v>3.9846E-4</v>
      </c>
    </row>
    <row r="1604" spans="1:3" x14ac:dyDescent="0.45">
      <c r="A1604" s="11">
        <v>32.75</v>
      </c>
      <c r="B1604" s="14">
        <v>6.2175000000000002E-4</v>
      </c>
      <c r="C1604" s="15">
        <v>3.9875000000000002E-4</v>
      </c>
    </row>
    <row r="1605" spans="1:3" x14ac:dyDescent="0.45">
      <c r="A1605" s="11">
        <v>32.76</v>
      </c>
      <c r="B1605" s="14">
        <v>6.2191999999999998E-4</v>
      </c>
      <c r="C1605" s="15">
        <v>3.9903999999999997E-4</v>
      </c>
    </row>
    <row r="1606" spans="1:3" x14ac:dyDescent="0.45">
      <c r="A1606" s="11">
        <v>32.770000000000003</v>
      </c>
      <c r="B1606" s="14">
        <v>6.2208999999999995E-4</v>
      </c>
      <c r="C1606" s="15">
        <v>3.9932999999999999E-4</v>
      </c>
    </row>
    <row r="1607" spans="1:3" x14ac:dyDescent="0.45">
      <c r="A1607" s="11">
        <v>32.78</v>
      </c>
      <c r="B1607" s="14">
        <v>6.2226000000000002E-4</v>
      </c>
      <c r="C1607" s="15">
        <v>3.9962E-4</v>
      </c>
    </row>
    <row r="1608" spans="1:3" x14ac:dyDescent="0.45">
      <c r="A1608" s="11">
        <v>32.79</v>
      </c>
      <c r="B1608" s="14">
        <v>6.2242999999999999E-4</v>
      </c>
      <c r="C1608" s="15">
        <v>3.9991000000000001E-4</v>
      </c>
    </row>
    <row r="1609" spans="1:3" x14ac:dyDescent="0.45">
      <c r="A1609" s="11">
        <v>32.799999999999997</v>
      </c>
      <c r="B1609" s="14">
        <v>6.2259999999999995E-4</v>
      </c>
      <c r="C1609" s="15">
        <v>4.0020000000000002E-4</v>
      </c>
    </row>
    <row r="1610" spans="1:3" x14ac:dyDescent="0.45">
      <c r="A1610" s="11">
        <v>32.81</v>
      </c>
      <c r="B1610" s="14">
        <v>6.2277000000000003E-4</v>
      </c>
      <c r="C1610" s="15">
        <v>4.0048999999999998E-4</v>
      </c>
    </row>
    <row r="1611" spans="1:3" x14ac:dyDescent="0.45">
      <c r="A1611" s="11">
        <v>32.82</v>
      </c>
      <c r="B1611" s="14">
        <v>6.2294E-4</v>
      </c>
      <c r="C1611" s="15">
        <v>4.0077999999999999E-4</v>
      </c>
    </row>
    <row r="1612" spans="1:3" x14ac:dyDescent="0.45">
      <c r="A1612" s="11">
        <v>32.83</v>
      </c>
      <c r="B1612" s="14">
        <v>6.2310999999999996E-4</v>
      </c>
      <c r="C1612" s="15">
        <v>4.0107000000000001E-4</v>
      </c>
    </row>
    <row r="1613" spans="1:3" x14ac:dyDescent="0.45">
      <c r="A1613" s="11">
        <v>32.840000000000003</v>
      </c>
      <c r="B1613" s="14">
        <v>6.2328000000000004E-4</v>
      </c>
      <c r="C1613" s="15">
        <v>4.0136000000000002E-4</v>
      </c>
    </row>
    <row r="1614" spans="1:3" x14ac:dyDescent="0.45">
      <c r="A1614" s="11">
        <v>32.85</v>
      </c>
      <c r="B1614" s="14">
        <v>6.2345E-4</v>
      </c>
      <c r="C1614" s="15">
        <v>4.0164999999999998E-4</v>
      </c>
    </row>
    <row r="1615" spans="1:3" x14ac:dyDescent="0.45">
      <c r="A1615" s="11">
        <v>32.86</v>
      </c>
      <c r="B1615" s="14">
        <v>6.2361999999999997E-4</v>
      </c>
      <c r="C1615" s="15">
        <v>4.0193999999999999E-4</v>
      </c>
    </row>
    <row r="1616" spans="1:3" x14ac:dyDescent="0.45">
      <c r="A1616" s="11">
        <v>32.869999999999997</v>
      </c>
      <c r="B1616" s="14">
        <v>6.2379000000000004E-4</v>
      </c>
      <c r="C1616" s="15">
        <v>4.0223E-4</v>
      </c>
    </row>
    <row r="1617" spans="1:3" x14ac:dyDescent="0.45">
      <c r="A1617" s="11">
        <v>32.880000000000003</v>
      </c>
      <c r="B1617" s="14">
        <v>6.2396000000000001E-4</v>
      </c>
      <c r="C1617" s="15">
        <v>4.0252000000000002E-4</v>
      </c>
    </row>
    <row r="1618" spans="1:3" x14ac:dyDescent="0.45">
      <c r="A1618" s="11">
        <v>32.89</v>
      </c>
      <c r="B1618" s="14">
        <v>6.2412999999999998E-4</v>
      </c>
      <c r="C1618" s="15">
        <v>4.0280999999999997E-4</v>
      </c>
    </row>
    <row r="1619" spans="1:3" x14ac:dyDescent="0.45">
      <c r="A1619" s="11">
        <v>32.9</v>
      </c>
      <c r="B1619" s="14">
        <v>6.2430000000000005E-4</v>
      </c>
      <c r="C1619" s="15">
        <v>4.0309999999999999E-4</v>
      </c>
    </row>
    <row r="1620" spans="1:3" x14ac:dyDescent="0.45">
      <c r="A1620" s="11">
        <v>32.909999999999997</v>
      </c>
      <c r="B1620" s="14">
        <v>6.2447000000000002E-4</v>
      </c>
      <c r="C1620" s="15">
        <v>4.0339E-4</v>
      </c>
    </row>
    <row r="1621" spans="1:3" x14ac:dyDescent="0.45">
      <c r="A1621" s="11">
        <v>32.92</v>
      </c>
      <c r="B1621" s="14">
        <v>6.2463999999999998E-4</v>
      </c>
      <c r="C1621" s="15">
        <v>4.0368000000000001E-4</v>
      </c>
    </row>
    <row r="1622" spans="1:3" x14ac:dyDescent="0.45">
      <c r="A1622" s="11">
        <v>32.93</v>
      </c>
      <c r="B1622" s="14">
        <v>6.2480999999999995E-4</v>
      </c>
      <c r="C1622" s="15">
        <v>4.0397000000000002E-4</v>
      </c>
    </row>
    <row r="1623" spans="1:3" x14ac:dyDescent="0.45">
      <c r="A1623" s="11">
        <v>32.94</v>
      </c>
      <c r="B1623" s="14">
        <v>6.2498000000000002E-4</v>
      </c>
      <c r="C1623" s="15">
        <v>4.0425999999999998E-4</v>
      </c>
    </row>
    <row r="1624" spans="1:3" x14ac:dyDescent="0.45">
      <c r="A1624" s="11">
        <v>32.950000000000003</v>
      </c>
      <c r="B1624" s="14">
        <v>6.2514999999999999E-4</v>
      </c>
      <c r="C1624" s="15">
        <v>4.0454999999999999E-4</v>
      </c>
    </row>
    <row r="1625" spans="1:3" x14ac:dyDescent="0.45">
      <c r="A1625" s="11">
        <v>32.96</v>
      </c>
      <c r="B1625" s="14">
        <v>6.2531999999999996E-4</v>
      </c>
      <c r="C1625" s="15">
        <v>4.0484000000000001E-4</v>
      </c>
    </row>
    <row r="1626" spans="1:3" x14ac:dyDescent="0.45">
      <c r="A1626" s="11">
        <v>32.97</v>
      </c>
      <c r="B1626" s="14">
        <v>6.2549000000000003E-4</v>
      </c>
      <c r="C1626" s="15">
        <v>4.0513000000000002E-4</v>
      </c>
    </row>
    <row r="1627" spans="1:3" x14ac:dyDescent="0.45">
      <c r="A1627" s="11">
        <v>32.979999999999997</v>
      </c>
      <c r="B1627" s="14">
        <v>6.2566E-4</v>
      </c>
      <c r="C1627" s="15">
        <v>4.0541999999999998E-4</v>
      </c>
    </row>
    <row r="1628" spans="1:3" x14ac:dyDescent="0.45">
      <c r="A1628" s="11">
        <v>32.99</v>
      </c>
      <c r="B1628" s="14">
        <v>6.2582999999999996E-4</v>
      </c>
      <c r="C1628" s="15">
        <v>4.0570999999999999E-4</v>
      </c>
    </row>
    <row r="1629" spans="1:3" x14ac:dyDescent="0.45">
      <c r="A1629" s="11">
        <v>33</v>
      </c>
      <c r="B1629" s="14">
        <v>6.2600000000000004E-4</v>
      </c>
      <c r="C1629" s="15">
        <v>4.06E-4</v>
      </c>
    </row>
    <row r="1630" spans="1:3" x14ac:dyDescent="0.45">
      <c r="A1630" s="11">
        <v>33.01</v>
      </c>
      <c r="B1630" s="14">
        <v>6.2620999999999998E-4</v>
      </c>
      <c r="C1630" s="15">
        <v>4.0632E-4</v>
      </c>
    </row>
    <row r="1631" spans="1:3" x14ac:dyDescent="0.45">
      <c r="A1631" s="11">
        <v>33.020000000000003</v>
      </c>
      <c r="B1631" s="14">
        <v>6.2642000000000004E-4</v>
      </c>
      <c r="C1631" s="15">
        <v>4.0664E-4</v>
      </c>
    </row>
    <row r="1632" spans="1:3" x14ac:dyDescent="0.45">
      <c r="A1632" s="11">
        <v>33.03</v>
      </c>
      <c r="B1632" s="14">
        <v>6.2662999999999998E-4</v>
      </c>
      <c r="C1632" s="15">
        <v>4.0695999999999999E-4</v>
      </c>
    </row>
    <row r="1633" spans="1:3" x14ac:dyDescent="0.45">
      <c r="A1633" s="11">
        <v>33.04</v>
      </c>
      <c r="B1633" s="14">
        <v>6.2684000000000004E-4</v>
      </c>
      <c r="C1633" s="15">
        <v>4.0727999999999999E-4</v>
      </c>
    </row>
    <row r="1634" spans="1:3" x14ac:dyDescent="0.45">
      <c r="A1634" s="11">
        <v>33.049999999999997</v>
      </c>
      <c r="B1634" s="14">
        <v>6.2704999999999998E-4</v>
      </c>
      <c r="C1634" s="15">
        <v>4.0759999999999999E-4</v>
      </c>
    </row>
    <row r="1635" spans="1:3" x14ac:dyDescent="0.45">
      <c r="A1635" s="11">
        <v>33.06</v>
      </c>
      <c r="B1635" s="14">
        <v>6.2726000000000004E-4</v>
      </c>
      <c r="C1635" s="15">
        <v>4.0791999999999998E-4</v>
      </c>
    </row>
    <row r="1636" spans="1:3" x14ac:dyDescent="0.45">
      <c r="A1636" s="11">
        <v>33.07</v>
      </c>
      <c r="B1636" s="14">
        <v>6.2746999999999998E-4</v>
      </c>
      <c r="C1636" s="15">
        <v>4.0823999999999998E-4</v>
      </c>
    </row>
    <row r="1637" spans="1:3" x14ac:dyDescent="0.45">
      <c r="A1637" s="11">
        <v>33.08</v>
      </c>
      <c r="B1637" s="14">
        <v>6.2768000000000003E-4</v>
      </c>
      <c r="C1637" s="15">
        <v>4.0855999999999998E-4</v>
      </c>
    </row>
    <row r="1638" spans="1:3" x14ac:dyDescent="0.45">
      <c r="A1638" s="11">
        <v>33.090000000000003</v>
      </c>
      <c r="B1638" s="14">
        <v>6.2788999999999998E-4</v>
      </c>
      <c r="C1638" s="15">
        <v>4.0887999999999997E-4</v>
      </c>
    </row>
    <row r="1639" spans="1:3" x14ac:dyDescent="0.45">
      <c r="A1639" s="11">
        <v>33.1</v>
      </c>
      <c r="B1639" s="14">
        <v>6.2810000000000003E-4</v>
      </c>
      <c r="C1639" s="15">
        <v>4.0920000000000003E-4</v>
      </c>
    </row>
    <row r="1640" spans="1:3" x14ac:dyDescent="0.45">
      <c r="A1640" s="11">
        <v>33.11</v>
      </c>
      <c r="B1640" s="14">
        <v>6.2830999999999998E-4</v>
      </c>
      <c r="C1640" s="15">
        <v>4.0952000000000002E-4</v>
      </c>
    </row>
    <row r="1641" spans="1:3" x14ac:dyDescent="0.45">
      <c r="A1641" s="11">
        <v>33.119999999999997</v>
      </c>
      <c r="B1641" s="14">
        <v>6.2852000000000003E-4</v>
      </c>
      <c r="C1641" s="15">
        <v>4.0984000000000002E-4</v>
      </c>
    </row>
    <row r="1642" spans="1:3" x14ac:dyDescent="0.45">
      <c r="A1642" s="11">
        <v>33.130000000000003</v>
      </c>
      <c r="B1642" s="14">
        <v>6.2872999999999998E-4</v>
      </c>
      <c r="C1642" s="15">
        <v>4.1016000000000002E-4</v>
      </c>
    </row>
    <row r="1643" spans="1:3" x14ac:dyDescent="0.45">
      <c r="A1643" s="11">
        <v>33.14</v>
      </c>
      <c r="B1643" s="14">
        <v>6.2894000000000003E-4</v>
      </c>
      <c r="C1643" s="15">
        <v>4.1048000000000001E-4</v>
      </c>
    </row>
    <row r="1644" spans="1:3" x14ac:dyDescent="0.45">
      <c r="A1644" s="11">
        <v>33.15</v>
      </c>
      <c r="B1644" s="14">
        <v>6.2914999999999998E-4</v>
      </c>
      <c r="C1644" s="15">
        <v>4.1080000000000001E-4</v>
      </c>
    </row>
    <row r="1645" spans="1:3" x14ac:dyDescent="0.45">
      <c r="A1645" s="11">
        <v>33.159999999999997</v>
      </c>
      <c r="B1645" s="14">
        <v>6.2936000000000003E-4</v>
      </c>
      <c r="C1645" s="15">
        <v>4.1112000000000001E-4</v>
      </c>
    </row>
    <row r="1646" spans="1:3" x14ac:dyDescent="0.45">
      <c r="A1646" s="11">
        <v>33.17</v>
      </c>
      <c r="B1646" s="14">
        <v>6.2956999999999998E-4</v>
      </c>
      <c r="C1646" s="15">
        <v>4.1144E-4</v>
      </c>
    </row>
    <row r="1647" spans="1:3" x14ac:dyDescent="0.45">
      <c r="A1647" s="11">
        <v>33.18</v>
      </c>
      <c r="B1647" s="14">
        <v>6.2978000000000003E-4</v>
      </c>
      <c r="C1647" s="15">
        <v>4.1176E-4</v>
      </c>
    </row>
    <row r="1648" spans="1:3" x14ac:dyDescent="0.45">
      <c r="A1648" s="11">
        <v>33.19</v>
      </c>
      <c r="B1648" s="14">
        <v>6.2998999999999998E-4</v>
      </c>
      <c r="C1648" s="15">
        <v>4.1208E-4</v>
      </c>
    </row>
    <row r="1649" spans="1:3" x14ac:dyDescent="0.45">
      <c r="A1649" s="11">
        <v>33.200000000000003</v>
      </c>
      <c r="B1649" s="14">
        <v>6.3020000000000003E-4</v>
      </c>
      <c r="C1649" s="15">
        <v>4.124E-4</v>
      </c>
    </row>
    <row r="1650" spans="1:3" x14ac:dyDescent="0.45">
      <c r="A1650" s="11">
        <v>33.21</v>
      </c>
      <c r="B1650" s="14">
        <v>6.3040999999999998E-4</v>
      </c>
      <c r="C1650" s="15">
        <v>4.1271999999999999E-4</v>
      </c>
    </row>
    <row r="1651" spans="1:3" x14ac:dyDescent="0.45">
      <c r="A1651" s="11">
        <v>33.22</v>
      </c>
      <c r="B1651" s="14">
        <v>6.3062000000000003E-4</v>
      </c>
      <c r="C1651" s="15">
        <v>4.1303999999999999E-4</v>
      </c>
    </row>
    <row r="1652" spans="1:3" x14ac:dyDescent="0.45">
      <c r="A1652" s="11">
        <v>33.229999999999997</v>
      </c>
      <c r="B1652" s="14">
        <v>6.3082999999999998E-4</v>
      </c>
      <c r="C1652" s="15">
        <v>4.1335999999999999E-4</v>
      </c>
    </row>
    <row r="1653" spans="1:3" x14ac:dyDescent="0.45">
      <c r="A1653" s="11">
        <v>33.24</v>
      </c>
      <c r="B1653" s="14">
        <v>6.3104000000000003E-4</v>
      </c>
      <c r="C1653" s="15">
        <v>4.1367999999999998E-4</v>
      </c>
    </row>
    <row r="1654" spans="1:3" x14ac:dyDescent="0.45">
      <c r="A1654" s="11">
        <v>33.25</v>
      </c>
      <c r="B1654" s="14">
        <v>6.3124999999999998E-4</v>
      </c>
      <c r="C1654" s="15">
        <v>4.1399999999999998E-4</v>
      </c>
    </row>
    <row r="1655" spans="1:3" x14ac:dyDescent="0.45">
      <c r="A1655" s="11">
        <v>33.26</v>
      </c>
      <c r="B1655" s="14">
        <v>6.3146000000000003E-4</v>
      </c>
      <c r="C1655" s="15">
        <v>4.1431999999999998E-4</v>
      </c>
    </row>
    <row r="1656" spans="1:3" x14ac:dyDescent="0.45">
      <c r="A1656" s="11">
        <v>33.270000000000003</v>
      </c>
      <c r="B1656" s="14">
        <v>6.3166999999999997E-4</v>
      </c>
      <c r="C1656" s="15">
        <v>4.1463999999999997E-4</v>
      </c>
    </row>
    <row r="1657" spans="1:3" x14ac:dyDescent="0.45">
      <c r="A1657" s="11">
        <v>33.28</v>
      </c>
      <c r="B1657" s="14">
        <v>6.3188000000000003E-4</v>
      </c>
      <c r="C1657" s="15">
        <v>4.1496000000000003E-4</v>
      </c>
    </row>
    <row r="1658" spans="1:3" x14ac:dyDescent="0.45">
      <c r="A1658" s="11">
        <v>33.29</v>
      </c>
      <c r="B1658" s="14">
        <v>6.3208999999999997E-4</v>
      </c>
      <c r="C1658" s="15">
        <v>4.1528000000000002E-4</v>
      </c>
    </row>
    <row r="1659" spans="1:3" x14ac:dyDescent="0.45">
      <c r="A1659" s="11">
        <v>33.299999999999997</v>
      </c>
      <c r="B1659" s="14">
        <v>6.3230000000000003E-4</v>
      </c>
      <c r="C1659" s="15">
        <v>4.1560000000000002E-4</v>
      </c>
    </row>
    <row r="1660" spans="1:3" x14ac:dyDescent="0.45">
      <c r="A1660" s="11">
        <v>33.31</v>
      </c>
      <c r="B1660" s="14">
        <v>6.3250999999999997E-4</v>
      </c>
      <c r="C1660" s="15">
        <v>4.1592000000000002E-4</v>
      </c>
    </row>
    <row r="1661" spans="1:3" x14ac:dyDescent="0.45">
      <c r="A1661" s="11">
        <v>33.32</v>
      </c>
      <c r="B1661" s="14">
        <v>6.3272000000000003E-4</v>
      </c>
      <c r="C1661" s="15">
        <v>4.1624000000000001E-4</v>
      </c>
    </row>
    <row r="1662" spans="1:3" x14ac:dyDescent="0.45">
      <c r="A1662" s="11">
        <v>33.33</v>
      </c>
      <c r="B1662" s="14">
        <v>6.3292999999999997E-4</v>
      </c>
      <c r="C1662" s="15">
        <v>4.1656000000000001E-4</v>
      </c>
    </row>
    <row r="1663" spans="1:3" x14ac:dyDescent="0.45">
      <c r="A1663" s="11">
        <v>33.340000000000003</v>
      </c>
      <c r="B1663" s="14">
        <v>6.3314000000000003E-4</v>
      </c>
      <c r="C1663" s="15">
        <v>4.1688000000000001E-4</v>
      </c>
    </row>
    <row r="1664" spans="1:3" x14ac:dyDescent="0.45">
      <c r="A1664" s="11">
        <v>33.35</v>
      </c>
      <c r="B1664" s="14">
        <v>6.3334999999999997E-4</v>
      </c>
      <c r="C1664" s="15">
        <v>4.172E-4</v>
      </c>
    </row>
    <row r="1665" spans="1:3" x14ac:dyDescent="0.45">
      <c r="A1665" s="11">
        <v>33.36</v>
      </c>
      <c r="B1665" s="14">
        <v>6.3356000000000003E-4</v>
      </c>
      <c r="C1665" s="15">
        <v>4.1752E-4</v>
      </c>
    </row>
    <row r="1666" spans="1:3" x14ac:dyDescent="0.45">
      <c r="A1666" s="11">
        <v>33.369999999999997</v>
      </c>
      <c r="B1666" s="14">
        <v>6.3376999999999997E-4</v>
      </c>
      <c r="C1666" s="15">
        <v>4.1784E-4</v>
      </c>
    </row>
    <row r="1667" spans="1:3" x14ac:dyDescent="0.45">
      <c r="A1667" s="11">
        <v>33.380000000000003</v>
      </c>
      <c r="B1667" s="14">
        <v>6.3398000000000003E-4</v>
      </c>
      <c r="C1667" s="15">
        <v>4.1815999999999999E-4</v>
      </c>
    </row>
    <row r="1668" spans="1:3" x14ac:dyDescent="0.45">
      <c r="A1668" s="11">
        <v>33.39</v>
      </c>
      <c r="B1668" s="14">
        <v>6.3418999999999997E-4</v>
      </c>
      <c r="C1668" s="15">
        <v>4.1847999999999999E-4</v>
      </c>
    </row>
    <row r="1669" spans="1:3" x14ac:dyDescent="0.45">
      <c r="A1669" s="11">
        <v>33.4</v>
      </c>
      <c r="B1669" s="14">
        <v>6.3440000000000002E-4</v>
      </c>
      <c r="C1669" s="15">
        <v>4.1879999999999999E-4</v>
      </c>
    </row>
    <row r="1670" spans="1:3" x14ac:dyDescent="0.45">
      <c r="A1670" s="11">
        <v>33.409999999999997</v>
      </c>
      <c r="B1670" s="14">
        <v>6.3460999999999997E-4</v>
      </c>
      <c r="C1670" s="15">
        <v>4.1911999999999999E-4</v>
      </c>
    </row>
    <row r="1671" spans="1:3" x14ac:dyDescent="0.45">
      <c r="A1671" s="11">
        <v>33.42</v>
      </c>
      <c r="B1671" s="14">
        <v>6.3482000000000002E-4</v>
      </c>
      <c r="C1671" s="15">
        <v>4.1943999999999998E-4</v>
      </c>
    </row>
    <row r="1672" spans="1:3" x14ac:dyDescent="0.45">
      <c r="A1672" s="11">
        <v>33.43</v>
      </c>
      <c r="B1672" s="14">
        <v>6.3502999999999997E-4</v>
      </c>
      <c r="C1672" s="15">
        <v>4.1975999999999998E-4</v>
      </c>
    </row>
    <row r="1673" spans="1:3" x14ac:dyDescent="0.45">
      <c r="A1673" s="11">
        <v>33.44</v>
      </c>
      <c r="B1673" s="14">
        <v>6.3524000000000002E-4</v>
      </c>
      <c r="C1673" s="15">
        <v>4.2007999999999998E-4</v>
      </c>
    </row>
    <row r="1674" spans="1:3" x14ac:dyDescent="0.45">
      <c r="A1674" s="11">
        <v>33.450000000000003</v>
      </c>
      <c r="B1674" s="14">
        <v>6.3544999999999997E-4</v>
      </c>
      <c r="C1674" s="15">
        <v>4.2039999999999997E-4</v>
      </c>
    </row>
    <row r="1675" spans="1:3" x14ac:dyDescent="0.45">
      <c r="A1675" s="11">
        <v>33.46</v>
      </c>
      <c r="B1675" s="14">
        <v>6.3566000000000002E-4</v>
      </c>
      <c r="C1675" s="15">
        <v>4.2072000000000002E-4</v>
      </c>
    </row>
    <row r="1676" spans="1:3" x14ac:dyDescent="0.45">
      <c r="A1676" s="11">
        <v>33.47</v>
      </c>
      <c r="B1676" s="14">
        <v>6.3586999999999997E-4</v>
      </c>
      <c r="C1676" s="15">
        <v>4.2104000000000002E-4</v>
      </c>
    </row>
    <row r="1677" spans="1:3" x14ac:dyDescent="0.45">
      <c r="A1677" s="11">
        <v>33.479999999999997</v>
      </c>
      <c r="B1677" s="14">
        <v>6.3608000000000002E-4</v>
      </c>
      <c r="C1677" s="15">
        <v>4.2136000000000002E-4</v>
      </c>
    </row>
    <row r="1678" spans="1:3" x14ac:dyDescent="0.45">
      <c r="A1678" s="11">
        <v>33.49</v>
      </c>
      <c r="B1678" s="14">
        <v>6.3628999999999997E-4</v>
      </c>
      <c r="C1678" s="15">
        <v>4.2168000000000001E-4</v>
      </c>
    </row>
    <row r="1679" spans="1:3" x14ac:dyDescent="0.45">
      <c r="A1679" s="11">
        <v>33.5</v>
      </c>
      <c r="B1679" s="14">
        <v>6.3650000000000002E-4</v>
      </c>
      <c r="C1679" s="15">
        <v>4.2200000000000001E-4</v>
      </c>
    </row>
    <row r="1680" spans="1:3" x14ac:dyDescent="0.45">
      <c r="A1680" s="11">
        <v>33.51</v>
      </c>
      <c r="B1680" s="14">
        <v>6.3670999999999997E-4</v>
      </c>
      <c r="C1680" s="15">
        <v>4.2232000000000001E-4</v>
      </c>
    </row>
    <row r="1681" spans="1:3" x14ac:dyDescent="0.45">
      <c r="A1681" s="11">
        <v>33.520000000000003</v>
      </c>
      <c r="B1681" s="14">
        <v>6.3692000000000002E-4</v>
      </c>
      <c r="C1681" s="15">
        <v>4.2264000000000001E-4</v>
      </c>
    </row>
    <row r="1682" spans="1:3" x14ac:dyDescent="0.45">
      <c r="A1682" s="11">
        <v>33.53</v>
      </c>
      <c r="B1682" s="14">
        <v>6.3712999999999997E-4</v>
      </c>
      <c r="C1682" s="15">
        <v>4.2296E-4</v>
      </c>
    </row>
    <row r="1683" spans="1:3" x14ac:dyDescent="0.45">
      <c r="A1683" s="11">
        <v>33.54</v>
      </c>
      <c r="B1683" s="14">
        <v>6.3734000000000002E-4</v>
      </c>
      <c r="C1683" s="15">
        <v>4.2328E-4</v>
      </c>
    </row>
    <row r="1684" spans="1:3" x14ac:dyDescent="0.45">
      <c r="A1684" s="11">
        <v>33.549999999999997</v>
      </c>
      <c r="B1684" s="14">
        <v>6.3754999999999997E-4</v>
      </c>
      <c r="C1684" s="15">
        <v>4.236E-4</v>
      </c>
    </row>
    <row r="1685" spans="1:3" x14ac:dyDescent="0.45">
      <c r="A1685" s="11">
        <v>33.56</v>
      </c>
      <c r="B1685" s="14">
        <v>6.3776000000000002E-4</v>
      </c>
      <c r="C1685" s="15">
        <v>4.2391999999999999E-4</v>
      </c>
    </row>
    <row r="1686" spans="1:3" x14ac:dyDescent="0.45">
      <c r="A1686" s="11">
        <v>33.57</v>
      </c>
      <c r="B1686" s="14">
        <v>6.3796999999999997E-4</v>
      </c>
      <c r="C1686" s="15">
        <v>4.2423999999999999E-4</v>
      </c>
    </row>
    <row r="1687" spans="1:3" x14ac:dyDescent="0.45">
      <c r="A1687" s="11">
        <v>33.58</v>
      </c>
      <c r="B1687" s="14">
        <v>6.3818000000000002E-4</v>
      </c>
      <c r="C1687" s="15">
        <v>4.2455999999999999E-4</v>
      </c>
    </row>
    <row r="1688" spans="1:3" x14ac:dyDescent="0.45">
      <c r="A1688" s="11">
        <v>33.590000000000003</v>
      </c>
      <c r="B1688" s="14">
        <v>6.3838999999999996E-4</v>
      </c>
      <c r="C1688" s="15">
        <v>4.2487999999999998E-4</v>
      </c>
    </row>
    <row r="1689" spans="1:3" x14ac:dyDescent="0.45">
      <c r="A1689" s="11">
        <v>33.6</v>
      </c>
      <c r="B1689" s="14">
        <v>6.3860000000000002E-4</v>
      </c>
      <c r="C1689" s="15">
        <v>4.2519999999999998E-4</v>
      </c>
    </row>
    <row r="1690" spans="1:3" x14ac:dyDescent="0.45">
      <c r="A1690" s="11">
        <v>33.61</v>
      </c>
      <c r="B1690" s="14">
        <v>6.3880999999999996E-4</v>
      </c>
      <c r="C1690" s="15">
        <v>4.2551999999999998E-4</v>
      </c>
    </row>
    <row r="1691" spans="1:3" x14ac:dyDescent="0.45">
      <c r="A1691" s="11">
        <v>33.619999999999997</v>
      </c>
      <c r="B1691" s="14">
        <v>6.3902000000000002E-4</v>
      </c>
      <c r="C1691" s="15">
        <v>4.2583999999999998E-4</v>
      </c>
    </row>
    <row r="1692" spans="1:3" x14ac:dyDescent="0.45">
      <c r="A1692" s="11">
        <v>33.630000000000003</v>
      </c>
      <c r="B1692" s="14">
        <v>6.3922999999999996E-4</v>
      </c>
      <c r="C1692" s="15">
        <v>4.2616000000000003E-4</v>
      </c>
    </row>
    <row r="1693" spans="1:3" x14ac:dyDescent="0.45">
      <c r="A1693" s="11">
        <v>33.64</v>
      </c>
      <c r="B1693" s="14">
        <v>6.3944000000000002E-4</v>
      </c>
      <c r="C1693" s="15">
        <v>4.2648000000000002E-4</v>
      </c>
    </row>
    <row r="1694" spans="1:3" x14ac:dyDescent="0.45">
      <c r="A1694" s="11">
        <v>33.65</v>
      </c>
      <c r="B1694" s="14">
        <v>6.3964999999999996E-4</v>
      </c>
      <c r="C1694" s="15">
        <v>4.2680000000000002E-4</v>
      </c>
    </row>
    <row r="1695" spans="1:3" x14ac:dyDescent="0.45">
      <c r="A1695" s="11">
        <v>33.659999999999997</v>
      </c>
      <c r="B1695" s="14">
        <v>6.3986000000000002E-4</v>
      </c>
      <c r="C1695" s="15">
        <v>4.2712000000000002E-4</v>
      </c>
    </row>
    <row r="1696" spans="1:3" x14ac:dyDescent="0.45">
      <c r="A1696" s="11">
        <v>33.67</v>
      </c>
      <c r="B1696" s="14">
        <v>6.4006999999999996E-4</v>
      </c>
      <c r="C1696" s="15">
        <v>4.2744000000000001E-4</v>
      </c>
    </row>
    <row r="1697" spans="1:3" x14ac:dyDescent="0.45">
      <c r="A1697" s="11">
        <v>33.68</v>
      </c>
      <c r="B1697" s="14">
        <v>6.4028000000000002E-4</v>
      </c>
      <c r="C1697" s="15">
        <v>4.2776000000000001E-4</v>
      </c>
    </row>
    <row r="1698" spans="1:3" x14ac:dyDescent="0.45">
      <c r="A1698" s="11">
        <v>33.69</v>
      </c>
      <c r="B1698" s="14">
        <v>6.4048999999999996E-4</v>
      </c>
      <c r="C1698" s="15">
        <v>4.2808000000000001E-4</v>
      </c>
    </row>
    <row r="1699" spans="1:3" x14ac:dyDescent="0.45">
      <c r="A1699" s="11">
        <v>33.700000000000003</v>
      </c>
      <c r="B1699" s="14">
        <v>6.4070000000000002E-4</v>
      </c>
      <c r="C1699" s="15">
        <v>4.284E-4</v>
      </c>
    </row>
    <row r="1700" spans="1:3" x14ac:dyDescent="0.45">
      <c r="A1700" s="11">
        <v>33.71</v>
      </c>
      <c r="B1700" s="14">
        <v>6.4090999999999996E-4</v>
      </c>
      <c r="C1700" s="15">
        <v>4.2872E-4</v>
      </c>
    </row>
    <row r="1701" spans="1:3" x14ac:dyDescent="0.45">
      <c r="A1701" s="11">
        <v>33.72</v>
      </c>
      <c r="B1701" s="14">
        <v>6.4112000000000001E-4</v>
      </c>
      <c r="C1701" s="15">
        <v>4.2904E-4</v>
      </c>
    </row>
    <row r="1702" spans="1:3" x14ac:dyDescent="0.45">
      <c r="A1702" s="11">
        <v>33.729999999999997</v>
      </c>
      <c r="B1702" s="14">
        <v>6.4132999999999996E-4</v>
      </c>
      <c r="C1702" s="15">
        <v>4.2936E-4</v>
      </c>
    </row>
    <row r="1703" spans="1:3" x14ac:dyDescent="0.45">
      <c r="A1703" s="11">
        <v>33.74</v>
      </c>
      <c r="B1703" s="14">
        <v>6.4154000000000001E-4</v>
      </c>
      <c r="C1703" s="15">
        <v>4.2967999999999999E-4</v>
      </c>
    </row>
    <row r="1704" spans="1:3" x14ac:dyDescent="0.45">
      <c r="A1704" s="11">
        <v>33.75</v>
      </c>
      <c r="B1704" s="14">
        <v>6.4174999999999996E-4</v>
      </c>
      <c r="C1704" s="15">
        <v>4.2999999999999999E-4</v>
      </c>
    </row>
    <row r="1705" spans="1:3" x14ac:dyDescent="0.45">
      <c r="A1705" s="11">
        <v>33.76</v>
      </c>
      <c r="B1705" s="14">
        <v>6.4196000000000001E-4</v>
      </c>
      <c r="C1705" s="15">
        <v>4.3031999999999999E-4</v>
      </c>
    </row>
    <row r="1706" spans="1:3" x14ac:dyDescent="0.45">
      <c r="A1706" s="11">
        <v>33.770000000000003</v>
      </c>
      <c r="B1706" s="14">
        <v>6.4216999999999996E-4</v>
      </c>
      <c r="C1706" s="15">
        <v>4.3063999999999998E-4</v>
      </c>
    </row>
    <row r="1707" spans="1:3" x14ac:dyDescent="0.45">
      <c r="A1707" s="11">
        <v>33.78</v>
      </c>
      <c r="B1707" s="14">
        <v>6.4238000000000001E-4</v>
      </c>
      <c r="C1707" s="15">
        <v>4.3095999999999998E-4</v>
      </c>
    </row>
    <row r="1708" spans="1:3" x14ac:dyDescent="0.45">
      <c r="A1708" s="11">
        <v>33.79</v>
      </c>
      <c r="B1708" s="14">
        <v>6.4258999999999996E-4</v>
      </c>
      <c r="C1708" s="15">
        <v>4.3127999999999998E-4</v>
      </c>
    </row>
    <row r="1709" spans="1:3" x14ac:dyDescent="0.45">
      <c r="A1709" s="11">
        <v>33.799999999999997</v>
      </c>
      <c r="B1709" s="14">
        <v>6.4280000000000001E-4</v>
      </c>
      <c r="C1709" s="15">
        <v>4.3159999999999997E-4</v>
      </c>
    </row>
    <row r="1710" spans="1:3" x14ac:dyDescent="0.45">
      <c r="A1710" s="11">
        <v>33.81</v>
      </c>
      <c r="B1710" s="14">
        <v>6.4300999999999996E-4</v>
      </c>
      <c r="C1710" s="15">
        <v>4.3192000000000003E-4</v>
      </c>
    </row>
    <row r="1711" spans="1:3" x14ac:dyDescent="0.45">
      <c r="A1711" s="11">
        <v>33.82</v>
      </c>
      <c r="B1711" s="14">
        <v>6.4322000000000001E-4</v>
      </c>
      <c r="C1711" s="15">
        <v>4.3224000000000002E-4</v>
      </c>
    </row>
    <row r="1712" spans="1:3" x14ac:dyDescent="0.45">
      <c r="A1712" s="11">
        <v>33.83</v>
      </c>
      <c r="B1712" s="14">
        <v>6.4342999999999996E-4</v>
      </c>
      <c r="C1712" s="15">
        <v>4.3256000000000002E-4</v>
      </c>
    </row>
    <row r="1713" spans="1:3" x14ac:dyDescent="0.45">
      <c r="A1713" s="11">
        <v>33.840000000000003</v>
      </c>
      <c r="B1713" s="14">
        <v>6.4364000000000001E-4</v>
      </c>
      <c r="C1713" s="15">
        <v>4.3288000000000002E-4</v>
      </c>
    </row>
    <row r="1714" spans="1:3" x14ac:dyDescent="0.45">
      <c r="A1714" s="11">
        <v>33.85</v>
      </c>
      <c r="B1714" s="14">
        <v>6.4384999999999996E-4</v>
      </c>
      <c r="C1714" s="15">
        <v>4.3320000000000001E-4</v>
      </c>
    </row>
    <row r="1715" spans="1:3" x14ac:dyDescent="0.45">
      <c r="A1715" s="11">
        <v>33.86</v>
      </c>
      <c r="B1715" s="14">
        <v>6.4406000000000001E-4</v>
      </c>
      <c r="C1715" s="15">
        <v>4.3352000000000001E-4</v>
      </c>
    </row>
    <row r="1716" spans="1:3" x14ac:dyDescent="0.45">
      <c r="A1716" s="11">
        <v>33.869999999999997</v>
      </c>
      <c r="B1716" s="14">
        <v>6.4426999999999996E-4</v>
      </c>
      <c r="C1716" s="15">
        <v>4.3384000000000001E-4</v>
      </c>
    </row>
    <row r="1717" spans="1:3" x14ac:dyDescent="0.45">
      <c r="A1717" s="11">
        <v>33.880000000000003</v>
      </c>
      <c r="B1717" s="14">
        <v>6.4448000000000001E-4</v>
      </c>
      <c r="C1717" s="15">
        <v>4.3416E-4</v>
      </c>
    </row>
    <row r="1718" spans="1:3" x14ac:dyDescent="0.45">
      <c r="A1718" s="11">
        <v>33.89</v>
      </c>
      <c r="B1718" s="14">
        <v>6.4468999999999995E-4</v>
      </c>
      <c r="C1718" s="15">
        <v>4.3448E-4</v>
      </c>
    </row>
    <row r="1719" spans="1:3" x14ac:dyDescent="0.45">
      <c r="A1719" s="11">
        <v>33.9</v>
      </c>
      <c r="B1719" s="14">
        <v>6.4490000000000001E-4</v>
      </c>
      <c r="C1719" s="15">
        <v>4.348E-4</v>
      </c>
    </row>
    <row r="1720" spans="1:3" x14ac:dyDescent="0.45">
      <c r="A1720" s="11">
        <v>33.909999999999997</v>
      </c>
      <c r="B1720" s="14">
        <v>6.4510999999999995E-4</v>
      </c>
      <c r="C1720" s="15">
        <v>4.3511999999999999E-4</v>
      </c>
    </row>
    <row r="1721" spans="1:3" x14ac:dyDescent="0.45">
      <c r="A1721" s="11">
        <v>33.92</v>
      </c>
      <c r="B1721" s="14">
        <v>6.4532000000000001E-4</v>
      </c>
      <c r="C1721" s="15">
        <v>4.3543999999999999E-4</v>
      </c>
    </row>
    <row r="1722" spans="1:3" x14ac:dyDescent="0.45">
      <c r="A1722" s="11">
        <v>33.93</v>
      </c>
      <c r="B1722" s="14">
        <v>6.4552999999999995E-4</v>
      </c>
      <c r="C1722" s="15">
        <v>4.3575999999999999E-4</v>
      </c>
    </row>
    <row r="1723" spans="1:3" x14ac:dyDescent="0.45">
      <c r="A1723" s="11">
        <v>33.94</v>
      </c>
      <c r="B1723" s="14">
        <v>6.4574000000000001E-4</v>
      </c>
      <c r="C1723" s="15">
        <v>4.3607999999999999E-4</v>
      </c>
    </row>
    <row r="1724" spans="1:3" x14ac:dyDescent="0.45">
      <c r="A1724" s="11">
        <v>33.950000000000003</v>
      </c>
      <c r="B1724" s="14">
        <v>6.4594999999999995E-4</v>
      </c>
      <c r="C1724" s="15">
        <v>4.3639999999999998E-4</v>
      </c>
    </row>
    <row r="1725" spans="1:3" x14ac:dyDescent="0.45">
      <c r="A1725" s="11">
        <v>33.96</v>
      </c>
      <c r="B1725" s="14">
        <v>6.4616000000000001E-4</v>
      </c>
      <c r="C1725" s="15">
        <v>4.3671999999999998E-4</v>
      </c>
    </row>
    <row r="1726" spans="1:3" x14ac:dyDescent="0.45">
      <c r="A1726" s="11">
        <v>33.97</v>
      </c>
      <c r="B1726" s="14">
        <v>6.4636999999999995E-4</v>
      </c>
      <c r="C1726" s="15">
        <v>4.3703999999999998E-4</v>
      </c>
    </row>
    <row r="1727" spans="1:3" x14ac:dyDescent="0.45">
      <c r="A1727" s="11">
        <v>33.979999999999997</v>
      </c>
      <c r="B1727" s="14">
        <v>6.4658000000000001E-4</v>
      </c>
      <c r="C1727" s="15">
        <v>4.3735999999999997E-4</v>
      </c>
    </row>
    <row r="1728" spans="1:3" x14ac:dyDescent="0.45">
      <c r="A1728" s="11">
        <v>33.99</v>
      </c>
      <c r="B1728" s="14">
        <v>6.4678999999999995E-4</v>
      </c>
      <c r="C1728" s="15">
        <v>4.3768000000000002E-4</v>
      </c>
    </row>
    <row r="1729" spans="1:3" x14ac:dyDescent="0.45">
      <c r="A1729" s="11">
        <v>34</v>
      </c>
      <c r="B1729" s="14">
        <v>6.4700000000000001E-4</v>
      </c>
      <c r="C1729" s="15">
        <v>4.3800000000000002E-4</v>
      </c>
    </row>
    <row r="1730" spans="1:3" x14ac:dyDescent="0.45">
      <c r="A1730" s="11">
        <v>34.01</v>
      </c>
      <c r="B1730" s="14">
        <v>6.4727000000000003E-4</v>
      </c>
      <c r="C1730" s="15">
        <v>4.3835E-4</v>
      </c>
    </row>
    <row r="1731" spans="1:3" x14ac:dyDescent="0.45">
      <c r="A1731" s="11">
        <v>34.020000000000003</v>
      </c>
      <c r="B1731" s="14">
        <v>6.4754000000000005E-4</v>
      </c>
      <c r="C1731" s="15">
        <v>4.3869999999999998E-4</v>
      </c>
    </row>
    <row r="1732" spans="1:3" x14ac:dyDescent="0.45">
      <c r="A1732" s="11">
        <v>34.03</v>
      </c>
      <c r="B1732" s="14">
        <v>6.4780999999999997E-4</v>
      </c>
      <c r="C1732" s="15">
        <v>4.3905000000000002E-4</v>
      </c>
    </row>
    <row r="1733" spans="1:3" x14ac:dyDescent="0.45">
      <c r="A1733" s="11">
        <v>34.04</v>
      </c>
      <c r="B1733" s="14">
        <v>6.4807999999999999E-4</v>
      </c>
      <c r="C1733" s="15">
        <v>4.394E-4</v>
      </c>
    </row>
    <row r="1734" spans="1:3" x14ac:dyDescent="0.45">
      <c r="A1734" s="11">
        <v>34.049999999999997</v>
      </c>
      <c r="B1734" s="14">
        <v>6.4835000000000001E-4</v>
      </c>
      <c r="C1734" s="15">
        <v>4.3974999999999998E-4</v>
      </c>
    </row>
    <row r="1735" spans="1:3" x14ac:dyDescent="0.45">
      <c r="A1735" s="11">
        <v>34.06</v>
      </c>
      <c r="B1735" s="14">
        <v>6.4862000000000003E-4</v>
      </c>
      <c r="C1735" s="15">
        <v>4.4010000000000002E-4</v>
      </c>
    </row>
    <row r="1736" spans="1:3" x14ac:dyDescent="0.45">
      <c r="A1736" s="11">
        <v>34.07</v>
      </c>
      <c r="B1736" s="14">
        <v>6.4888999999999995E-4</v>
      </c>
      <c r="C1736" s="15">
        <v>4.4045E-4</v>
      </c>
    </row>
    <row r="1737" spans="1:3" x14ac:dyDescent="0.45">
      <c r="A1737" s="11">
        <v>34.08</v>
      </c>
      <c r="B1737" s="14">
        <v>6.4915999999999997E-4</v>
      </c>
      <c r="C1737" s="15">
        <v>4.4079999999999998E-4</v>
      </c>
    </row>
    <row r="1738" spans="1:3" x14ac:dyDescent="0.45">
      <c r="A1738" s="11">
        <v>34.090000000000003</v>
      </c>
      <c r="B1738" s="14">
        <v>6.4942999999999999E-4</v>
      </c>
      <c r="C1738" s="15">
        <v>4.4115000000000002E-4</v>
      </c>
    </row>
    <row r="1739" spans="1:3" x14ac:dyDescent="0.45">
      <c r="A1739" s="11">
        <v>34.1</v>
      </c>
      <c r="B1739" s="14">
        <v>6.4970000000000002E-4</v>
      </c>
      <c r="C1739" s="15">
        <v>4.415E-4</v>
      </c>
    </row>
    <row r="1740" spans="1:3" x14ac:dyDescent="0.45">
      <c r="A1740" s="11">
        <v>34.11</v>
      </c>
      <c r="B1740" s="14">
        <v>6.4997000000000004E-4</v>
      </c>
      <c r="C1740" s="15">
        <v>4.4184999999999998E-4</v>
      </c>
    </row>
    <row r="1741" spans="1:3" x14ac:dyDescent="0.45">
      <c r="A1741" s="11">
        <v>34.119999999999997</v>
      </c>
      <c r="B1741" s="14">
        <v>6.5023999999999995E-4</v>
      </c>
      <c r="C1741" s="15">
        <v>4.4220000000000001E-4</v>
      </c>
    </row>
    <row r="1742" spans="1:3" x14ac:dyDescent="0.45">
      <c r="A1742" s="11">
        <v>34.130000000000003</v>
      </c>
      <c r="B1742" s="14">
        <v>6.5050999999999998E-4</v>
      </c>
      <c r="C1742" s="15">
        <v>4.4255E-4</v>
      </c>
    </row>
    <row r="1743" spans="1:3" x14ac:dyDescent="0.45">
      <c r="A1743" s="11">
        <v>34.14</v>
      </c>
      <c r="B1743" s="14">
        <v>6.5078E-4</v>
      </c>
      <c r="C1743" s="15">
        <v>4.4289999999999998E-4</v>
      </c>
    </row>
    <row r="1744" spans="1:3" x14ac:dyDescent="0.45">
      <c r="A1744" s="11">
        <v>34.15</v>
      </c>
      <c r="B1744" s="14">
        <v>6.5105000000000002E-4</v>
      </c>
      <c r="C1744" s="15">
        <v>4.4325000000000001E-4</v>
      </c>
    </row>
    <row r="1745" spans="1:3" x14ac:dyDescent="0.45">
      <c r="A1745" s="11">
        <v>34.159999999999997</v>
      </c>
      <c r="B1745" s="14">
        <v>6.5132000000000005E-4</v>
      </c>
      <c r="C1745" s="15">
        <v>4.4359999999999999E-4</v>
      </c>
    </row>
    <row r="1746" spans="1:3" x14ac:dyDescent="0.45">
      <c r="A1746" s="11">
        <v>34.17</v>
      </c>
      <c r="B1746" s="14">
        <v>6.5158999999999996E-4</v>
      </c>
      <c r="C1746" s="15">
        <v>4.4394999999999998E-4</v>
      </c>
    </row>
    <row r="1747" spans="1:3" x14ac:dyDescent="0.45">
      <c r="A1747" s="11">
        <v>34.18</v>
      </c>
      <c r="B1747" s="14">
        <v>6.5185999999999998E-4</v>
      </c>
      <c r="C1747" s="15">
        <v>4.4430000000000001E-4</v>
      </c>
    </row>
    <row r="1748" spans="1:3" x14ac:dyDescent="0.45">
      <c r="A1748" s="11">
        <v>34.19</v>
      </c>
      <c r="B1748" s="14">
        <v>6.5213000000000001E-4</v>
      </c>
      <c r="C1748" s="15">
        <v>4.4464999999999999E-4</v>
      </c>
    </row>
    <row r="1749" spans="1:3" x14ac:dyDescent="0.45">
      <c r="A1749" s="11">
        <v>34.200000000000003</v>
      </c>
      <c r="B1749" s="14">
        <v>6.5240000000000003E-4</v>
      </c>
      <c r="C1749" s="15">
        <v>4.4499999999999997E-4</v>
      </c>
    </row>
    <row r="1750" spans="1:3" x14ac:dyDescent="0.45">
      <c r="A1750" s="11">
        <v>34.21</v>
      </c>
      <c r="B1750" s="14">
        <v>6.5267000000000005E-4</v>
      </c>
      <c r="C1750" s="15">
        <v>4.4535000000000001E-4</v>
      </c>
    </row>
    <row r="1751" spans="1:3" x14ac:dyDescent="0.45">
      <c r="A1751" s="11">
        <v>34.22</v>
      </c>
      <c r="B1751" s="14">
        <v>6.5293999999999997E-4</v>
      </c>
      <c r="C1751" s="15">
        <v>4.4569999999999999E-4</v>
      </c>
    </row>
    <row r="1752" spans="1:3" x14ac:dyDescent="0.45">
      <c r="A1752" s="11">
        <v>34.229999999999997</v>
      </c>
      <c r="B1752" s="14">
        <v>6.5320999999999999E-4</v>
      </c>
      <c r="C1752" s="15">
        <v>4.4604999999999997E-4</v>
      </c>
    </row>
    <row r="1753" spans="1:3" x14ac:dyDescent="0.45">
      <c r="A1753" s="11">
        <v>34.24</v>
      </c>
      <c r="B1753" s="14">
        <v>6.5348000000000001E-4</v>
      </c>
      <c r="C1753" s="15">
        <v>4.4640000000000001E-4</v>
      </c>
    </row>
    <row r="1754" spans="1:3" x14ac:dyDescent="0.45">
      <c r="A1754" s="11">
        <v>34.25</v>
      </c>
      <c r="B1754" s="14">
        <v>6.5375000000000003E-4</v>
      </c>
      <c r="C1754" s="15">
        <v>4.4674999999999999E-4</v>
      </c>
    </row>
    <row r="1755" spans="1:3" x14ac:dyDescent="0.45">
      <c r="A1755" s="11">
        <v>34.26</v>
      </c>
      <c r="B1755" s="14">
        <v>6.5401999999999995E-4</v>
      </c>
      <c r="C1755" s="15">
        <v>4.4710000000000003E-4</v>
      </c>
    </row>
    <row r="1756" spans="1:3" x14ac:dyDescent="0.45">
      <c r="A1756" s="11">
        <v>34.270000000000003</v>
      </c>
      <c r="B1756" s="14">
        <v>6.5428999999999997E-4</v>
      </c>
      <c r="C1756" s="15">
        <v>4.4745000000000001E-4</v>
      </c>
    </row>
    <row r="1757" spans="1:3" x14ac:dyDescent="0.45">
      <c r="A1757" s="11">
        <v>34.28</v>
      </c>
      <c r="B1757" s="14">
        <v>6.5455999999999999E-4</v>
      </c>
      <c r="C1757" s="15">
        <v>4.4779999999999999E-4</v>
      </c>
    </row>
    <row r="1758" spans="1:3" x14ac:dyDescent="0.45">
      <c r="A1758" s="11">
        <v>34.29</v>
      </c>
      <c r="B1758" s="14">
        <v>6.5483000000000002E-4</v>
      </c>
      <c r="C1758" s="15">
        <v>4.4815000000000002E-4</v>
      </c>
    </row>
    <row r="1759" spans="1:3" x14ac:dyDescent="0.45">
      <c r="A1759" s="11">
        <v>34.299999999999997</v>
      </c>
      <c r="B1759" s="14">
        <v>6.5510000000000004E-4</v>
      </c>
      <c r="C1759" s="15">
        <v>4.4850000000000001E-4</v>
      </c>
    </row>
    <row r="1760" spans="1:3" x14ac:dyDescent="0.45">
      <c r="A1760" s="11">
        <v>34.31</v>
      </c>
      <c r="B1760" s="14">
        <v>6.5536999999999995E-4</v>
      </c>
      <c r="C1760" s="15">
        <v>4.4884999999999999E-4</v>
      </c>
    </row>
    <row r="1761" spans="1:3" x14ac:dyDescent="0.45">
      <c r="A1761" s="11">
        <v>34.32</v>
      </c>
      <c r="B1761" s="14">
        <v>6.5563999999999998E-4</v>
      </c>
      <c r="C1761" s="15">
        <v>4.4920000000000002E-4</v>
      </c>
    </row>
    <row r="1762" spans="1:3" x14ac:dyDescent="0.45">
      <c r="A1762" s="11">
        <v>34.33</v>
      </c>
      <c r="B1762" s="14">
        <v>6.5591E-4</v>
      </c>
      <c r="C1762" s="15">
        <v>4.4955E-4</v>
      </c>
    </row>
    <row r="1763" spans="1:3" x14ac:dyDescent="0.45">
      <c r="A1763" s="11">
        <v>34.340000000000003</v>
      </c>
      <c r="B1763" s="14">
        <v>6.5618000000000002E-4</v>
      </c>
      <c r="C1763" s="15">
        <v>4.4989999999999999E-4</v>
      </c>
    </row>
    <row r="1764" spans="1:3" x14ac:dyDescent="0.45">
      <c r="A1764" s="11">
        <v>34.35</v>
      </c>
      <c r="B1764" s="14">
        <v>6.5645000000000005E-4</v>
      </c>
      <c r="C1764" s="15">
        <v>4.5025000000000002E-4</v>
      </c>
    </row>
    <row r="1765" spans="1:3" x14ac:dyDescent="0.45">
      <c r="A1765" s="11">
        <v>34.36</v>
      </c>
      <c r="B1765" s="14">
        <v>6.5671999999999996E-4</v>
      </c>
      <c r="C1765" s="15">
        <v>4.506E-4</v>
      </c>
    </row>
    <row r="1766" spans="1:3" x14ac:dyDescent="0.45">
      <c r="A1766" s="11">
        <v>34.369999999999997</v>
      </c>
      <c r="B1766" s="14">
        <v>6.5698999999999998E-4</v>
      </c>
      <c r="C1766" s="15">
        <v>4.5094999999999998E-4</v>
      </c>
    </row>
    <row r="1767" spans="1:3" x14ac:dyDescent="0.45">
      <c r="A1767" s="11">
        <v>34.380000000000003</v>
      </c>
      <c r="B1767" s="14">
        <v>6.5726000000000001E-4</v>
      </c>
      <c r="C1767" s="15">
        <v>4.5130000000000002E-4</v>
      </c>
    </row>
    <row r="1768" spans="1:3" x14ac:dyDescent="0.45">
      <c r="A1768" s="11">
        <v>34.39</v>
      </c>
      <c r="B1768" s="14">
        <v>6.5753000000000003E-4</v>
      </c>
      <c r="C1768" s="15">
        <v>4.5165E-4</v>
      </c>
    </row>
    <row r="1769" spans="1:3" x14ac:dyDescent="0.45">
      <c r="A1769" s="11">
        <v>34.4</v>
      </c>
      <c r="B1769" s="14">
        <v>6.5780000000000005E-4</v>
      </c>
      <c r="C1769" s="15">
        <v>4.5199999999999998E-4</v>
      </c>
    </row>
    <row r="1770" spans="1:3" x14ac:dyDescent="0.45">
      <c r="A1770" s="11">
        <v>34.409999999999997</v>
      </c>
      <c r="B1770" s="14">
        <v>6.5806999999999997E-4</v>
      </c>
      <c r="C1770" s="15">
        <v>4.5235000000000002E-4</v>
      </c>
    </row>
    <row r="1771" spans="1:3" x14ac:dyDescent="0.45">
      <c r="A1771" s="11">
        <v>34.42</v>
      </c>
      <c r="B1771" s="14">
        <v>6.5833999999999999E-4</v>
      </c>
      <c r="C1771" s="15">
        <v>4.527E-4</v>
      </c>
    </row>
    <row r="1772" spans="1:3" x14ac:dyDescent="0.45">
      <c r="A1772" s="11">
        <v>34.43</v>
      </c>
      <c r="B1772" s="14">
        <v>6.5861000000000001E-4</v>
      </c>
      <c r="C1772" s="15">
        <v>4.5304999999999998E-4</v>
      </c>
    </row>
    <row r="1773" spans="1:3" x14ac:dyDescent="0.45">
      <c r="A1773" s="11">
        <v>34.44</v>
      </c>
      <c r="B1773" s="14">
        <v>6.5888000000000003E-4</v>
      </c>
      <c r="C1773" s="15">
        <v>4.5340000000000002E-4</v>
      </c>
    </row>
    <row r="1774" spans="1:3" x14ac:dyDescent="0.45">
      <c r="A1774" s="11">
        <v>34.450000000000003</v>
      </c>
      <c r="B1774" s="14">
        <v>6.5914999999999995E-4</v>
      </c>
      <c r="C1774" s="15">
        <v>4.5375E-4</v>
      </c>
    </row>
    <row r="1775" spans="1:3" x14ac:dyDescent="0.45">
      <c r="A1775" s="11">
        <v>34.46</v>
      </c>
      <c r="B1775" s="14">
        <v>6.5941999999999997E-4</v>
      </c>
      <c r="C1775" s="15">
        <v>4.5409999999999998E-4</v>
      </c>
    </row>
    <row r="1776" spans="1:3" x14ac:dyDescent="0.45">
      <c r="A1776" s="11">
        <v>34.47</v>
      </c>
      <c r="B1776" s="14">
        <v>6.5968999999999999E-4</v>
      </c>
      <c r="C1776" s="15">
        <v>4.5445000000000001E-4</v>
      </c>
    </row>
    <row r="1777" spans="1:3" x14ac:dyDescent="0.45">
      <c r="A1777" s="11">
        <v>34.479999999999997</v>
      </c>
      <c r="B1777" s="14">
        <v>6.5996000000000002E-4</v>
      </c>
      <c r="C1777" s="15">
        <v>4.548E-4</v>
      </c>
    </row>
    <row r="1778" spans="1:3" x14ac:dyDescent="0.45">
      <c r="A1778" s="11">
        <v>34.49</v>
      </c>
      <c r="B1778" s="14">
        <v>6.6023000000000004E-4</v>
      </c>
      <c r="C1778" s="15">
        <v>4.5514999999999998E-4</v>
      </c>
    </row>
    <row r="1779" spans="1:3" x14ac:dyDescent="0.45">
      <c r="A1779" s="11">
        <v>34.5</v>
      </c>
      <c r="B1779" s="14">
        <v>6.6049999999999995E-4</v>
      </c>
      <c r="C1779" s="15">
        <v>4.5550000000000001E-4</v>
      </c>
    </row>
    <row r="1780" spans="1:3" x14ac:dyDescent="0.45">
      <c r="A1780" s="11">
        <v>34.51</v>
      </c>
      <c r="B1780" s="14">
        <v>6.6076999999999998E-4</v>
      </c>
      <c r="C1780" s="15">
        <v>4.5584999999999999E-4</v>
      </c>
    </row>
    <row r="1781" spans="1:3" x14ac:dyDescent="0.45">
      <c r="A1781" s="11">
        <v>34.520000000000003</v>
      </c>
      <c r="B1781" s="14">
        <v>6.6104E-4</v>
      </c>
      <c r="C1781" s="15">
        <v>4.5619999999999998E-4</v>
      </c>
    </row>
    <row r="1782" spans="1:3" x14ac:dyDescent="0.45">
      <c r="A1782" s="11">
        <v>34.53</v>
      </c>
      <c r="B1782" s="14">
        <v>6.6131000000000002E-4</v>
      </c>
      <c r="C1782" s="15">
        <v>4.5655000000000001E-4</v>
      </c>
    </row>
    <row r="1783" spans="1:3" x14ac:dyDescent="0.45">
      <c r="A1783" s="11">
        <v>34.54</v>
      </c>
      <c r="B1783" s="14">
        <v>6.6158000000000005E-4</v>
      </c>
      <c r="C1783" s="15">
        <v>4.5689999999999999E-4</v>
      </c>
    </row>
    <row r="1784" spans="1:3" x14ac:dyDescent="0.45">
      <c r="A1784" s="11">
        <v>34.549999999999997</v>
      </c>
      <c r="B1784" s="14">
        <v>6.6184999999999996E-4</v>
      </c>
      <c r="C1784" s="15">
        <v>4.5724999999999997E-4</v>
      </c>
    </row>
    <row r="1785" spans="1:3" x14ac:dyDescent="0.45">
      <c r="A1785" s="11">
        <v>34.56</v>
      </c>
      <c r="B1785" s="14">
        <v>6.6211999999999998E-4</v>
      </c>
      <c r="C1785" s="15">
        <v>4.5760000000000001E-4</v>
      </c>
    </row>
    <row r="1786" spans="1:3" x14ac:dyDescent="0.45">
      <c r="A1786" s="11">
        <v>34.57</v>
      </c>
      <c r="B1786" s="14">
        <v>6.6239000000000001E-4</v>
      </c>
      <c r="C1786" s="15">
        <v>4.5794999999999999E-4</v>
      </c>
    </row>
    <row r="1787" spans="1:3" x14ac:dyDescent="0.45">
      <c r="A1787" s="11">
        <v>34.58</v>
      </c>
      <c r="B1787" s="14">
        <v>6.6266000000000003E-4</v>
      </c>
      <c r="C1787" s="15">
        <v>4.5830000000000003E-4</v>
      </c>
    </row>
    <row r="1788" spans="1:3" x14ac:dyDescent="0.45">
      <c r="A1788" s="11">
        <v>34.590000000000003</v>
      </c>
      <c r="B1788" s="14">
        <v>6.6293000000000005E-4</v>
      </c>
      <c r="C1788" s="15">
        <v>4.5865000000000001E-4</v>
      </c>
    </row>
    <row r="1789" spans="1:3" x14ac:dyDescent="0.45">
      <c r="A1789" s="11">
        <v>34.6</v>
      </c>
      <c r="B1789" s="14">
        <v>6.6319999999999997E-4</v>
      </c>
      <c r="C1789" s="15">
        <v>4.5899999999999999E-4</v>
      </c>
    </row>
    <row r="1790" spans="1:3" x14ac:dyDescent="0.45">
      <c r="A1790" s="11">
        <v>34.61</v>
      </c>
      <c r="B1790" s="14">
        <v>6.6346999999999999E-4</v>
      </c>
      <c r="C1790" s="15">
        <v>4.5935000000000003E-4</v>
      </c>
    </row>
    <row r="1791" spans="1:3" x14ac:dyDescent="0.45">
      <c r="A1791" s="11">
        <v>34.619999999999997</v>
      </c>
      <c r="B1791" s="14">
        <v>6.6374000000000001E-4</v>
      </c>
      <c r="C1791" s="15">
        <v>4.5970000000000001E-4</v>
      </c>
    </row>
    <row r="1792" spans="1:3" x14ac:dyDescent="0.45">
      <c r="A1792" s="11">
        <v>34.630000000000003</v>
      </c>
      <c r="B1792" s="14">
        <v>6.6401000000000003E-4</v>
      </c>
      <c r="C1792" s="15">
        <v>4.6004999999999999E-4</v>
      </c>
    </row>
    <row r="1793" spans="1:3" x14ac:dyDescent="0.45">
      <c r="A1793" s="11">
        <v>34.64</v>
      </c>
      <c r="B1793" s="14">
        <v>6.6427999999999995E-4</v>
      </c>
      <c r="C1793" s="15">
        <v>4.6040000000000002E-4</v>
      </c>
    </row>
    <row r="1794" spans="1:3" x14ac:dyDescent="0.45">
      <c r="A1794" s="11">
        <v>34.65</v>
      </c>
      <c r="B1794" s="14">
        <v>6.6454999999999997E-4</v>
      </c>
      <c r="C1794" s="15">
        <v>4.6075000000000001E-4</v>
      </c>
    </row>
    <row r="1795" spans="1:3" x14ac:dyDescent="0.45">
      <c r="A1795" s="11">
        <v>34.659999999999997</v>
      </c>
      <c r="B1795" s="14">
        <v>6.6481999999999999E-4</v>
      </c>
      <c r="C1795" s="15">
        <v>4.6109999999999999E-4</v>
      </c>
    </row>
    <row r="1796" spans="1:3" x14ac:dyDescent="0.45">
      <c r="A1796" s="11">
        <v>34.67</v>
      </c>
      <c r="B1796" s="14">
        <v>6.6509000000000002E-4</v>
      </c>
      <c r="C1796" s="15">
        <v>4.6145000000000002E-4</v>
      </c>
    </row>
    <row r="1797" spans="1:3" x14ac:dyDescent="0.45">
      <c r="A1797" s="11">
        <v>34.68</v>
      </c>
      <c r="B1797" s="14">
        <v>6.6536000000000004E-4</v>
      </c>
      <c r="C1797" s="15">
        <v>4.618E-4</v>
      </c>
    </row>
    <row r="1798" spans="1:3" x14ac:dyDescent="0.45">
      <c r="A1798" s="11">
        <v>34.69</v>
      </c>
      <c r="B1798" s="14">
        <v>6.6562999999999995E-4</v>
      </c>
      <c r="C1798" s="15">
        <v>4.6214999999999998E-4</v>
      </c>
    </row>
    <row r="1799" spans="1:3" x14ac:dyDescent="0.45">
      <c r="A1799" s="11">
        <v>34.700000000000003</v>
      </c>
      <c r="B1799" s="14">
        <v>6.6589999999999998E-4</v>
      </c>
      <c r="C1799" s="15">
        <v>4.6250000000000002E-4</v>
      </c>
    </row>
    <row r="1800" spans="1:3" x14ac:dyDescent="0.45">
      <c r="A1800" s="11">
        <v>34.71</v>
      </c>
      <c r="B1800" s="14">
        <v>6.6617E-4</v>
      </c>
      <c r="C1800" s="15">
        <v>4.6285E-4</v>
      </c>
    </row>
    <row r="1801" spans="1:3" x14ac:dyDescent="0.45">
      <c r="A1801" s="11">
        <v>34.72</v>
      </c>
      <c r="B1801" s="14">
        <v>6.6644000000000002E-4</v>
      </c>
      <c r="C1801" s="15">
        <v>4.6319999999999998E-4</v>
      </c>
    </row>
    <row r="1802" spans="1:3" x14ac:dyDescent="0.45">
      <c r="A1802" s="11">
        <v>34.729999999999997</v>
      </c>
      <c r="B1802" s="14">
        <v>6.6671000000000005E-4</v>
      </c>
      <c r="C1802" s="15">
        <v>4.6355000000000002E-4</v>
      </c>
    </row>
    <row r="1803" spans="1:3" x14ac:dyDescent="0.45">
      <c r="A1803" s="11">
        <v>34.74</v>
      </c>
      <c r="B1803" s="14">
        <v>6.6697999999999996E-4</v>
      </c>
      <c r="C1803" s="15">
        <v>4.639E-4</v>
      </c>
    </row>
    <row r="1804" spans="1:3" x14ac:dyDescent="0.45">
      <c r="A1804" s="11">
        <v>34.75</v>
      </c>
      <c r="B1804" s="14">
        <v>6.6724999999999998E-4</v>
      </c>
      <c r="C1804" s="15">
        <v>4.6424999999999998E-4</v>
      </c>
    </row>
    <row r="1805" spans="1:3" x14ac:dyDescent="0.45">
      <c r="A1805" s="11">
        <v>34.76</v>
      </c>
      <c r="B1805" s="14">
        <v>6.6752000000000001E-4</v>
      </c>
      <c r="C1805" s="15">
        <v>4.6460000000000002E-4</v>
      </c>
    </row>
    <row r="1806" spans="1:3" x14ac:dyDescent="0.45">
      <c r="A1806" s="11">
        <v>34.770000000000003</v>
      </c>
      <c r="B1806" s="14">
        <v>6.6779000000000003E-4</v>
      </c>
      <c r="C1806" s="15">
        <v>4.6495E-4</v>
      </c>
    </row>
    <row r="1807" spans="1:3" x14ac:dyDescent="0.45">
      <c r="A1807" s="11">
        <v>34.78</v>
      </c>
      <c r="B1807" s="14">
        <v>6.6806000000000005E-4</v>
      </c>
      <c r="C1807" s="15">
        <v>4.6529999999999998E-4</v>
      </c>
    </row>
    <row r="1808" spans="1:3" x14ac:dyDescent="0.45">
      <c r="A1808" s="11">
        <v>34.79</v>
      </c>
      <c r="B1808" s="14">
        <v>6.6832999999999997E-4</v>
      </c>
      <c r="C1808" s="15">
        <v>4.6565000000000002E-4</v>
      </c>
    </row>
    <row r="1809" spans="1:3" x14ac:dyDescent="0.45">
      <c r="A1809" s="11">
        <v>34.799999999999997</v>
      </c>
      <c r="B1809" s="14">
        <v>6.6859999999999999E-4</v>
      </c>
      <c r="C1809" s="15">
        <v>4.66E-4</v>
      </c>
    </row>
    <row r="1810" spans="1:3" x14ac:dyDescent="0.45">
      <c r="A1810" s="11">
        <v>34.81</v>
      </c>
      <c r="B1810" s="14">
        <v>6.6887000000000001E-4</v>
      </c>
      <c r="C1810" s="15">
        <v>4.6634999999999998E-4</v>
      </c>
    </row>
    <row r="1811" spans="1:3" x14ac:dyDescent="0.45">
      <c r="A1811" s="11">
        <v>34.82</v>
      </c>
      <c r="B1811" s="14">
        <v>6.6914000000000003E-4</v>
      </c>
      <c r="C1811" s="15">
        <v>4.6670000000000001E-4</v>
      </c>
    </row>
    <row r="1812" spans="1:3" x14ac:dyDescent="0.45">
      <c r="A1812" s="11">
        <v>34.83</v>
      </c>
      <c r="B1812" s="14">
        <v>6.6940999999999995E-4</v>
      </c>
      <c r="C1812" s="15">
        <v>4.6705E-4</v>
      </c>
    </row>
    <row r="1813" spans="1:3" x14ac:dyDescent="0.45">
      <c r="A1813" s="11">
        <v>34.840000000000003</v>
      </c>
      <c r="B1813" s="14">
        <v>6.6967999999999997E-4</v>
      </c>
      <c r="C1813" s="15">
        <v>4.6739999999999998E-4</v>
      </c>
    </row>
    <row r="1814" spans="1:3" x14ac:dyDescent="0.45">
      <c r="A1814" s="11">
        <v>34.85</v>
      </c>
      <c r="B1814" s="14">
        <v>6.6994999999999999E-4</v>
      </c>
      <c r="C1814" s="15">
        <v>4.6775000000000001E-4</v>
      </c>
    </row>
    <row r="1815" spans="1:3" x14ac:dyDescent="0.45">
      <c r="A1815" s="11">
        <v>34.86</v>
      </c>
      <c r="B1815" s="14">
        <v>6.7022000000000002E-4</v>
      </c>
      <c r="C1815" s="15">
        <v>4.6809999999999999E-4</v>
      </c>
    </row>
    <row r="1816" spans="1:3" x14ac:dyDescent="0.45">
      <c r="A1816" s="11">
        <v>34.869999999999997</v>
      </c>
      <c r="B1816" s="14">
        <v>6.7049000000000004E-4</v>
      </c>
      <c r="C1816" s="15">
        <v>4.6844999999999998E-4</v>
      </c>
    </row>
    <row r="1817" spans="1:3" x14ac:dyDescent="0.45">
      <c r="A1817" s="11">
        <v>34.880000000000003</v>
      </c>
      <c r="B1817" s="14">
        <v>6.7075999999999995E-4</v>
      </c>
      <c r="C1817" s="15">
        <v>4.6880000000000001E-4</v>
      </c>
    </row>
    <row r="1818" spans="1:3" x14ac:dyDescent="0.45">
      <c r="A1818" s="11">
        <v>34.89</v>
      </c>
      <c r="B1818" s="14">
        <v>6.7102999999999998E-4</v>
      </c>
      <c r="C1818" s="15">
        <v>4.6914999999999999E-4</v>
      </c>
    </row>
    <row r="1819" spans="1:3" x14ac:dyDescent="0.45">
      <c r="A1819" s="11">
        <v>34.9</v>
      </c>
      <c r="B1819" s="14">
        <v>6.713E-4</v>
      </c>
      <c r="C1819" s="15">
        <v>4.6949999999999997E-4</v>
      </c>
    </row>
    <row r="1820" spans="1:3" x14ac:dyDescent="0.45">
      <c r="A1820" s="11">
        <v>34.909999999999997</v>
      </c>
      <c r="B1820" s="14">
        <v>6.7157000000000002E-4</v>
      </c>
      <c r="C1820" s="15">
        <v>4.6985000000000001E-4</v>
      </c>
    </row>
    <row r="1821" spans="1:3" x14ac:dyDescent="0.45">
      <c r="A1821" s="11">
        <v>34.92</v>
      </c>
      <c r="B1821" s="14">
        <v>6.7184000000000005E-4</v>
      </c>
      <c r="C1821" s="15">
        <v>4.7019999999999999E-4</v>
      </c>
    </row>
    <row r="1822" spans="1:3" x14ac:dyDescent="0.45">
      <c r="A1822" s="11">
        <v>34.93</v>
      </c>
      <c r="B1822" s="14">
        <v>6.7210999999999996E-4</v>
      </c>
      <c r="C1822" s="15">
        <v>4.7055000000000003E-4</v>
      </c>
    </row>
    <row r="1823" spans="1:3" x14ac:dyDescent="0.45">
      <c r="A1823" s="11">
        <v>34.94</v>
      </c>
      <c r="B1823" s="14">
        <v>6.7237999999999998E-4</v>
      </c>
      <c r="C1823" s="15">
        <v>4.7090000000000001E-4</v>
      </c>
    </row>
    <row r="1824" spans="1:3" x14ac:dyDescent="0.45">
      <c r="A1824" s="11">
        <v>34.950000000000003</v>
      </c>
      <c r="B1824" s="14">
        <v>6.7265000000000001E-4</v>
      </c>
      <c r="C1824" s="15">
        <v>4.7124999999999999E-4</v>
      </c>
    </row>
    <row r="1825" spans="1:3" x14ac:dyDescent="0.45">
      <c r="A1825" s="11">
        <v>34.96</v>
      </c>
      <c r="B1825" s="14">
        <v>6.7292000000000003E-4</v>
      </c>
      <c r="C1825" s="15">
        <v>4.7160000000000002E-4</v>
      </c>
    </row>
    <row r="1826" spans="1:3" x14ac:dyDescent="0.45">
      <c r="A1826" s="11">
        <v>34.97</v>
      </c>
      <c r="B1826" s="14">
        <v>6.7319000000000005E-4</v>
      </c>
      <c r="C1826" s="15">
        <v>4.7195000000000001E-4</v>
      </c>
    </row>
    <row r="1827" spans="1:3" x14ac:dyDescent="0.45">
      <c r="A1827" s="11">
        <v>34.979999999999997</v>
      </c>
      <c r="B1827" s="14">
        <v>6.7345999999999997E-4</v>
      </c>
      <c r="C1827" s="15">
        <v>4.7229999999999999E-4</v>
      </c>
    </row>
    <row r="1828" spans="1:3" x14ac:dyDescent="0.45">
      <c r="A1828" s="11">
        <v>34.99</v>
      </c>
      <c r="B1828" s="14">
        <v>6.7372999999999999E-4</v>
      </c>
      <c r="C1828" s="15">
        <v>4.7265000000000002E-4</v>
      </c>
    </row>
    <row r="1829" spans="1:3" x14ac:dyDescent="0.45">
      <c r="A1829" s="11">
        <v>35</v>
      </c>
      <c r="B1829" s="14">
        <v>6.7400000000000001E-4</v>
      </c>
      <c r="C1829" s="15">
        <v>4.73E-4</v>
      </c>
    </row>
    <row r="1830" spans="1:3" x14ac:dyDescent="0.45">
      <c r="A1830" s="11">
        <v>35.01</v>
      </c>
      <c r="B1830" s="14">
        <v>6.7431999999999995E-4</v>
      </c>
      <c r="C1830" s="15">
        <v>4.7339000000000002E-4</v>
      </c>
    </row>
    <row r="1831" spans="1:3" x14ac:dyDescent="0.45">
      <c r="A1831" s="11">
        <v>35.020000000000003</v>
      </c>
      <c r="B1831" s="14">
        <v>6.7464000000000001E-4</v>
      </c>
      <c r="C1831" s="15">
        <v>4.7377999999999998E-4</v>
      </c>
    </row>
    <row r="1832" spans="1:3" x14ac:dyDescent="0.45">
      <c r="A1832" s="11">
        <v>35.03</v>
      </c>
      <c r="B1832" s="14">
        <v>6.7495999999999995E-4</v>
      </c>
      <c r="C1832" s="15">
        <v>4.7417E-4</v>
      </c>
    </row>
    <row r="1833" spans="1:3" x14ac:dyDescent="0.45">
      <c r="A1833" s="11">
        <v>35.04</v>
      </c>
      <c r="B1833" s="14">
        <v>6.7528E-4</v>
      </c>
      <c r="C1833" s="15">
        <v>4.7456000000000001E-4</v>
      </c>
    </row>
    <row r="1834" spans="1:3" x14ac:dyDescent="0.45">
      <c r="A1834" s="11">
        <v>35.049999999999997</v>
      </c>
      <c r="B1834" s="14">
        <v>6.7560000000000005E-4</v>
      </c>
      <c r="C1834" s="15">
        <v>4.7495000000000002E-4</v>
      </c>
    </row>
    <row r="1835" spans="1:3" x14ac:dyDescent="0.45">
      <c r="A1835" s="11">
        <v>35.06</v>
      </c>
      <c r="B1835" s="14">
        <v>6.7591999999999999E-4</v>
      </c>
      <c r="C1835" s="15">
        <v>4.7533999999999999E-4</v>
      </c>
    </row>
    <row r="1836" spans="1:3" x14ac:dyDescent="0.45">
      <c r="A1836" s="11">
        <v>35.07</v>
      </c>
      <c r="B1836" s="14">
        <v>6.7624000000000004E-4</v>
      </c>
      <c r="C1836" s="15">
        <v>4.7573E-4</v>
      </c>
    </row>
    <row r="1837" spans="1:3" x14ac:dyDescent="0.45">
      <c r="A1837" s="11">
        <v>35.08</v>
      </c>
      <c r="B1837" s="14">
        <v>6.7655999999999999E-4</v>
      </c>
      <c r="C1837" s="15">
        <v>4.7612000000000002E-4</v>
      </c>
    </row>
    <row r="1838" spans="1:3" x14ac:dyDescent="0.45">
      <c r="A1838" s="11">
        <v>35.090000000000003</v>
      </c>
      <c r="B1838" s="14">
        <v>6.7688000000000004E-4</v>
      </c>
      <c r="C1838" s="15">
        <v>4.7650999999999998E-4</v>
      </c>
    </row>
    <row r="1839" spans="1:3" x14ac:dyDescent="0.45">
      <c r="A1839" s="11">
        <v>35.1</v>
      </c>
      <c r="B1839" s="14">
        <v>6.7719999999999998E-4</v>
      </c>
      <c r="C1839" s="15">
        <v>4.7689999999999999E-4</v>
      </c>
    </row>
    <row r="1840" spans="1:3" x14ac:dyDescent="0.45">
      <c r="A1840" s="11">
        <v>35.11</v>
      </c>
      <c r="B1840" s="14">
        <v>6.7752000000000003E-4</v>
      </c>
      <c r="C1840" s="15">
        <v>4.7729000000000001E-4</v>
      </c>
    </row>
    <row r="1841" spans="1:3" x14ac:dyDescent="0.45">
      <c r="A1841" s="11">
        <v>35.119999999999997</v>
      </c>
      <c r="B1841" s="14">
        <v>6.7783999999999997E-4</v>
      </c>
      <c r="C1841" s="15">
        <v>4.7768000000000002E-4</v>
      </c>
    </row>
    <row r="1842" spans="1:3" x14ac:dyDescent="0.45">
      <c r="A1842" s="11">
        <v>35.130000000000003</v>
      </c>
      <c r="B1842" s="14">
        <v>6.7816000000000003E-4</v>
      </c>
      <c r="C1842" s="15">
        <v>4.7806999999999998E-4</v>
      </c>
    </row>
    <row r="1843" spans="1:3" x14ac:dyDescent="0.45">
      <c r="A1843" s="11">
        <v>35.14</v>
      </c>
      <c r="B1843" s="14">
        <v>6.7847999999999997E-4</v>
      </c>
      <c r="C1843" s="15">
        <v>4.7846E-4</v>
      </c>
    </row>
    <row r="1844" spans="1:3" x14ac:dyDescent="0.45">
      <c r="A1844" s="11">
        <v>35.15</v>
      </c>
      <c r="B1844" s="14">
        <v>6.7880000000000002E-4</v>
      </c>
      <c r="C1844" s="15">
        <v>4.7885000000000001E-4</v>
      </c>
    </row>
    <row r="1845" spans="1:3" x14ac:dyDescent="0.45">
      <c r="A1845" s="11">
        <v>35.159999999999997</v>
      </c>
      <c r="B1845" s="14">
        <v>6.7911999999999996E-4</v>
      </c>
      <c r="C1845" s="15">
        <v>4.7924000000000003E-4</v>
      </c>
    </row>
    <row r="1846" spans="1:3" x14ac:dyDescent="0.45">
      <c r="A1846" s="11">
        <v>35.17</v>
      </c>
      <c r="B1846" s="14">
        <v>6.7944000000000001E-4</v>
      </c>
      <c r="C1846" s="15">
        <v>4.7962999999999999E-4</v>
      </c>
    </row>
    <row r="1847" spans="1:3" x14ac:dyDescent="0.45">
      <c r="A1847" s="11">
        <v>35.18</v>
      </c>
      <c r="B1847" s="14">
        <v>6.7975999999999996E-4</v>
      </c>
      <c r="C1847" s="15">
        <v>4.8002E-4</v>
      </c>
    </row>
    <row r="1848" spans="1:3" x14ac:dyDescent="0.45">
      <c r="A1848" s="11">
        <v>35.19</v>
      </c>
      <c r="B1848" s="14">
        <v>6.8008000000000001E-4</v>
      </c>
      <c r="C1848" s="15">
        <v>4.8041000000000002E-4</v>
      </c>
    </row>
    <row r="1849" spans="1:3" x14ac:dyDescent="0.45">
      <c r="A1849" s="11">
        <v>35.200000000000003</v>
      </c>
      <c r="B1849" s="14">
        <v>6.8039999999999995E-4</v>
      </c>
      <c r="C1849" s="15">
        <v>4.8079999999999998E-4</v>
      </c>
    </row>
    <row r="1850" spans="1:3" x14ac:dyDescent="0.45">
      <c r="A1850" s="11">
        <v>35.21</v>
      </c>
      <c r="B1850" s="14">
        <v>6.8072E-4</v>
      </c>
      <c r="C1850" s="15">
        <v>4.8118999999999999E-4</v>
      </c>
    </row>
    <row r="1851" spans="1:3" x14ac:dyDescent="0.45">
      <c r="A1851" s="11">
        <v>35.22</v>
      </c>
      <c r="B1851" s="14">
        <v>6.8104000000000005E-4</v>
      </c>
      <c r="C1851" s="15">
        <v>4.8158000000000001E-4</v>
      </c>
    </row>
    <row r="1852" spans="1:3" x14ac:dyDescent="0.45">
      <c r="A1852" s="11">
        <v>35.229999999999997</v>
      </c>
      <c r="B1852" s="14">
        <v>6.8136E-4</v>
      </c>
      <c r="C1852" s="15">
        <v>4.8197000000000002E-4</v>
      </c>
    </row>
    <row r="1853" spans="1:3" x14ac:dyDescent="0.45">
      <c r="A1853" s="11">
        <v>35.24</v>
      </c>
      <c r="B1853" s="14">
        <v>6.8168000000000005E-4</v>
      </c>
      <c r="C1853" s="15">
        <v>4.8235999999999998E-4</v>
      </c>
    </row>
    <row r="1854" spans="1:3" x14ac:dyDescent="0.45">
      <c r="A1854" s="11">
        <v>35.25</v>
      </c>
      <c r="B1854" s="14">
        <v>6.8199999999999999E-4</v>
      </c>
      <c r="C1854" s="15">
        <v>4.8275E-4</v>
      </c>
    </row>
    <row r="1855" spans="1:3" x14ac:dyDescent="0.45">
      <c r="A1855" s="11">
        <v>35.26</v>
      </c>
      <c r="B1855" s="14">
        <v>6.8232000000000004E-4</v>
      </c>
      <c r="C1855" s="15">
        <v>4.8314000000000001E-4</v>
      </c>
    </row>
    <row r="1856" spans="1:3" x14ac:dyDescent="0.45">
      <c r="A1856" s="11">
        <v>35.270000000000003</v>
      </c>
      <c r="B1856" s="14">
        <v>6.8263999999999998E-4</v>
      </c>
      <c r="C1856" s="15">
        <v>4.8352999999999997E-4</v>
      </c>
    </row>
    <row r="1857" spans="1:3" x14ac:dyDescent="0.45">
      <c r="A1857" s="11">
        <v>35.28</v>
      </c>
      <c r="B1857" s="14">
        <v>6.8296000000000003E-4</v>
      </c>
      <c r="C1857" s="15">
        <v>4.8391999999999999E-4</v>
      </c>
    </row>
    <row r="1858" spans="1:3" x14ac:dyDescent="0.45">
      <c r="A1858" s="11">
        <v>35.29</v>
      </c>
      <c r="B1858" s="14">
        <v>6.8327999999999998E-4</v>
      </c>
      <c r="C1858" s="15">
        <v>4.8431E-4</v>
      </c>
    </row>
    <row r="1859" spans="1:3" x14ac:dyDescent="0.45">
      <c r="A1859" s="11">
        <v>35.299999999999997</v>
      </c>
      <c r="B1859" s="14">
        <v>6.8360000000000003E-4</v>
      </c>
      <c r="C1859" s="15">
        <v>4.8470000000000002E-4</v>
      </c>
    </row>
    <row r="1860" spans="1:3" x14ac:dyDescent="0.45">
      <c r="A1860" s="11">
        <v>35.31</v>
      </c>
      <c r="B1860" s="14">
        <v>6.8391999999999997E-4</v>
      </c>
      <c r="C1860" s="15">
        <v>4.8508999999999998E-4</v>
      </c>
    </row>
    <row r="1861" spans="1:3" x14ac:dyDescent="0.45">
      <c r="A1861" s="11">
        <v>35.32</v>
      </c>
      <c r="B1861" s="14">
        <v>6.8424000000000002E-4</v>
      </c>
      <c r="C1861" s="15">
        <v>4.8547999999999999E-4</v>
      </c>
    </row>
    <row r="1862" spans="1:3" x14ac:dyDescent="0.45">
      <c r="A1862" s="11">
        <v>35.33</v>
      </c>
      <c r="B1862" s="14">
        <v>6.8455999999999996E-4</v>
      </c>
      <c r="C1862" s="15">
        <v>4.8587000000000001E-4</v>
      </c>
    </row>
    <row r="1863" spans="1:3" x14ac:dyDescent="0.45">
      <c r="A1863" s="11">
        <v>35.340000000000003</v>
      </c>
      <c r="B1863" s="14">
        <v>6.8488000000000002E-4</v>
      </c>
      <c r="C1863" s="15">
        <v>4.8626000000000002E-4</v>
      </c>
    </row>
    <row r="1864" spans="1:3" x14ac:dyDescent="0.45">
      <c r="A1864" s="11">
        <v>35.35</v>
      </c>
      <c r="B1864" s="14">
        <v>6.8519999999999996E-4</v>
      </c>
      <c r="C1864" s="15">
        <v>4.8664999999999998E-4</v>
      </c>
    </row>
    <row r="1865" spans="1:3" x14ac:dyDescent="0.45">
      <c r="A1865" s="11">
        <v>35.36</v>
      </c>
      <c r="B1865" s="14">
        <v>6.8552000000000001E-4</v>
      </c>
      <c r="C1865" s="15">
        <v>4.8704E-4</v>
      </c>
    </row>
    <row r="1866" spans="1:3" x14ac:dyDescent="0.45">
      <c r="A1866" s="11">
        <v>35.369999999999997</v>
      </c>
      <c r="B1866" s="14">
        <v>6.8583999999999995E-4</v>
      </c>
      <c r="C1866" s="15">
        <v>4.8743000000000001E-4</v>
      </c>
    </row>
    <row r="1867" spans="1:3" x14ac:dyDescent="0.45">
      <c r="A1867" s="11">
        <v>35.380000000000003</v>
      </c>
      <c r="B1867" s="14">
        <v>6.8616E-4</v>
      </c>
      <c r="C1867" s="15">
        <v>4.8781999999999997E-4</v>
      </c>
    </row>
    <row r="1868" spans="1:3" x14ac:dyDescent="0.45">
      <c r="A1868" s="11">
        <v>35.39</v>
      </c>
      <c r="B1868" s="14">
        <v>6.8647999999999995E-4</v>
      </c>
      <c r="C1868" s="15">
        <v>4.8820999999999999E-4</v>
      </c>
    </row>
    <row r="1869" spans="1:3" x14ac:dyDescent="0.45">
      <c r="A1869" s="11">
        <v>35.4</v>
      </c>
      <c r="B1869" s="14">
        <v>6.868E-4</v>
      </c>
      <c r="C1869" s="15">
        <v>4.8859999999999995E-4</v>
      </c>
    </row>
    <row r="1870" spans="1:3" x14ac:dyDescent="0.45">
      <c r="A1870" s="11">
        <v>35.409999999999997</v>
      </c>
      <c r="B1870" s="14">
        <v>6.8712000000000005E-4</v>
      </c>
      <c r="C1870" s="15">
        <v>4.8899000000000002E-4</v>
      </c>
    </row>
    <row r="1871" spans="1:3" x14ac:dyDescent="0.45">
      <c r="A1871" s="11">
        <v>35.42</v>
      </c>
      <c r="B1871" s="14">
        <v>6.8743999999999999E-4</v>
      </c>
      <c r="C1871" s="15">
        <v>4.8937999999999998E-4</v>
      </c>
    </row>
    <row r="1872" spans="1:3" x14ac:dyDescent="0.45">
      <c r="A1872" s="11">
        <v>35.43</v>
      </c>
      <c r="B1872" s="14">
        <v>6.8776000000000004E-4</v>
      </c>
      <c r="C1872" s="15">
        <v>4.8977000000000005E-4</v>
      </c>
    </row>
    <row r="1873" spans="1:3" x14ac:dyDescent="0.45">
      <c r="A1873" s="11">
        <v>35.44</v>
      </c>
      <c r="B1873" s="14">
        <v>6.8807999999999999E-4</v>
      </c>
      <c r="C1873" s="15">
        <v>4.9016000000000001E-4</v>
      </c>
    </row>
    <row r="1874" spans="1:3" x14ac:dyDescent="0.45">
      <c r="A1874" s="11">
        <v>35.450000000000003</v>
      </c>
      <c r="B1874" s="14">
        <v>6.8840000000000004E-4</v>
      </c>
      <c r="C1874" s="15">
        <v>4.9054999999999997E-4</v>
      </c>
    </row>
    <row r="1875" spans="1:3" x14ac:dyDescent="0.45">
      <c r="A1875" s="11">
        <v>35.46</v>
      </c>
      <c r="B1875" s="14">
        <v>6.8871999999999998E-4</v>
      </c>
      <c r="C1875" s="15">
        <v>4.9094000000000004E-4</v>
      </c>
    </row>
    <row r="1876" spans="1:3" x14ac:dyDescent="0.45">
      <c r="A1876" s="11">
        <v>35.47</v>
      </c>
      <c r="B1876" s="14">
        <v>6.8904000000000003E-4</v>
      </c>
      <c r="C1876" s="15">
        <v>4.9133E-4</v>
      </c>
    </row>
    <row r="1877" spans="1:3" x14ac:dyDescent="0.45">
      <c r="A1877" s="11">
        <v>35.479999999999997</v>
      </c>
      <c r="B1877" s="14">
        <v>6.8935999999999997E-4</v>
      </c>
      <c r="C1877" s="15">
        <v>4.9171999999999996E-4</v>
      </c>
    </row>
    <row r="1878" spans="1:3" x14ac:dyDescent="0.45">
      <c r="A1878" s="11">
        <v>35.49</v>
      </c>
      <c r="B1878" s="14">
        <v>6.8968000000000002E-4</v>
      </c>
      <c r="C1878" s="15">
        <v>4.9211000000000003E-4</v>
      </c>
    </row>
    <row r="1879" spans="1:3" x14ac:dyDescent="0.45">
      <c r="A1879" s="11">
        <v>35.5</v>
      </c>
      <c r="B1879" s="14">
        <v>6.8999999999999997E-4</v>
      </c>
      <c r="C1879" s="15">
        <v>4.9249999999999999E-4</v>
      </c>
    </row>
    <row r="1880" spans="1:3" x14ac:dyDescent="0.45">
      <c r="A1880" s="11">
        <v>35.51</v>
      </c>
      <c r="B1880" s="14">
        <v>6.9032000000000002E-4</v>
      </c>
      <c r="C1880" s="15">
        <v>4.9288999999999995E-4</v>
      </c>
    </row>
    <row r="1881" spans="1:3" x14ac:dyDescent="0.45">
      <c r="A1881" s="11">
        <v>35.520000000000003</v>
      </c>
      <c r="B1881" s="14">
        <v>6.9063999999999996E-4</v>
      </c>
      <c r="C1881" s="15">
        <v>4.9328000000000002E-4</v>
      </c>
    </row>
    <row r="1882" spans="1:3" x14ac:dyDescent="0.45">
      <c r="A1882" s="11">
        <v>35.53</v>
      </c>
      <c r="B1882" s="14">
        <v>6.9096000000000001E-4</v>
      </c>
      <c r="C1882" s="15">
        <v>4.9366999999999998E-4</v>
      </c>
    </row>
    <row r="1883" spans="1:3" x14ac:dyDescent="0.45">
      <c r="A1883" s="11">
        <v>35.54</v>
      </c>
      <c r="B1883" s="14">
        <v>6.9127999999999995E-4</v>
      </c>
      <c r="C1883" s="15">
        <v>4.9406000000000005E-4</v>
      </c>
    </row>
    <row r="1884" spans="1:3" x14ac:dyDescent="0.45">
      <c r="A1884" s="11">
        <v>35.549999999999997</v>
      </c>
      <c r="B1884" s="14">
        <v>6.9160000000000001E-4</v>
      </c>
      <c r="C1884" s="15">
        <v>4.9445000000000001E-4</v>
      </c>
    </row>
    <row r="1885" spans="1:3" x14ac:dyDescent="0.45">
      <c r="A1885" s="11">
        <v>35.56</v>
      </c>
      <c r="B1885" s="14">
        <v>6.9191999999999995E-4</v>
      </c>
      <c r="C1885" s="15">
        <v>4.9483999999999997E-4</v>
      </c>
    </row>
    <row r="1886" spans="1:3" x14ac:dyDescent="0.45">
      <c r="A1886" s="11">
        <v>35.57</v>
      </c>
      <c r="B1886" s="14">
        <v>6.9224E-4</v>
      </c>
      <c r="C1886" s="15">
        <v>4.9523000000000004E-4</v>
      </c>
    </row>
    <row r="1887" spans="1:3" x14ac:dyDescent="0.45">
      <c r="A1887" s="11">
        <v>35.58</v>
      </c>
      <c r="B1887" s="14">
        <v>6.9256000000000005E-4</v>
      </c>
      <c r="C1887" s="15">
        <v>4.9562E-4</v>
      </c>
    </row>
    <row r="1888" spans="1:3" x14ac:dyDescent="0.45">
      <c r="A1888" s="11">
        <v>35.590000000000003</v>
      </c>
      <c r="B1888" s="14">
        <v>6.9287999999999999E-4</v>
      </c>
      <c r="C1888" s="15">
        <v>4.9600999999999996E-4</v>
      </c>
    </row>
    <row r="1889" spans="1:3" x14ac:dyDescent="0.45">
      <c r="A1889" s="11">
        <v>35.6</v>
      </c>
      <c r="B1889" s="14">
        <v>6.9320000000000004E-4</v>
      </c>
      <c r="C1889" s="15">
        <v>4.9640000000000003E-4</v>
      </c>
    </row>
    <row r="1890" spans="1:3" x14ac:dyDescent="0.45">
      <c r="A1890" s="11">
        <v>35.61</v>
      </c>
      <c r="B1890" s="14">
        <v>6.9351999999999999E-4</v>
      </c>
      <c r="C1890" s="15">
        <v>4.9678999999999999E-4</v>
      </c>
    </row>
    <row r="1891" spans="1:3" x14ac:dyDescent="0.45">
      <c r="A1891" s="11">
        <v>35.619999999999997</v>
      </c>
      <c r="B1891" s="14">
        <v>6.9384000000000004E-4</v>
      </c>
      <c r="C1891" s="15">
        <v>4.9717999999999995E-4</v>
      </c>
    </row>
    <row r="1892" spans="1:3" x14ac:dyDescent="0.45">
      <c r="A1892" s="11">
        <v>35.630000000000003</v>
      </c>
      <c r="B1892" s="14">
        <v>6.9415999999999998E-4</v>
      </c>
      <c r="C1892" s="15">
        <v>4.9757000000000002E-4</v>
      </c>
    </row>
    <row r="1893" spans="1:3" x14ac:dyDescent="0.45">
      <c r="A1893" s="11">
        <v>35.64</v>
      </c>
      <c r="B1893" s="14">
        <v>6.9448000000000003E-4</v>
      </c>
      <c r="C1893" s="15">
        <v>4.9795999999999998E-4</v>
      </c>
    </row>
    <row r="1894" spans="1:3" x14ac:dyDescent="0.45">
      <c r="A1894" s="11">
        <v>35.65</v>
      </c>
      <c r="B1894" s="14">
        <v>6.9479999999999997E-4</v>
      </c>
      <c r="C1894" s="15">
        <v>4.9835000000000005E-4</v>
      </c>
    </row>
    <row r="1895" spans="1:3" x14ac:dyDescent="0.45">
      <c r="A1895" s="11">
        <v>35.659999999999997</v>
      </c>
      <c r="B1895" s="14">
        <v>6.9512000000000003E-4</v>
      </c>
      <c r="C1895" s="15">
        <v>4.9874000000000001E-4</v>
      </c>
    </row>
    <row r="1896" spans="1:3" x14ac:dyDescent="0.45">
      <c r="A1896" s="11">
        <v>35.67</v>
      </c>
      <c r="B1896" s="14">
        <v>6.9543999999999997E-4</v>
      </c>
      <c r="C1896" s="15">
        <v>4.9912999999999997E-4</v>
      </c>
    </row>
    <row r="1897" spans="1:3" x14ac:dyDescent="0.45">
      <c r="A1897" s="11">
        <v>35.68</v>
      </c>
      <c r="B1897" s="14">
        <v>6.9576000000000002E-4</v>
      </c>
      <c r="C1897" s="15">
        <v>4.9952000000000004E-4</v>
      </c>
    </row>
    <row r="1898" spans="1:3" x14ac:dyDescent="0.45">
      <c r="A1898" s="11">
        <v>35.69</v>
      </c>
      <c r="B1898" s="14">
        <v>6.9607999999999996E-4</v>
      </c>
      <c r="C1898" s="15">
        <v>4.9991E-4</v>
      </c>
    </row>
    <row r="1899" spans="1:3" x14ac:dyDescent="0.45">
      <c r="A1899" s="11">
        <v>35.700000000000003</v>
      </c>
      <c r="B1899" s="14">
        <v>6.9640000000000001E-4</v>
      </c>
      <c r="C1899" s="15">
        <v>5.0029999999999996E-4</v>
      </c>
    </row>
    <row r="1900" spans="1:3" x14ac:dyDescent="0.45">
      <c r="A1900" s="11">
        <v>35.71</v>
      </c>
      <c r="B1900" s="14">
        <v>6.9671999999999996E-4</v>
      </c>
      <c r="C1900" s="15">
        <v>5.0069000000000003E-4</v>
      </c>
    </row>
    <row r="1901" spans="1:3" x14ac:dyDescent="0.45">
      <c r="A1901" s="11">
        <v>35.72</v>
      </c>
      <c r="B1901" s="14">
        <v>6.9704000000000001E-4</v>
      </c>
      <c r="C1901" s="15">
        <v>5.0107999999999999E-4</v>
      </c>
    </row>
    <row r="1902" spans="1:3" x14ac:dyDescent="0.45">
      <c r="A1902" s="11">
        <v>35.729999999999997</v>
      </c>
      <c r="B1902" s="14">
        <v>6.9735999999999995E-4</v>
      </c>
      <c r="C1902" s="15">
        <v>5.0146999999999995E-4</v>
      </c>
    </row>
    <row r="1903" spans="1:3" x14ac:dyDescent="0.45">
      <c r="A1903" s="11">
        <v>35.74</v>
      </c>
      <c r="B1903" s="14">
        <v>6.9768E-4</v>
      </c>
      <c r="C1903" s="15">
        <v>5.0186000000000002E-4</v>
      </c>
    </row>
    <row r="1904" spans="1:3" x14ac:dyDescent="0.45">
      <c r="A1904" s="11">
        <v>35.75</v>
      </c>
      <c r="B1904" s="14">
        <v>6.9800000000000005E-4</v>
      </c>
      <c r="C1904" s="15">
        <v>5.0224999999999998E-4</v>
      </c>
    </row>
    <row r="1905" spans="1:3" x14ac:dyDescent="0.45">
      <c r="A1905" s="11">
        <v>35.76</v>
      </c>
      <c r="B1905" s="14">
        <v>6.9832E-4</v>
      </c>
      <c r="C1905" s="15">
        <v>5.0264000000000005E-4</v>
      </c>
    </row>
    <row r="1906" spans="1:3" x14ac:dyDescent="0.45">
      <c r="A1906" s="11">
        <v>35.770000000000003</v>
      </c>
      <c r="B1906" s="14">
        <v>6.9864000000000005E-4</v>
      </c>
      <c r="C1906" s="15">
        <v>5.0303000000000001E-4</v>
      </c>
    </row>
    <row r="1907" spans="1:3" x14ac:dyDescent="0.45">
      <c r="A1907" s="11">
        <v>35.78</v>
      </c>
      <c r="B1907" s="14">
        <v>6.9895999999999999E-4</v>
      </c>
      <c r="C1907" s="15">
        <v>5.0341999999999997E-4</v>
      </c>
    </row>
    <row r="1908" spans="1:3" x14ac:dyDescent="0.45">
      <c r="A1908" s="11">
        <v>35.79</v>
      </c>
      <c r="B1908" s="14">
        <v>6.9928000000000004E-4</v>
      </c>
      <c r="C1908" s="15">
        <v>5.0381000000000004E-4</v>
      </c>
    </row>
    <row r="1909" spans="1:3" x14ac:dyDescent="0.45">
      <c r="A1909" s="11">
        <v>35.799999999999997</v>
      </c>
      <c r="B1909" s="14">
        <v>6.9959999999999998E-4</v>
      </c>
      <c r="C1909" s="15">
        <v>5.042E-4</v>
      </c>
    </row>
    <row r="1910" spans="1:3" x14ac:dyDescent="0.45">
      <c r="A1910" s="11">
        <v>35.81</v>
      </c>
      <c r="B1910" s="14">
        <v>6.9992000000000003E-4</v>
      </c>
      <c r="C1910" s="15">
        <v>5.0458999999999996E-4</v>
      </c>
    </row>
    <row r="1911" spans="1:3" x14ac:dyDescent="0.45">
      <c r="A1911" s="11">
        <v>35.82</v>
      </c>
      <c r="B1911" s="14">
        <v>7.0023999999999998E-4</v>
      </c>
      <c r="C1911" s="15">
        <v>5.0498000000000003E-4</v>
      </c>
    </row>
    <row r="1912" spans="1:3" x14ac:dyDescent="0.45">
      <c r="A1912" s="11">
        <v>35.83</v>
      </c>
      <c r="B1912" s="14">
        <v>7.0056000000000003E-4</v>
      </c>
      <c r="C1912" s="15">
        <v>5.0536999999999999E-4</v>
      </c>
    </row>
    <row r="1913" spans="1:3" x14ac:dyDescent="0.45">
      <c r="A1913" s="11">
        <v>35.840000000000003</v>
      </c>
      <c r="B1913" s="14">
        <v>7.0087999999999997E-4</v>
      </c>
      <c r="C1913" s="15">
        <v>5.0575999999999996E-4</v>
      </c>
    </row>
    <row r="1914" spans="1:3" x14ac:dyDescent="0.45">
      <c r="A1914" s="11">
        <v>35.85</v>
      </c>
      <c r="B1914" s="14">
        <v>7.0120000000000002E-4</v>
      </c>
      <c r="C1914" s="15">
        <v>5.0615000000000002E-4</v>
      </c>
    </row>
    <row r="1915" spans="1:3" x14ac:dyDescent="0.45">
      <c r="A1915" s="11">
        <v>35.86</v>
      </c>
      <c r="B1915" s="14">
        <v>7.0151999999999996E-4</v>
      </c>
      <c r="C1915" s="15">
        <v>5.0653999999999999E-4</v>
      </c>
    </row>
    <row r="1916" spans="1:3" x14ac:dyDescent="0.45">
      <c r="A1916" s="11">
        <v>35.869999999999997</v>
      </c>
      <c r="B1916" s="14">
        <v>7.0184000000000002E-4</v>
      </c>
      <c r="C1916" s="15">
        <v>5.0693000000000005E-4</v>
      </c>
    </row>
    <row r="1917" spans="1:3" x14ac:dyDescent="0.45">
      <c r="A1917" s="11">
        <v>35.880000000000003</v>
      </c>
      <c r="B1917" s="14">
        <v>7.0215999999999996E-4</v>
      </c>
      <c r="C1917" s="15">
        <v>5.0732000000000001E-4</v>
      </c>
    </row>
    <row r="1918" spans="1:3" x14ac:dyDescent="0.45">
      <c r="A1918" s="11">
        <v>35.89</v>
      </c>
      <c r="B1918" s="14">
        <v>7.0248000000000001E-4</v>
      </c>
      <c r="C1918" s="15">
        <v>5.0770999999999998E-4</v>
      </c>
    </row>
    <row r="1919" spans="1:3" x14ac:dyDescent="0.45">
      <c r="A1919" s="11">
        <v>35.9</v>
      </c>
      <c r="B1919" s="14">
        <v>7.0279999999999995E-4</v>
      </c>
      <c r="C1919" s="15">
        <v>5.0810000000000004E-4</v>
      </c>
    </row>
    <row r="1920" spans="1:3" x14ac:dyDescent="0.45">
      <c r="A1920" s="11">
        <v>35.909999999999997</v>
      </c>
      <c r="B1920" s="14">
        <v>7.0312E-4</v>
      </c>
      <c r="C1920" s="15">
        <v>5.0849000000000001E-4</v>
      </c>
    </row>
    <row r="1921" spans="1:3" x14ac:dyDescent="0.45">
      <c r="A1921" s="11">
        <v>35.92</v>
      </c>
      <c r="B1921" s="14">
        <v>7.0343999999999995E-4</v>
      </c>
      <c r="C1921" s="15">
        <v>5.0887999999999997E-4</v>
      </c>
    </row>
    <row r="1922" spans="1:3" x14ac:dyDescent="0.45">
      <c r="A1922" s="11">
        <v>35.93</v>
      </c>
      <c r="B1922" s="14">
        <v>7.0376E-4</v>
      </c>
      <c r="C1922" s="15">
        <v>5.0927000000000004E-4</v>
      </c>
    </row>
    <row r="1923" spans="1:3" x14ac:dyDescent="0.45">
      <c r="A1923" s="11">
        <v>35.94</v>
      </c>
      <c r="B1923" s="14">
        <v>7.0408000000000005E-4</v>
      </c>
      <c r="C1923" s="15">
        <v>5.0966E-4</v>
      </c>
    </row>
    <row r="1924" spans="1:3" x14ac:dyDescent="0.45">
      <c r="A1924" s="11">
        <v>35.950000000000003</v>
      </c>
      <c r="B1924" s="14">
        <v>7.0439999999999999E-4</v>
      </c>
      <c r="C1924" s="15">
        <v>5.1004999999999996E-4</v>
      </c>
    </row>
    <row r="1925" spans="1:3" x14ac:dyDescent="0.45">
      <c r="A1925" s="11">
        <v>35.96</v>
      </c>
      <c r="B1925" s="14">
        <v>7.0472000000000004E-4</v>
      </c>
      <c r="C1925" s="15">
        <v>5.1044000000000003E-4</v>
      </c>
    </row>
    <row r="1926" spans="1:3" x14ac:dyDescent="0.45">
      <c r="A1926" s="11">
        <v>35.97</v>
      </c>
      <c r="B1926" s="14">
        <v>7.0503999999999999E-4</v>
      </c>
      <c r="C1926" s="15">
        <v>5.1082999999999999E-4</v>
      </c>
    </row>
    <row r="1927" spans="1:3" x14ac:dyDescent="0.45">
      <c r="A1927" s="11">
        <v>35.979999999999997</v>
      </c>
      <c r="B1927" s="14">
        <v>7.0536000000000004E-4</v>
      </c>
      <c r="C1927" s="15">
        <v>5.1121999999999995E-4</v>
      </c>
    </row>
    <row r="1928" spans="1:3" x14ac:dyDescent="0.45">
      <c r="A1928" s="11">
        <v>35.99</v>
      </c>
      <c r="B1928" s="14">
        <v>7.0567999999999998E-4</v>
      </c>
      <c r="C1928" s="15">
        <v>5.1161000000000002E-4</v>
      </c>
    </row>
    <row r="1929" spans="1:3" x14ac:dyDescent="0.45">
      <c r="A1929" s="11">
        <v>36</v>
      </c>
      <c r="B1929" s="14">
        <v>7.0600000000000003E-4</v>
      </c>
      <c r="C1929" s="15">
        <v>5.1199999999999998E-4</v>
      </c>
    </row>
    <row r="1930" spans="1:3" x14ac:dyDescent="0.45">
      <c r="A1930" s="11">
        <v>36.01</v>
      </c>
      <c r="B1930" s="14">
        <v>7.0638000000000005E-4</v>
      </c>
      <c r="C1930" s="15">
        <v>5.1243000000000003E-4</v>
      </c>
    </row>
    <row r="1931" spans="1:3" x14ac:dyDescent="0.45">
      <c r="A1931" s="11">
        <v>36.020000000000003</v>
      </c>
      <c r="B1931" s="14">
        <v>7.0675999999999996E-4</v>
      </c>
      <c r="C1931" s="15">
        <v>5.1285999999999997E-4</v>
      </c>
    </row>
    <row r="1932" spans="1:3" x14ac:dyDescent="0.45">
      <c r="A1932" s="11">
        <v>36.03</v>
      </c>
      <c r="B1932" s="14">
        <v>7.0713999999999998E-4</v>
      </c>
      <c r="C1932" s="15">
        <v>5.1329000000000001E-4</v>
      </c>
    </row>
    <row r="1933" spans="1:3" x14ac:dyDescent="0.45">
      <c r="A1933" s="11">
        <v>36.04</v>
      </c>
      <c r="B1933" s="14">
        <v>7.0752E-4</v>
      </c>
      <c r="C1933" s="15">
        <v>5.1371999999999995E-4</v>
      </c>
    </row>
    <row r="1934" spans="1:3" x14ac:dyDescent="0.45">
      <c r="A1934" s="11">
        <v>36.049999999999997</v>
      </c>
      <c r="B1934" s="14">
        <v>7.0790000000000002E-4</v>
      </c>
      <c r="C1934" s="15">
        <v>5.1415E-4</v>
      </c>
    </row>
    <row r="1935" spans="1:3" x14ac:dyDescent="0.45">
      <c r="A1935" s="11">
        <v>36.06</v>
      </c>
      <c r="B1935" s="14">
        <v>7.0828000000000004E-4</v>
      </c>
      <c r="C1935" s="15">
        <v>5.1458000000000005E-4</v>
      </c>
    </row>
    <row r="1936" spans="1:3" x14ac:dyDescent="0.45">
      <c r="A1936" s="11">
        <v>36.07</v>
      </c>
      <c r="B1936" s="14">
        <v>7.0865999999999995E-4</v>
      </c>
      <c r="C1936" s="15">
        <v>5.1500999999999999E-4</v>
      </c>
    </row>
    <row r="1937" spans="1:3" x14ac:dyDescent="0.45">
      <c r="A1937" s="11">
        <v>36.08</v>
      </c>
      <c r="B1937" s="14">
        <v>7.0903999999999997E-4</v>
      </c>
      <c r="C1937" s="15">
        <v>5.1544000000000004E-4</v>
      </c>
    </row>
    <row r="1938" spans="1:3" x14ac:dyDescent="0.45">
      <c r="A1938" s="11">
        <v>36.090000000000003</v>
      </c>
      <c r="B1938" s="14">
        <v>7.0941999999999999E-4</v>
      </c>
      <c r="C1938" s="15">
        <v>5.1586999999999998E-4</v>
      </c>
    </row>
    <row r="1939" spans="1:3" x14ac:dyDescent="0.45">
      <c r="A1939" s="11">
        <v>36.1</v>
      </c>
      <c r="B1939" s="14">
        <v>7.0980000000000001E-4</v>
      </c>
      <c r="C1939" s="15">
        <v>5.1630000000000003E-4</v>
      </c>
    </row>
    <row r="1940" spans="1:3" x14ac:dyDescent="0.45">
      <c r="A1940" s="11">
        <v>36.11</v>
      </c>
      <c r="B1940" s="14">
        <v>7.1018000000000003E-4</v>
      </c>
      <c r="C1940" s="15">
        <v>5.1672999999999997E-4</v>
      </c>
    </row>
    <row r="1941" spans="1:3" x14ac:dyDescent="0.45">
      <c r="A1941" s="11">
        <v>36.119999999999997</v>
      </c>
      <c r="B1941" s="14">
        <v>7.1055999999999995E-4</v>
      </c>
      <c r="C1941" s="15">
        <v>5.1716000000000002E-4</v>
      </c>
    </row>
    <row r="1942" spans="1:3" x14ac:dyDescent="0.45">
      <c r="A1942" s="11">
        <v>36.130000000000003</v>
      </c>
      <c r="B1942" s="14">
        <v>7.1093999999999997E-4</v>
      </c>
      <c r="C1942" s="15">
        <v>5.1758999999999996E-4</v>
      </c>
    </row>
    <row r="1943" spans="1:3" x14ac:dyDescent="0.45">
      <c r="A1943" s="11">
        <v>36.14</v>
      </c>
      <c r="B1943" s="14">
        <v>7.1131999999999999E-4</v>
      </c>
      <c r="C1943" s="15">
        <v>5.1802E-4</v>
      </c>
    </row>
    <row r="1944" spans="1:3" x14ac:dyDescent="0.45">
      <c r="A1944" s="11">
        <v>36.15</v>
      </c>
      <c r="B1944" s="14">
        <v>7.1170000000000001E-4</v>
      </c>
      <c r="C1944" s="15">
        <v>5.1845000000000005E-4</v>
      </c>
    </row>
    <row r="1945" spans="1:3" x14ac:dyDescent="0.45">
      <c r="A1945" s="11">
        <v>36.159999999999997</v>
      </c>
      <c r="B1945" s="14">
        <v>7.1208000000000003E-4</v>
      </c>
      <c r="C1945" s="15">
        <v>5.1887999999999999E-4</v>
      </c>
    </row>
    <row r="1946" spans="1:3" x14ac:dyDescent="0.45">
      <c r="A1946" s="11">
        <v>36.17</v>
      </c>
      <c r="B1946" s="14">
        <v>7.1246000000000005E-4</v>
      </c>
      <c r="C1946" s="15">
        <v>5.1931000000000004E-4</v>
      </c>
    </row>
    <row r="1947" spans="1:3" x14ac:dyDescent="0.45">
      <c r="A1947" s="11">
        <v>36.18</v>
      </c>
      <c r="B1947" s="14">
        <v>7.1283999999999996E-4</v>
      </c>
      <c r="C1947" s="15">
        <v>5.1973999999999998E-4</v>
      </c>
    </row>
    <row r="1948" spans="1:3" x14ac:dyDescent="0.45">
      <c r="A1948" s="11">
        <v>36.19</v>
      </c>
      <c r="B1948" s="14">
        <v>7.1321999999999998E-4</v>
      </c>
      <c r="C1948" s="15">
        <v>5.2017000000000003E-4</v>
      </c>
    </row>
    <row r="1949" spans="1:3" x14ac:dyDescent="0.45">
      <c r="A1949" s="11">
        <v>36.200000000000003</v>
      </c>
      <c r="B1949" s="14">
        <v>7.136E-4</v>
      </c>
      <c r="C1949" s="15">
        <v>5.2059999999999997E-4</v>
      </c>
    </row>
    <row r="1950" spans="1:3" x14ac:dyDescent="0.45">
      <c r="A1950" s="11">
        <v>36.21</v>
      </c>
      <c r="B1950" s="14">
        <v>7.1398000000000002E-4</v>
      </c>
      <c r="C1950" s="15">
        <v>5.2103000000000002E-4</v>
      </c>
    </row>
    <row r="1951" spans="1:3" x14ac:dyDescent="0.45">
      <c r="A1951" s="11">
        <v>36.22</v>
      </c>
      <c r="B1951" s="14">
        <v>7.1436000000000004E-4</v>
      </c>
      <c r="C1951" s="15">
        <v>5.2145999999999996E-4</v>
      </c>
    </row>
    <row r="1952" spans="1:3" x14ac:dyDescent="0.45">
      <c r="A1952" s="11">
        <v>36.229999999999997</v>
      </c>
      <c r="B1952" s="14">
        <v>7.1473999999999995E-4</v>
      </c>
      <c r="C1952" s="15">
        <v>5.2189000000000001E-4</v>
      </c>
    </row>
    <row r="1953" spans="1:3" x14ac:dyDescent="0.45">
      <c r="A1953" s="11">
        <v>36.24</v>
      </c>
      <c r="B1953" s="14">
        <v>7.1511999999999997E-4</v>
      </c>
      <c r="C1953" s="15">
        <v>5.2231999999999995E-4</v>
      </c>
    </row>
    <row r="1954" spans="1:3" x14ac:dyDescent="0.45">
      <c r="A1954" s="11">
        <v>36.25</v>
      </c>
      <c r="B1954" s="14">
        <v>7.1549999999999999E-4</v>
      </c>
      <c r="C1954" s="15">
        <v>5.2274999999999999E-4</v>
      </c>
    </row>
    <row r="1955" spans="1:3" x14ac:dyDescent="0.45">
      <c r="A1955" s="11">
        <v>36.26</v>
      </c>
      <c r="B1955" s="14">
        <v>7.1588000000000001E-4</v>
      </c>
      <c r="C1955" s="15">
        <v>5.2318000000000004E-4</v>
      </c>
    </row>
    <row r="1956" spans="1:3" x14ac:dyDescent="0.45">
      <c r="A1956" s="11">
        <v>36.270000000000003</v>
      </c>
      <c r="B1956" s="14">
        <v>7.1626000000000003E-4</v>
      </c>
      <c r="C1956" s="15">
        <v>5.2360999999999998E-4</v>
      </c>
    </row>
    <row r="1957" spans="1:3" x14ac:dyDescent="0.45">
      <c r="A1957" s="11">
        <v>36.28</v>
      </c>
      <c r="B1957" s="14">
        <v>7.1664000000000005E-4</v>
      </c>
      <c r="C1957" s="15">
        <v>5.2404000000000003E-4</v>
      </c>
    </row>
    <row r="1958" spans="1:3" x14ac:dyDescent="0.45">
      <c r="A1958" s="11">
        <v>36.29</v>
      </c>
      <c r="B1958" s="14">
        <v>7.1701999999999996E-4</v>
      </c>
      <c r="C1958" s="15">
        <v>5.2446999999999997E-4</v>
      </c>
    </row>
    <row r="1959" spans="1:3" x14ac:dyDescent="0.45">
      <c r="A1959" s="11">
        <v>36.299999999999997</v>
      </c>
      <c r="B1959" s="14">
        <v>7.1739999999999998E-4</v>
      </c>
      <c r="C1959" s="15">
        <v>5.2490000000000002E-4</v>
      </c>
    </row>
    <row r="1960" spans="1:3" x14ac:dyDescent="0.45">
      <c r="A1960" s="11">
        <v>36.31</v>
      </c>
      <c r="B1960" s="14">
        <v>7.1778E-4</v>
      </c>
      <c r="C1960" s="15">
        <v>5.2532999999999996E-4</v>
      </c>
    </row>
    <row r="1961" spans="1:3" x14ac:dyDescent="0.45">
      <c r="A1961" s="11">
        <v>36.32</v>
      </c>
      <c r="B1961" s="14">
        <v>7.1816000000000002E-4</v>
      </c>
      <c r="C1961" s="15">
        <v>5.2576000000000001E-4</v>
      </c>
    </row>
    <row r="1962" spans="1:3" x14ac:dyDescent="0.45">
      <c r="A1962" s="11">
        <v>36.33</v>
      </c>
      <c r="B1962" s="14">
        <v>7.1854000000000004E-4</v>
      </c>
      <c r="C1962" s="15">
        <v>5.2618999999999995E-4</v>
      </c>
    </row>
    <row r="1963" spans="1:3" x14ac:dyDescent="0.45">
      <c r="A1963" s="11">
        <v>36.340000000000003</v>
      </c>
      <c r="B1963" s="14">
        <v>7.1891999999999995E-4</v>
      </c>
      <c r="C1963" s="15">
        <v>5.2662E-4</v>
      </c>
    </row>
    <row r="1964" spans="1:3" x14ac:dyDescent="0.45">
      <c r="A1964" s="11">
        <v>36.35</v>
      </c>
      <c r="B1964" s="14">
        <v>7.1929999999999997E-4</v>
      </c>
      <c r="C1964" s="15">
        <v>5.2705000000000004E-4</v>
      </c>
    </row>
    <row r="1965" spans="1:3" x14ac:dyDescent="0.45">
      <c r="A1965" s="11">
        <v>36.36</v>
      </c>
      <c r="B1965" s="14">
        <v>7.1967999999999999E-4</v>
      </c>
      <c r="C1965" s="15">
        <v>5.2747999999999998E-4</v>
      </c>
    </row>
    <row r="1966" spans="1:3" x14ac:dyDescent="0.45">
      <c r="A1966" s="11">
        <v>36.369999999999997</v>
      </c>
      <c r="B1966" s="14">
        <v>7.2006000000000001E-4</v>
      </c>
      <c r="C1966" s="15">
        <v>5.2791000000000003E-4</v>
      </c>
    </row>
    <row r="1967" spans="1:3" x14ac:dyDescent="0.45">
      <c r="A1967" s="11">
        <v>36.380000000000003</v>
      </c>
      <c r="B1967" s="14">
        <v>7.2044000000000003E-4</v>
      </c>
      <c r="C1967" s="15">
        <v>5.2833999999999997E-4</v>
      </c>
    </row>
    <row r="1968" spans="1:3" x14ac:dyDescent="0.45">
      <c r="A1968" s="11">
        <v>36.39</v>
      </c>
      <c r="B1968" s="14">
        <v>7.2081999999999995E-4</v>
      </c>
      <c r="C1968" s="15">
        <v>5.2877000000000002E-4</v>
      </c>
    </row>
    <row r="1969" spans="1:3" x14ac:dyDescent="0.45">
      <c r="A1969" s="11">
        <v>36.4</v>
      </c>
      <c r="B1969" s="14">
        <v>7.2119999999999997E-4</v>
      </c>
      <c r="C1969" s="15">
        <v>5.2919999999999996E-4</v>
      </c>
    </row>
    <row r="1970" spans="1:3" x14ac:dyDescent="0.45">
      <c r="A1970" s="11">
        <v>36.409999999999997</v>
      </c>
      <c r="B1970" s="14">
        <v>7.2157999999999999E-4</v>
      </c>
      <c r="C1970" s="15">
        <v>5.2963000000000001E-4</v>
      </c>
    </row>
    <row r="1971" spans="1:3" x14ac:dyDescent="0.45">
      <c r="A1971" s="11">
        <v>36.42</v>
      </c>
      <c r="B1971" s="14">
        <v>7.2196000000000001E-4</v>
      </c>
      <c r="C1971" s="15">
        <v>5.3005999999999995E-4</v>
      </c>
    </row>
    <row r="1972" spans="1:3" x14ac:dyDescent="0.45">
      <c r="A1972" s="11">
        <v>36.43</v>
      </c>
      <c r="B1972" s="14">
        <v>7.2234000000000003E-4</v>
      </c>
      <c r="C1972" s="15">
        <v>5.3049E-4</v>
      </c>
    </row>
    <row r="1973" spans="1:3" x14ac:dyDescent="0.45">
      <c r="A1973" s="11">
        <v>36.44</v>
      </c>
      <c r="B1973" s="14">
        <v>7.2272000000000005E-4</v>
      </c>
      <c r="C1973" s="15">
        <v>5.3092000000000005E-4</v>
      </c>
    </row>
    <row r="1974" spans="1:3" x14ac:dyDescent="0.45">
      <c r="A1974" s="11">
        <v>36.450000000000003</v>
      </c>
      <c r="B1974" s="14">
        <v>7.2309999999999996E-4</v>
      </c>
      <c r="C1974" s="15">
        <v>5.3134999999999999E-4</v>
      </c>
    </row>
    <row r="1975" spans="1:3" x14ac:dyDescent="0.45">
      <c r="A1975" s="11">
        <v>36.46</v>
      </c>
      <c r="B1975" s="14">
        <v>7.2347999999999998E-4</v>
      </c>
      <c r="C1975" s="15">
        <v>5.3178000000000003E-4</v>
      </c>
    </row>
    <row r="1976" spans="1:3" x14ac:dyDescent="0.45">
      <c r="A1976" s="11">
        <v>36.47</v>
      </c>
      <c r="B1976" s="14">
        <v>7.2386E-4</v>
      </c>
      <c r="C1976" s="15">
        <v>5.3220999999999997E-4</v>
      </c>
    </row>
    <row r="1977" spans="1:3" x14ac:dyDescent="0.45">
      <c r="A1977" s="11">
        <v>36.479999999999997</v>
      </c>
      <c r="B1977" s="14">
        <v>7.2424000000000002E-4</v>
      </c>
      <c r="C1977" s="15">
        <v>5.3264000000000002E-4</v>
      </c>
    </row>
    <row r="1978" spans="1:3" x14ac:dyDescent="0.45">
      <c r="A1978" s="11">
        <v>36.49</v>
      </c>
      <c r="B1978" s="14">
        <v>7.2462000000000004E-4</v>
      </c>
      <c r="C1978" s="15">
        <v>5.3306999999999996E-4</v>
      </c>
    </row>
    <row r="1979" spans="1:3" x14ac:dyDescent="0.45">
      <c r="A1979" s="11">
        <v>36.5</v>
      </c>
      <c r="B1979" s="14">
        <v>7.2499999999999995E-4</v>
      </c>
      <c r="C1979" s="15">
        <v>5.3350000000000001E-4</v>
      </c>
    </row>
    <row r="1980" spans="1:3" x14ac:dyDescent="0.45">
      <c r="A1980" s="11">
        <v>36.51</v>
      </c>
      <c r="B1980" s="14">
        <v>7.2537999999999997E-4</v>
      </c>
      <c r="C1980" s="15">
        <v>5.3392999999999995E-4</v>
      </c>
    </row>
    <row r="1981" spans="1:3" x14ac:dyDescent="0.45">
      <c r="A1981" s="11">
        <v>36.520000000000003</v>
      </c>
      <c r="B1981" s="14">
        <v>7.2575999999999999E-4</v>
      </c>
      <c r="C1981" s="15">
        <v>5.3436E-4</v>
      </c>
    </row>
    <row r="1982" spans="1:3" x14ac:dyDescent="0.45">
      <c r="A1982" s="11">
        <v>36.53</v>
      </c>
      <c r="B1982" s="14">
        <v>7.2614000000000001E-4</v>
      </c>
      <c r="C1982" s="15">
        <v>5.3479000000000005E-4</v>
      </c>
    </row>
    <row r="1983" spans="1:3" x14ac:dyDescent="0.45">
      <c r="A1983" s="11">
        <v>36.54</v>
      </c>
      <c r="B1983" s="14">
        <v>7.2652000000000003E-4</v>
      </c>
      <c r="C1983" s="15">
        <v>5.3521999999999999E-4</v>
      </c>
    </row>
    <row r="1984" spans="1:3" x14ac:dyDescent="0.45">
      <c r="A1984" s="11">
        <v>36.549999999999997</v>
      </c>
      <c r="B1984" s="14">
        <v>7.2690000000000005E-4</v>
      </c>
      <c r="C1984" s="15">
        <v>5.3565000000000004E-4</v>
      </c>
    </row>
    <row r="1985" spans="1:3" x14ac:dyDescent="0.45">
      <c r="A1985" s="11">
        <v>36.56</v>
      </c>
      <c r="B1985" s="14">
        <v>7.2727999999999996E-4</v>
      </c>
      <c r="C1985" s="15">
        <v>5.3607999999999998E-4</v>
      </c>
    </row>
    <row r="1986" spans="1:3" x14ac:dyDescent="0.45">
      <c r="A1986" s="11">
        <v>36.57</v>
      </c>
      <c r="B1986" s="14">
        <v>7.2765999999999998E-4</v>
      </c>
      <c r="C1986" s="15">
        <v>5.3651000000000003E-4</v>
      </c>
    </row>
    <row r="1987" spans="1:3" x14ac:dyDescent="0.45">
      <c r="A1987" s="11">
        <v>36.58</v>
      </c>
      <c r="B1987" s="14">
        <v>7.2804E-4</v>
      </c>
      <c r="C1987" s="15">
        <v>5.3693999999999997E-4</v>
      </c>
    </row>
    <row r="1988" spans="1:3" x14ac:dyDescent="0.45">
      <c r="A1988" s="11">
        <v>36.590000000000003</v>
      </c>
      <c r="B1988" s="14">
        <v>7.2842000000000002E-4</v>
      </c>
      <c r="C1988" s="15">
        <v>5.3737000000000001E-4</v>
      </c>
    </row>
    <row r="1989" spans="1:3" x14ac:dyDescent="0.45">
      <c r="A1989" s="11">
        <v>36.6</v>
      </c>
      <c r="B1989" s="14">
        <v>7.2880000000000004E-4</v>
      </c>
      <c r="C1989" s="15">
        <v>5.3779999999999995E-4</v>
      </c>
    </row>
    <row r="1990" spans="1:3" x14ac:dyDescent="0.45">
      <c r="A1990" s="11">
        <v>36.61</v>
      </c>
      <c r="B1990" s="14">
        <v>7.2917999999999995E-4</v>
      </c>
      <c r="C1990" s="15">
        <v>5.3823E-4</v>
      </c>
    </row>
    <row r="1991" spans="1:3" x14ac:dyDescent="0.45">
      <c r="A1991" s="11">
        <v>36.619999999999997</v>
      </c>
      <c r="B1991" s="14">
        <v>7.2955999999999997E-4</v>
      </c>
      <c r="C1991" s="15">
        <v>5.3866000000000005E-4</v>
      </c>
    </row>
    <row r="1992" spans="1:3" x14ac:dyDescent="0.45">
      <c r="A1992" s="11">
        <v>36.630000000000003</v>
      </c>
      <c r="B1992" s="14">
        <v>7.2993999999999999E-4</v>
      </c>
      <c r="C1992" s="15">
        <v>5.3908999999999999E-4</v>
      </c>
    </row>
    <row r="1993" spans="1:3" x14ac:dyDescent="0.45">
      <c r="A1993" s="11">
        <v>36.64</v>
      </c>
      <c r="B1993" s="14">
        <v>7.3032000000000001E-4</v>
      </c>
      <c r="C1993" s="15">
        <v>5.3952000000000004E-4</v>
      </c>
    </row>
    <row r="1994" spans="1:3" x14ac:dyDescent="0.45">
      <c r="A1994" s="11">
        <v>36.65</v>
      </c>
      <c r="B1994" s="14">
        <v>7.3070000000000003E-4</v>
      </c>
      <c r="C1994" s="15">
        <v>5.3994999999999998E-4</v>
      </c>
    </row>
    <row r="1995" spans="1:3" x14ac:dyDescent="0.45">
      <c r="A1995" s="11">
        <v>36.659999999999997</v>
      </c>
      <c r="B1995" s="14">
        <v>7.3107999999999995E-4</v>
      </c>
      <c r="C1995" s="15">
        <v>5.4038000000000003E-4</v>
      </c>
    </row>
    <row r="1996" spans="1:3" x14ac:dyDescent="0.45">
      <c r="A1996" s="11">
        <v>36.67</v>
      </c>
      <c r="B1996" s="14">
        <v>7.3145999999999997E-4</v>
      </c>
      <c r="C1996" s="15">
        <v>5.4080999999999997E-4</v>
      </c>
    </row>
    <row r="1997" spans="1:3" x14ac:dyDescent="0.45">
      <c r="A1997" s="11">
        <v>36.68</v>
      </c>
      <c r="B1997" s="14">
        <v>7.3183999999999999E-4</v>
      </c>
      <c r="C1997" s="15">
        <v>5.4124000000000002E-4</v>
      </c>
    </row>
    <row r="1998" spans="1:3" x14ac:dyDescent="0.45">
      <c r="A1998" s="11">
        <v>36.69</v>
      </c>
      <c r="B1998" s="14">
        <v>7.3222000000000001E-4</v>
      </c>
      <c r="C1998" s="15">
        <v>5.4166999999999996E-4</v>
      </c>
    </row>
    <row r="1999" spans="1:3" x14ac:dyDescent="0.45">
      <c r="A1999" s="11">
        <v>36.700000000000003</v>
      </c>
      <c r="B1999" s="14">
        <v>7.3260000000000003E-4</v>
      </c>
      <c r="C1999" s="15">
        <v>5.421E-4</v>
      </c>
    </row>
    <row r="2000" spans="1:3" x14ac:dyDescent="0.45">
      <c r="A2000" s="11">
        <v>36.71</v>
      </c>
      <c r="B2000" s="14">
        <v>7.3298000000000005E-4</v>
      </c>
      <c r="C2000" s="15">
        <v>5.4253000000000005E-4</v>
      </c>
    </row>
    <row r="2001" spans="1:3" x14ac:dyDescent="0.45">
      <c r="A2001" s="11">
        <v>36.72</v>
      </c>
      <c r="B2001" s="14">
        <v>7.3335999999999996E-4</v>
      </c>
      <c r="C2001" s="15">
        <v>5.4295999999999999E-4</v>
      </c>
    </row>
    <row r="2002" spans="1:3" x14ac:dyDescent="0.45">
      <c r="A2002" s="11">
        <v>36.729999999999997</v>
      </c>
      <c r="B2002" s="14">
        <v>7.3373999999999998E-4</v>
      </c>
      <c r="C2002" s="15">
        <v>5.4339000000000004E-4</v>
      </c>
    </row>
    <row r="2003" spans="1:3" x14ac:dyDescent="0.45">
      <c r="A2003" s="11">
        <v>36.74</v>
      </c>
      <c r="B2003" s="14">
        <v>7.3412E-4</v>
      </c>
      <c r="C2003" s="15">
        <v>5.4381999999999998E-4</v>
      </c>
    </row>
    <row r="2004" spans="1:3" x14ac:dyDescent="0.45">
      <c r="A2004" s="11">
        <v>36.75</v>
      </c>
      <c r="B2004" s="14">
        <v>7.3450000000000002E-4</v>
      </c>
      <c r="C2004" s="15">
        <v>5.4425000000000003E-4</v>
      </c>
    </row>
    <row r="2005" spans="1:3" x14ac:dyDescent="0.45">
      <c r="A2005" s="11">
        <v>36.76</v>
      </c>
      <c r="B2005" s="14">
        <v>7.3488000000000004E-4</v>
      </c>
      <c r="C2005" s="15">
        <v>5.4467999999999997E-4</v>
      </c>
    </row>
    <row r="2006" spans="1:3" x14ac:dyDescent="0.45">
      <c r="A2006" s="11">
        <v>36.770000000000003</v>
      </c>
      <c r="B2006" s="14">
        <v>7.3525999999999995E-4</v>
      </c>
      <c r="C2006" s="15">
        <v>5.4511000000000002E-4</v>
      </c>
    </row>
    <row r="2007" spans="1:3" x14ac:dyDescent="0.45">
      <c r="A2007" s="11">
        <v>36.78</v>
      </c>
      <c r="B2007" s="14">
        <v>7.3563999999999997E-4</v>
      </c>
      <c r="C2007" s="15">
        <v>5.4553999999999996E-4</v>
      </c>
    </row>
    <row r="2008" spans="1:3" x14ac:dyDescent="0.45">
      <c r="A2008" s="11">
        <v>36.79</v>
      </c>
      <c r="B2008" s="14">
        <v>7.3601999999999999E-4</v>
      </c>
      <c r="C2008" s="15">
        <v>5.4597000000000001E-4</v>
      </c>
    </row>
    <row r="2009" spans="1:3" x14ac:dyDescent="0.45">
      <c r="A2009" s="11">
        <v>36.799999999999997</v>
      </c>
      <c r="B2009" s="14">
        <v>7.3640000000000001E-4</v>
      </c>
      <c r="C2009" s="15">
        <v>5.4640000000000005E-4</v>
      </c>
    </row>
    <row r="2010" spans="1:3" x14ac:dyDescent="0.45">
      <c r="A2010" s="11">
        <v>36.81</v>
      </c>
      <c r="B2010" s="14">
        <v>7.3678000000000003E-4</v>
      </c>
      <c r="C2010" s="15">
        <v>5.4682999999999999E-4</v>
      </c>
    </row>
    <row r="2011" spans="1:3" x14ac:dyDescent="0.45">
      <c r="A2011" s="11">
        <v>36.82</v>
      </c>
      <c r="B2011" s="14">
        <v>7.3716000000000005E-4</v>
      </c>
      <c r="C2011" s="15">
        <v>5.4726000000000004E-4</v>
      </c>
    </row>
    <row r="2012" spans="1:3" x14ac:dyDescent="0.45">
      <c r="A2012" s="11">
        <v>36.83</v>
      </c>
      <c r="B2012" s="14">
        <v>7.3753999999999996E-4</v>
      </c>
      <c r="C2012" s="15">
        <v>5.4768999999999998E-4</v>
      </c>
    </row>
    <row r="2013" spans="1:3" x14ac:dyDescent="0.45">
      <c r="A2013" s="11">
        <v>36.840000000000003</v>
      </c>
      <c r="B2013" s="14">
        <v>7.3791999999999998E-4</v>
      </c>
      <c r="C2013" s="15">
        <v>5.4812000000000003E-4</v>
      </c>
    </row>
    <row r="2014" spans="1:3" x14ac:dyDescent="0.45">
      <c r="A2014" s="11">
        <v>36.85</v>
      </c>
      <c r="B2014" s="14">
        <v>7.383E-4</v>
      </c>
      <c r="C2014" s="15">
        <v>5.4854999999999997E-4</v>
      </c>
    </row>
    <row r="2015" spans="1:3" x14ac:dyDescent="0.45">
      <c r="A2015" s="11">
        <v>36.86</v>
      </c>
      <c r="B2015" s="14">
        <v>7.3868000000000002E-4</v>
      </c>
      <c r="C2015" s="15">
        <v>5.4898000000000002E-4</v>
      </c>
    </row>
    <row r="2016" spans="1:3" x14ac:dyDescent="0.45">
      <c r="A2016" s="11">
        <v>36.869999999999997</v>
      </c>
      <c r="B2016" s="14">
        <v>7.3906000000000004E-4</v>
      </c>
      <c r="C2016" s="15">
        <v>5.4940999999999996E-4</v>
      </c>
    </row>
    <row r="2017" spans="1:3" x14ac:dyDescent="0.45">
      <c r="A2017" s="11">
        <v>36.880000000000003</v>
      </c>
      <c r="B2017" s="14">
        <v>7.3943999999999995E-4</v>
      </c>
      <c r="C2017" s="15">
        <v>5.4984000000000001E-4</v>
      </c>
    </row>
    <row r="2018" spans="1:3" x14ac:dyDescent="0.45">
      <c r="A2018" s="11">
        <v>36.89</v>
      </c>
      <c r="B2018" s="14">
        <v>7.3981999999999997E-4</v>
      </c>
      <c r="C2018" s="15">
        <v>5.5026999999999995E-4</v>
      </c>
    </row>
    <row r="2019" spans="1:3" x14ac:dyDescent="0.45">
      <c r="A2019" s="11">
        <v>36.9</v>
      </c>
      <c r="B2019" s="14">
        <v>7.4019999999999999E-4</v>
      </c>
      <c r="C2019" s="15">
        <v>5.507E-4</v>
      </c>
    </row>
    <row r="2020" spans="1:3" x14ac:dyDescent="0.45">
      <c r="A2020" s="11">
        <v>36.909999999999997</v>
      </c>
      <c r="B2020" s="14">
        <v>7.4058000000000001E-4</v>
      </c>
      <c r="C2020" s="15">
        <v>5.5113000000000004E-4</v>
      </c>
    </row>
    <row r="2021" spans="1:3" x14ac:dyDescent="0.45">
      <c r="A2021" s="11">
        <v>36.92</v>
      </c>
      <c r="B2021" s="14">
        <v>7.4096000000000003E-4</v>
      </c>
      <c r="C2021" s="15">
        <v>5.5155999999999998E-4</v>
      </c>
    </row>
    <row r="2022" spans="1:3" x14ac:dyDescent="0.45">
      <c r="A2022" s="11">
        <v>36.93</v>
      </c>
      <c r="B2022" s="14">
        <v>7.4133999999999995E-4</v>
      </c>
      <c r="C2022" s="15">
        <v>5.5199000000000003E-4</v>
      </c>
    </row>
    <row r="2023" spans="1:3" x14ac:dyDescent="0.45">
      <c r="A2023" s="11">
        <v>36.94</v>
      </c>
      <c r="B2023" s="14">
        <v>7.4171999999999997E-4</v>
      </c>
      <c r="C2023" s="15">
        <v>5.5241999999999997E-4</v>
      </c>
    </row>
    <row r="2024" spans="1:3" x14ac:dyDescent="0.45">
      <c r="A2024" s="11">
        <v>36.950000000000003</v>
      </c>
      <c r="B2024" s="14">
        <v>7.4209999999999999E-4</v>
      </c>
      <c r="C2024" s="15">
        <v>5.5285000000000002E-4</v>
      </c>
    </row>
    <row r="2025" spans="1:3" x14ac:dyDescent="0.45">
      <c r="A2025" s="11">
        <v>36.96</v>
      </c>
      <c r="B2025" s="14">
        <v>7.4248000000000001E-4</v>
      </c>
      <c r="C2025" s="15">
        <v>5.5327999999999996E-4</v>
      </c>
    </row>
    <row r="2026" spans="1:3" x14ac:dyDescent="0.45">
      <c r="A2026" s="11">
        <v>36.97</v>
      </c>
      <c r="B2026" s="14">
        <v>7.4286000000000003E-4</v>
      </c>
      <c r="C2026" s="15">
        <v>5.5371000000000001E-4</v>
      </c>
    </row>
    <row r="2027" spans="1:3" x14ac:dyDescent="0.45">
      <c r="A2027" s="11">
        <v>36.979999999999997</v>
      </c>
      <c r="B2027" s="14">
        <v>7.4324000000000005E-4</v>
      </c>
      <c r="C2027" s="15">
        <v>5.5413999999999995E-4</v>
      </c>
    </row>
    <row r="2028" spans="1:3" x14ac:dyDescent="0.45">
      <c r="A2028" s="11">
        <v>36.99</v>
      </c>
      <c r="B2028" s="14">
        <v>7.4361999999999996E-4</v>
      </c>
      <c r="C2028" s="15">
        <v>5.5457E-4</v>
      </c>
    </row>
    <row r="2029" spans="1:3" x14ac:dyDescent="0.45">
      <c r="A2029" s="11">
        <v>37</v>
      </c>
      <c r="B2029" s="14">
        <v>7.4399999999999998E-4</v>
      </c>
      <c r="C2029" s="15">
        <v>5.5500000000000005E-4</v>
      </c>
    </row>
    <row r="2030" spans="1:3" x14ac:dyDescent="0.45">
      <c r="A2030" s="11">
        <v>37.01</v>
      </c>
      <c r="B2030" s="14">
        <v>7.4443999999999997E-4</v>
      </c>
      <c r="C2030" s="15">
        <v>5.5548000000000001E-4</v>
      </c>
    </row>
    <row r="2031" spans="1:3" x14ac:dyDescent="0.45">
      <c r="A2031" s="11">
        <v>37.020000000000003</v>
      </c>
      <c r="B2031" s="14">
        <v>7.4487999999999996E-4</v>
      </c>
      <c r="C2031" s="15">
        <v>5.5595999999999998E-4</v>
      </c>
    </row>
    <row r="2032" spans="1:3" x14ac:dyDescent="0.45">
      <c r="A2032" s="11">
        <v>37.03</v>
      </c>
      <c r="B2032" s="14">
        <v>7.4532000000000005E-4</v>
      </c>
      <c r="C2032" s="15">
        <v>5.5643999999999995E-4</v>
      </c>
    </row>
    <row r="2033" spans="1:3" x14ac:dyDescent="0.45">
      <c r="A2033" s="11">
        <v>37.04</v>
      </c>
      <c r="B2033" s="14">
        <v>7.4576000000000004E-4</v>
      </c>
      <c r="C2033" s="15">
        <v>5.5692000000000003E-4</v>
      </c>
    </row>
    <row r="2034" spans="1:3" x14ac:dyDescent="0.45">
      <c r="A2034" s="11">
        <v>37.049999999999997</v>
      </c>
      <c r="B2034" s="14">
        <v>7.4620000000000003E-4</v>
      </c>
      <c r="C2034" s="15">
        <v>5.574E-4</v>
      </c>
    </row>
    <row r="2035" spans="1:3" x14ac:dyDescent="0.45">
      <c r="A2035" s="11">
        <v>37.06</v>
      </c>
      <c r="B2035" s="14">
        <v>7.4664000000000002E-4</v>
      </c>
      <c r="C2035" s="15">
        <v>5.5787999999999996E-4</v>
      </c>
    </row>
    <row r="2036" spans="1:3" x14ac:dyDescent="0.45">
      <c r="A2036" s="11">
        <v>37.07</v>
      </c>
      <c r="B2036" s="14">
        <v>7.4708000000000001E-4</v>
      </c>
      <c r="C2036" s="15">
        <v>5.5836000000000004E-4</v>
      </c>
    </row>
    <row r="2037" spans="1:3" x14ac:dyDescent="0.45">
      <c r="A2037" s="11">
        <v>37.08</v>
      </c>
      <c r="B2037" s="14">
        <v>7.4752E-4</v>
      </c>
      <c r="C2037" s="15">
        <v>5.5884000000000001E-4</v>
      </c>
    </row>
    <row r="2038" spans="1:3" x14ac:dyDescent="0.45">
      <c r="A2038" s="11">
        <v>37.090000000000003</v>
      </c>
      <c r="B2038" s="14">
        <v>7.4795999999999999E-4</v>
      </c>
      <c r="C2038" s="15">
        <v>5.5931999999999998E-4</v>
      </c>
    </row>
    <row r="2039" spans="1:3" x14ac:dyDescent="0.45">
      <c r="A2039" s="11">
        <v>37.1</v>
      </c>
      <c r="B2039" s="14">
        <v>7.4839999999999998E-4</v>
      </c>
      <c r="C2039" s="15">
        <v>5.5979999999999995E-4</v>
      </c>
    </row>
    <row r="2040" spans="1:3" x14ac:dyDescent="0.45">
      <c r="A2040" s="11">
        <v>37.11</v>
      </c>
      <c r="B2040" s="14">
        <v>7.4883999999999997E-4</v>
      </c>
      <c r="C2040" s="15">
        <v>5.6028000000000002E-4</v>
      </c>
    </row>
    <row r="2041" spans="1:3" x14ac:dyDescent="0.45">
      <c r="A2041" s="11">
        <v>37.119999999999997</v>
      </c>
      <c r="B2041" s="14">
        <v>7.4927999999999995E-4</v>
      </c>
      <c r="C2041" s="15">
        <v>5.6075999999999999E-4</v>
      </c>
    </row>
    <row r="2042" spans="1:3" x14ac:dyDescent="0.45">
      <c r="A2042" s="11">
        <v>37.130000000000003</v>
      </c>
      <c r="B2042" s="14">
        <v>7.4972000000000005E-4</v>
      </c>
      <c r="C2042" s="15">
        <v>5.6123999999999996E-4</v>
      </c>
    </row>
    <row r="2043" spans="1:3" x14ac:dyDescent="0.45">
      <c r="A2043" s="11">
        <v>37.14</v>
      </c>
      <c r="B2043" s="14">
        <v>7.5016000000000004E-4</v>
      </c>
      <c r="C2043" s="15">
        <v>5.6172000000000004E-4</v>
      </c>
    </row>
    <row r="2044" spans="1:3" x14ac:dyDescent="0.45">
      <c r="A2044" s="11">
        <v>37.15</v>
      </c>
      <c r="B2044" s="14">
        <v>7.5060000000000003E-4</v>
      </c>
      <c r="C2044" s="15">
        <v>5.622E-4</v>
      </c>
    </row>
    <row r="2045" spans="1:3" x14ac:dyDescent="0.45">
      <c r="A2045" s="11">
        <v>37.159999999999997</v>
      </c>
      <c r="B2045" s="14">
        <v>7.5104000000000002E-4</v>
      </c>
      <c r="C2045" s="15">
        <v>5.6267999999999997E-4</v>
      </c>
    </row>
    <row r="2046" spans="1:3" x14ac:dyDescent="0.45">
      <c r="A2046" s="11">
        <v>37.17</v>
      </c>
      <c r="B2046" s="14">
        <v>7.5148000000000001E-4</v>
      </c>
      <c r="C2046" s="15">
        <v>5.6316000000000005E-4</v>
      </c>
    </row>
    <row r="2047" spans="1:3" x14ac:dyDescent="0.45">
      <c r="A2047" s="11">
        <v>37.18</v>
      </c>
      <c r="B2047" s="14">
        <v>7.5192E-4</v>
      </c>
      <c r="C2047" s="15">
        <v>5.6364000000000002E-4</v>
      </c>
    </row>
    <row r="2048" spans="1:3" x14ac:dyDescent="0.45">
      <c r="A2048" s="11">
        <v>37.19</v>
      </c>
      <c r="B2048" s="14">
        <v>7.5235999999999999E-4</v>
      </c>
      <c r="C2048" s="15">
        <v>5.6411999999999999E-4</v>
      </c>
    </row>
    <row r="2049" spans="1:3" x14ac:dyDescent="0.45">
      <c r="A2049" s="11">
        <v>37.200000000000003</v>
      </c>
      <c r="B2049" s="14">
        <v>7.5279999999999998E-4</v>
      </c>
      <c r="C2049" s="15">
        <v>5.6459999999999995E-4</v>
      </c>
    </row>
    <row r="2050" spans="1:3" x14ac:dyDescent="0.45">
      <c r="A2050" s="11">
        <v>37.21</v>
      </c>
      <c r="B2050" s="14">
        <v>7.5323999999999996E-4</v>
      </c>
      <c r="C2050" s="15">
        <v>5.6508000000000003E-4</v>
      </c>
    </row>
    <row r="2051" spans="1:3" x14ac:dyDescent="0.45">
      <c r="A2051" s="11">
        <v>37.22</v>
      </c>
      <c r="B2051" s="14">
        <v>7.5367999999999995E-4</v>
      </c>
      <c r="C2051" s="15">
        <v>5.6556E-4</v>
      </c>
    </row>
    <row r="2052" spans="1:3" x14ac:dyDescent="0.45">
      <c r="A2052" s="11">
        <v>37.229999999999997</v>
      </c>
      <c r="B2052" s="14">
        <v>7.5412000000000005E-4</v>
      </c>
      <c r="C2052" s="15">
        <v>5.6603999999999997E-4</v>
      </c>
    </row>
    <row r="2053" spans="1:3" x14ac:dyDescent="0.45">
      <c r="A2053" s="11">
        <v>37.24</v>
      </c>
      <c r="B2053" s="14">
        <v>7.5456000000000004E-4</v>
      </c>
      <c r="C2053" s="15">
        <v>5.6652000000000004E-4</v>
      </c>
    </row>
    <row r="2054" spans="1:3" x14ac:dyDescent="0.45">
      <c r="A2054" s="11">
        <v>37.25</v>
      </c>
      <c r="B2054" s="14">
        <v>7.5500000000000003E-4</v>
      </c>
      <c r="C2054" s="15">
        <v>5.6700000000000001E-4</v>
      </c>
    </row>
    <row r="2055" spans="1:3" x14ac:dyDescent="0.45">
      <c r="A2055" s="11">
        <v>37.26</v>
      </c>
      <c r="B2055" s="14">
        <v>7.5544000000000002E-4</v>
      </c>
      <c r="C2055" s="15">
        <v>5.6747999999999998E-4</v>
      </c>
    </row>
    <row r="2056" spans="1:3" x14ac:dyDescent="0.45">
      <c r="A2056" s="11">
        <v>37.270000000000003</v>
      </c>
      <c r="B2056" s="14">
        <v>7.5588000000000001E-4</v>
      </c>
      <c r="C2056" s="15">
        <v>5.6795999999999995E-4</v>
      </c>
    </row>
    <row r="2057" spans="1:3" x14ac:dyDescent="0.45">
      <c r="A2057" s="11">
        <v>37.28</v>
      </c>
      <c r="B2057" s="14">
        <v>7.5632E-4</v>
      </c>
      <c r="C2057" s="15">
        <v>5.6844000000000003E-4</v>
      </c>
    </row>
    <row r="2058" spans="1:3" x14ac:dyDescent="0.45">
      <c r="A2058" s="11">
        <v>37.29</v>
      </c>
      <c r="B2058" s="14">
        <v>7.5675999999999998E-4</v>
      </c>
      <c r="C2058" s="15">
        <v>5.6891999999999999E-4</v>
      </c>
    </row>
    <row r="2059" spans="1:3" x14ac:dyDescent="0.45">
      <c r="A2059" s="11">
        <v>37.299999999999997</v>
      </c>
      <c r="B2059" s="14">
        <v>7.5719999999999997E-4</v>
      </c>
      <c r="C2059" s="15">
        <v>5.6939999999999996E-4</v>
      </c>
    </row>
    <row r="2060" spans="1:3" x14ac:dyDescent="0.45">
      <c r="A2060" s="11">
        <v>37.31</v>
      </c>
      <c r="B2060" s="14">
        <v>7.5763999999999996E-4</v>
      </c>
      <c r="C2060" s="15">
        <v>5.6988000000000004E-4</v>
      </c>
    </row>
    <row r="2061" spans="1:3" x14ac:dyDescent="0.45">
      <c r="A2061" s="11">
        <v>37.32</v>
      </c>
      <c r="B2061" s="14">
        <v>7.5807999999999995E-4</v>
      </c>
      <c r="C2061" s="15">
        <v>5.7036000000000001E-4</v>
      </c>
    </row>
    <row r="2062" spans="1:3" x14ac:dyDescent="0.45">
      <c r="A2062" s="11">
        <v>37.33</v>
      </c>
      <c r="B2062" s="14">
        <v>7.5852000000000005E-4</v>
      </c>
      <c r="C2062" s="15">
        <v>5.7083999999999998E-4</v>
      </c>
    </row>
    <row r="2063" spans="1:3" x14ac:dyDescent="0.45">
      <c r="A2063" s="11">
        <v>37.340000000000003</v>
      </c>
      <c r="B2063" s="14">
        <v>7.5896000000000004E-4</v>
      </c>
      <c r="C2063" s="15">
        <v>5.7132000000000005E-4</v>
      </c>
    </row>
    <row r="2064" spans="1:3" x14ac:dyDescent="0.45">
      <c r="A2064" s="11">
        <v>37.35</v>
      </c>
      <c r="B2064" s="14">
        <v>7.5940000000000003E-4</v>
      </c>
      <c r="C2064" s="15">
        <v>5.7180000000000002E-4</v>
      </c>
    </row>
    <row r="2065" spans="1:3" x14ac:dyDescent="0.45">
      <c r="A2065" s="11">
        <v>37.36</v>
      </c>
      <c r="B2065" s="14">
        <v>7.5984000000000002E-4</v>
      </c>
      <c r="C2065" s="15">
        <v>5.7227999999999999E-4</v>
      </c>
    </row>
    <row r="2066" spans="1:3" x14ac:dyDescent="0.45">
      <c r="A2066" s="11">
        <v>37.369999999999997</v>
      </c>
      <c r="B2066" s="14">
        <v>7.6028000000000001E-4</v>
      </c>
      <c r="C2066" s="15">
        <v>5.7275999999999996E-4</v>
      </c>
    </row>
    <row r="2067" spans="1:3" x14ac:dyDescent="0.45">
      <c r="A2067" s="11">
        <v>37.380000000000003</v>
      </c>
      <c r="B2067" s="14">
        <v>7.6071999999999999E-4</v>
      </c>
      <c r="C2067" s="15">
        <v>5.7324000000000003E-4</v>
      </c>
    </row>
    <row r="2068" spans="1:3" x14ac:dyDescent="0.45">
      <c r="A2068" s="11">
        <v>37.39</v>
      </c>
      <c r="B2068" s="14">
        <v>7.6115999999999998E-4</v>
      </c>
      <c r="C2068" s="15">
        <v>5.7372E-4</v>
      </c>
    </row>
    <row r="2069" spans="1:3" x14ac:dyDescent="0.45">
      <c r="A2069" s="11">
        <v>37.4</v>
      </c>
      <c r="B2069" s="14">
        <v>7.6159999999999997E-4</v>
      </c>
      <c r="C2069" s="15">
        <v>5.7419999999999997E-4</v>
      </c>
    </row>
    <row r="2070" spans="1:3" x14ac:dyDescent="0.45">
      <c r="A2070" s="11">
        <v>37.409999999999997</v>
      </c>
      <c r="B2070" s="14">
        <v>7.6203999999999996E-4</v>
      </c>
      <c r="C2070" s="15">
        <v>5.7468000000000005E-4</v>
      </c>
    </row>
    <row r="2071" spans="1:3" x14ac:dyDescent="0.45">
      <c r="A2071" s="11">
        <v>37.42</v>
      </c>
      <c r="B2071" s="14">
        <v>7.6247999999999995E-4</v>
      </c>
      <c r="C2071" s="15">
        <v>5.7516000000000002E-4</v>
      </c>
    </row>
    <row r="2072" spans="1:3" x14ac:dyDescent="0.45">
      <c r="A2072" s="11">
        <v>37.43</v>
      </c>
      <c r="B2072" s="14">
        <v>7.6292000000000005E-4</v>
      </c>
      <c r="C2072" s="15">
        <v>5.7563999999999998E-4</v>
      </c>
    </row>
    <row r="2073" spans="1:3" x14ac:dyDescent="0.45">
      <c r="A2073" s="11">
        <v>37.44</v>
      </c>
      <c r="B2073" s="14">
        <v>7.6336000000000004E-4</v>
      </c>
      <c r="C2073" s="15">
        <v>5.7611999999999995E-4</v>
      </c>
    </row>
    <row r="2074" spans="1:3" x14ac:dyDescent="0.45">
      <c r="A2074" s="11">
        <v>37.450000000000003</v>
      </c>
      <c r="B2074" s="14">
        <v>7.6380000000000003E-4</v>
      </c>
      <c r="C2074" s="15">
        <v>5.7660000000000003E-4</v>
      </c>
    </row>
    <row r="2075" spans="1:3" x14ac:dyDescent="0.45">
      <c r="A2075" s="11">
        <v>37.46</v>
      </c>
      <c r="B2075" s="14">
        <v>7.6424000000000001E-4</v>
      </c>
      <c r="C2075" s="15">
        <v>5.7708E-4</v>
      </c>
    </row>
    <row r="2076" spans="1:3" x14ac:dyDescent="0.45">
      <c r="A2076" s="11">
        <v>37.47</v>
      </c>
      <c r="B2076" s="14">
        <v>7.6468E-4</v>
      </c>
      <c r="C2076" s="15">
        <v>5.7755999999999997E-4</v>
      </c>
    </row>
    <row r="2077" spans="1:3" x14ac:dyDescent="0.45">
      <c r="A2077" s="11">
        <v>37.479999999999997</v>
      </c>
      <c r="B2077" s="14">
        <v>7.6511999999999999E-4</v>
      </c>
      <c r="C2077" s="15">
        <v>5.7804000000000004E-4</v>
      </c>
    </row>
    <row r="2078" spans="1:3" x14ac:dyDescent="0.45">
      <c r="A2078" s="11">
        <v>37.49</v>
      </c>
      <c r="B2078" s="14">
        <v>7.6555999999999998E-4</v>
      </c>
      <c r="C2078" s="15">
        <v>5.7852000000000001E-4</v>
      </c>
    </row>
    <row r="2079" spans="1:3" x14ac:dyDescent="0.45">
      <c r="A2079" s="11">
        <v>37.5</v>
      </c>
      <c r="B2079" s="14">
        <v>7.6599999999999997E-4</v>
      </c>
      <c r="C2079" s="15">
        <v>5.7899999999999998E-4</v>
      </c>
    </row>
    <row r="2080" spans="1:3" x14ac:dyDescent="0.45">
      <c r="A2080" s="11">
        <v>37.51</v>
      </c>
      <c r="B2080" s="14">
        <v>7.6643999999999996E-4</v>
      </c>
      <c r="C2080" s="15">
        <v>5.7947999999999995E-4</v>
      </c>
    </row>
    <row r="2081" spans="1:3" x14ac:dyDescent="0.45">
      <c r="A2081" s="11">
        <v>37.520000000000003</v>
      </c>
      <c r="B2081" s="14">
        <v>7.6687999999999995E-4</v>
      </c>
      <c r="C2081" s="15">
        <v>5.7996000000000002E-4</v>
      </c>
    </row>
    <row r="2082" spans="1:3" x14ac:dyDescent="0.45">
      <c r="A2082" s="11">
        <v>37.53</v>
      </c>
      <c r="B2082" s="14">
        <v>7.6732000000000005E-4</v>
      </c>
      <c r="C2082" s="15">
        <v>5.8043999999999999E-4</v>
      </c>
    </row>
    <row r="2083" spans="1:3" x14ac:dyDescent="0.45">
      <c r="A2083" s="11">
        <v>37.54</v>
      </c>
      <c r="B2083" s="14">
        <v>7.6776000000000004E-4</v>
      </c>
      <c r="C2083" s="15">
        <v>5.8091999999999996E-4</v>
      </c>
    </row>
    <row r="2084" spans="1:3" x14ac:dyDescent="0.45">
      <c r="A2084" s="11">
        <v>37.549999999999997</v>
      </c>
      <c r="B2084" s="14">
        <v>7.6820000000000002E-4</v>
      </c>
      <c r="C2084" s="15">
        <v>5.8140000000000004E-4</v>
      </c>
    </row>
    <row r="2085" spans="1:3" x14ac:dyDescent="0.45">
      <c r="A2085" s="11">
        <v>37.56</v>
      </c>
      <c r="B2085" s="14">
        <v>7.6864000000000001E-4</v>
      </c>
      <c r="C2085" s="15">
        <v>5.8188000000000001E-4</v>
      </c>
    </row>
    <row r="2086" spans="1:3" x14ac:dyDescent="0.45">
      <c r="A2086" s="11">
        <v>37.57</v>
      </c>
      <c r="B2086" s="14">
        <v>7.6908E-4</v>
      </c>
      <c r="C2086" s="15">
        <v>5.8235999999999997E-4</v>
      </c>
    </row>
    <row r="2087" spans="1:3" x14ac:dyDescent="0.45">
      <c r="A2087" s="11">
        <v>37.58</v>
      </c>
      <c r="B2087" s="14">
        <v>7.6951999999999999E-4</v>
      </c>
      <c r="C2087" s="15">
        <v>5.8284000000000005E-4</v>
      </c>
    </row>
    <row r="2088" spans="1:3" x14ac:dyDescent="0.45">
      <c r="A2088" s="11">
        <v>37.590000000000003</v>
      </c>
      <c r="B2088" s="14">
        <v>7.6995999999999998E-4</v>
      </c>
      <c r="C2088" s="15">
        <v>5.8332000000000002E-4</v>
      </c>
    </row>
    <row r="2089" spans="1:3" x14ac:dyDescent="0.45">
      <c r="A2089" s="11">
        <v>37.6</v>
      </c>
      <c r="B2089" s="14">
        <v>7.7039999999999997E-4</v>
      </c>
      <c r="C2089" s="15">
        <v>5.8379999999999999E-4</v>
      </c>
    </row>
    <row r="2090" spans="1:3" x14ac:dyDescent="0.45">
      <c r="A2090" s="11">
        <v>37.61</v>
      </c>
      <c r="B2090" s="14">
        <v>7.7083999999999996E-4</v>
      </c>
      <c r="C2090" s="15">
        <v>5.8427999999999996E-4</v>
      </c>
    </row>
    <row r="2091" spans="1:3" x14ac:dyDescent="0.45">
      <c r="A2091" s="11">
        <v>37.619999999999997</v>
      </c>
      <c r="B2091" s="14">
        <v>7.7127999999999995E-4</v>
      </c>
      <c r="C2091" s="15">
        <v>5.8476000000000003E-4</v>
      </c>
    </row>
    <row r="2092" spans="1:3" x14ac:dyDescent="0.45">
      <c r="A2092" s="11">
        <v>37.630000000000003</v>
      </c>
      <c r="B2092" s="14">
        <v>7.7172000000000004E-4</v>
      </c>
      <c r="C2092" s="15">
        <v>5.8524E-4</v>
      </c>
    </row>
    <row r="2093" spans="1:3" x14ac:dyDescent="0.45">
      <c r="A2093" s="11">
        <v>37.64</v>
      </c>
      <c r="B2093" s="14">
        <v>7.7216000000000003E-4</v>
      </c>
      <c r="C2093" s="15">
        <v>5.8571999999999997E-4</v>
      </c>
    </row>
    <row r="2094" spans="1:3" x14ac:dyDescent="0.45">
      <c r="A2094" s="11">
        <v>37.65</v>
      </c>
      <c r="B2094" s="14">
        <v>7.7260000000000002E-4</v>
      </c>
      <c r="C2094" s="15">
        <v>5.8620000000000005E-4</v>
      </c>
    </row>
    <row r="2095" spans="1:3" x14ac:dyDescent="0.45">
      <c r="A2095" s="11">
        <v>37.659999999999997</v>
      </c>
      <c r="B2095" s="14">
        <v>7.7304000000000001E-4</v>
      </c>
      <c r="C2095" s="15">
        <v>5.8668000000000001E-4</v>
      </c>
    </row>
    <row r="2096" spans="1:3" x14ac:dyDescent="0.45">
      <c r="A2096" s="11">
        <v>37.67</v>
      </c>
      <c r="B2096" s="14">
        <v>7.7348E-4</v>
      </c>
      <c r="C2096" s="15">
        <v>5.8715999999999998E-4</v>
      </c>
    </row>
    <row r="2097" spans="1:3" x14ac:dyDescent="0.45">
      <c r="A2097" s="11">
        <v>37.68</v>
      </c>
      <c r="B2097" s="14">
        <v>7.7391999999999999E-4</v>
      </c>
      <c r="C2097" s="15">
        <v>5.8763999999999995E-4</v>
      </c>
    </row>
    <row r="2098" spans="1:3" x14ac:dyDescent="0.45">
      <c r="A2098" s="11">
        <v>37.69</v>
      </c>
      <c r="B2098" s="14">
        <v>7.7435999999999998E-4</v>
      </c>
      <c r="C2098" s="15">
        <v>5.8812000000000003E-4</v>
      </c>
    </row>
    <row r="2099" spans="1:3" x14ac:dyDescent="0.45">
      <c r="A2099" s="11">
        <v>37.700000000000003</v>
      </c>
      <c r="B2099" s="14">
        <v>7.7479999999999997E-4</v>
      </c>
      <c r="C2099" s="15">
        <v>5.886E-4</v>
      </c>
    </row>
    <row r="2100" spans="1:3" x14ac:dyDescent="0.45">
      <c r="A2100" s="11">
        <v>37.71</v>
      </c>
      <c r="B2100" s="14">
        <v>7.7523999999999996E-4</v>
      </c>
      <c r="C2100" s="15">
        <v>5.8907999999999996E-4</v>
      </c>
    </row>
    <row r="2101" spans="1:3" x14ac:dyDescent="0.45">
      <c r="A2101" s="11">
        <v>37.72</v>
      </c>
      <c r="B2101" s="14">
        <v>7.7567999999999995E-4</v>
      </c>
      <c r="C2101" s="15">
        <v>5.8956000000000004E-4</v>
      </c>
    </row>
    <row r="2102" spans="1:3" x14ac:dyDescent="0.45">
      <c r="A2102" s="11">
        <v>37.729999999999997</v>
      </c>
      <c r="B2102" s="14">
        <v>7.7612000000000004E-4</v>
      </c>
      <c r="C2102" s="15">
        <v>5.9004000000000001E-4</v>
      </c>
    </row>
    <row r="2103" spans="1:3" x14ac:dyDescent="0.45">
      <c r="A2103" s="11">
        <v>37.74</v>
      </c>
      <c r="B2103" s="14">
        <v>7.7656000000000003E-4</v>
      </c>
      <c r="C2103" s="15">
        <v>5.9051999999999998E-4</v>
      </c>
    </row>
    <row r="2104" spans="1:3" x14ac:dyDescent="0.45">
      <c r="A2104" s="11">
        <v>37.75</v>
      </c>
      <c r="B2104" s="14">
        <v>7.7700000000000002E-4</v>
      </c>
      <c r="C2104" s="15">
        <v>5.9100000000000005E-4</v>
      </c>
    </row>
    <row r="2105" spans="1:3" x14ac:dyDescent="0.45">
      <c r="A2105" s="11">
        <v>37.76</v>
      </c>
      <c r="B2105" s="14">
        <v>7.7744000000000001E-4</v>
      </c>
      <c r="C2105" s="15">
        <v>5.9148000000000002E-4</v>
      </c>
    </row>
    <row r="2106" spans="1:3" x14ac:dyDescent="0.45">
      <c r="A2106" s="11">
        <v>37.770000000000003</v>
      </c>
      <c r="B2106" s="14">
        <v>7.7788E-4</v>
      </c>
      <c r="C2106" s="15">
        <v>5.9195999999999999E-4</v>
      </c>
    </row>
    <row r="2107" spans="1:3" x14ac:dyDescent="0.45">
      <c r="A2107" s="11">
        <v>37.78</v>
      </c>
      <c r="B2107" s="14">
        <v>7.7831999999999999E-4</v>
      </c>
      <c r="C2107" s="15">
        <v>5.9243999999999996E-4</v>
      </c>
    </row>
    <row r="2108" spans="1:3" x14ac:dyDescent="0.45">
      <c r="A2108" s="11">
        <v>37.79</v>
      </c>
      <c r="B2108" s="14">
        <v>7.7875999999999998E-4</v>
      </c>
      <c r="C2108" s="15">
        <v>5.9292000000000004E-4</v>
      </c>
    </row>
    <row r="2109" spans="1:3" x14ac:dyDescent="0.45">
      <c r="A2109" s="11">
        <v>37.799999999999997</v>
      </c>
      <c r="B2109" s="14">
        <v>7.7919999999999997E-4</v>
      </c>
      <c r="C2109" s="15">
        <v>5.934E-4</v>
      </c>
    </row>
    <row r="2110" spans="1:3" x14ac:dyDescent="0.45">
      <c r="A2110" s="11">
        <v>37.81</v>
      </c>
      <c r="B2110" s="14">
        <v>7.7963999999999996E-4</v>
      </c>
      <c r="C2110" s="15">
        <v>5.9387999999999997E-4</v>
      </c>
    </row>
    <row r="2111" spans="1:3" x14ac:dyDescent="0.45">
      <c r="A2111" s="11">
        <v>37.82</v>
      </c>
      <c r="B2111" s="14">
        <v>7.8008000000000005E-4</v>
      </c>
      <c r="C2111" s="15">
        <v>5.9436000000000005E-4</v>
      </c>
    </row>
    <row r="2112" spans="1:3" x14ac:dyDescent="0.45">
      <c r="A2112" s="11">
        <v>37.83</v>
      </c>
      <c r="B2112" s="14">
        <v>7.8052000000000004E-4</v>
      </c>
      <c r="C2112" s="15">
        <v>5.9484000000000002E-4</v>
      </c>
    </row>
    <row r="2113" spans="1:3" x14ac:dyDescent="0.45">
      <c r="A2113" s="11">
        <v>37.840000000000003</v>
      </c>
      <c r="B2113" s="14">
        <v>7.8096000000000003E-4</v>
      </c>
      <c r="C2113" s="15">
        <v>5.9531999999999999E-4</v>
      </c>
    </row>
    <row r="2114" spans="1:3" x14ac:dyDescent="0.45">
      <c r="A2114" s="11">
        <v>37.85</v>
      </c>
      <c r="B2114" s="14">
        <v>7.8140000000000002E-4</v>
      </c>
      <c r="C2114" s="15">
        <v>5.9579999999999995E-4</v>
      </c>
    </row>
    <row r="2115" spans="1:3" x14ac:dyDescent="0.45">
      <c r="A2115" s="11">
        <v>37.86</v>
      </c>
      <c r="B2115" s="14">
        <v>7.8184000000000001E-4</v>
      </c>
      <c r="C2115" s="15">
        <v>5.9628000000000003E-4</v>
      </c>
    </row>
    <row r="2116" spans="1:3" x14ac:dyDescent="0.45">
      <c r="A2116" s="11">
        <v>37.869999999999997</v>
      </c>
      <c r="B2116" s="14">
        <v>7.8228E-4</v>
      </c>
      <c r="C2116" s="15">
        <v>5.9676E-4</v>
      </c>
    </row>
    <row r="2117" spans="1:3" x14ac:dyDescent="0.45">
      <c r="A2117" s="11">
        <v>37.880000000000003</v>
      </c>
      <c r="B2117" s="14">
        <v>7.8271999999999999E-4</v>
      </c>
      <c r="C2117" s="15">
        <v>5.9723999999999997E-4</v>
      </c>
    </row>
    <row r="2118" spans="1:3" x14ac:dyDescent="0.45">
      <c r="A2118" s="11">
        <v>37.89</v>
      </c>
      <c r="B2118" s="14">
        <v>7.8315999999999998E-4</v>
      </c>
      <c r="C2118" s="15">
        <v>5.9772000000000004E-4</v>
      </c>
    </row>
    <row r="2119" spans="1:3" x14ac:dyDescent="0.45">
      <c r="A2119" s="11">
        <v>37.9</v>
      </c>
      <c r="B2119" s="14">
        <v>7.8359999999999996E-4</v>
      </c>
      <c r="C2119" s="15">
        <v>5.9820000000000001E-4</v>
      </c>
    </row>
    <row r="2120" spans="1:3" x14ac:dyDescent="0.45">
      <c r="A2120" s="11">
        <v>37.909999999999997</v>
      </c>
      <c r="B2120" s="14">
        <v>7.8403999999999995E-4</v>
      </c>
      <c r="C2120" s="15">
        <v>5.9867999999999998E-4</v>
      </c>
    </row>
    <row r="2121" spans="1:3" x14ac:dyDescent="0.45">
      <c r="A2121" s="11">
        <v>37.92</v>
      </c>
      <c r="B2121" s="14">
        <v>7.8448000000000005E-4</v>
      </c>
      <c r="C2121" s="15">
        <v>5.9915999999999995E-4</v>
      </c>
    </row>
    <row r="2122" spans="1:3" x14ac:dyDescent="0.45">
      <c r="A2122" s="11">
        <v>37.93</v>
      </c>
      <c r="B2122" s="14">
        <v>7.8492000000000004E-4</v>
      </c>
      <c r="C2122" s="15">
        <v>5.9964000000000003E-4</v>
      </c>
    </row>
    <row r="2123" spans="1:3" x14ac:dyDescent="0.45">
      <c r="A2123" s="11">
        <v>37.94</v>
      </c>
      <c r="B2123" s="14">
        <v>7.8536000000000003E-4</v>
      </c>
      <c r="C2123" s="15">
        <v>6.0011999999999999E-4</v>
      </c>
    </row>
    <row r="2124" spans="1:3" x14ac:dyDescent="0.45">
      <c r="A2124" s="11">
        <v>37.950000000000003</v>
      </c>
      <c r="B2124" s="14">
        <v>7.8580000000000002E-4</v>
      </c>
      <c r="C2124" s="15">
        <v>6.0059999999999996E-4</v>
      </c>
    </row>
    <row r="2125" spans="1:3" x14ac:dyDescent="0.45">
      <c r="A2125" s="11">
        <v>37.96</v>
      </c>
      <c r="B2125" s="14">
        <v>7.8624000000000001E-4</v>
      </c>
      <c r="C2125" s="15">
        <v>6.0108000000000004E-4</v>
      </c>
    </row>
    <row r="2126" spans="1:3" x14ac:dyDescent="0.45">
      <c r="A2126" s="11">
        <v>37.97</v>
      </c>
      <c r="B2126" s="14">
        <v>7.8668E-4</v>
      </c>
      <c r="C2126" s="15">
        <v>6.0156000000000001E-4</v>
      </c>
    </row>
    <row r="2127" spans="1:3" x14ac:dyDescent="0.45">
      <c r="A2127" s="11">
        <v>37.979999999999997</v>
      </c>
      <c r="B2127" s="14">
        <v>7.8711999999999999E-4</v>
      </c>
      <c r="C2127" s="15">
        <v>6.0203999999999998E-4</v>
      </c>
    </row>
    <row r="2128" spans="1:3" x14ac:dyDescent="0.45">
      <c r="A2128" s="11">
        <v>37.99</v>
      </c>
      <c r="B2128" s="14">
        <v>7.8755999999999997E-4</v>
      </c>
      <c r="C2128" s="15">
        <v>6.0252000000000005E-4</v>
      </c>
    </row>
    <row r="2129" spans="1:3" x14ac:dyDescent="0.45">
      <c r="A2129" s="11">
        <v>38</v>
      </c>
      <c r="B2129" s="14">
        <v>7.8799999999999996E-4</v>
      </c>
      <c r="C2129" s="15">
        <v>6.0300000000000002E-4</v>
      </c>
    </row>
    <row r="2130" spans="1:3" x14ac:dyDescent="0.45">
      <c r="A2130" s="11">
        <v>38.01</v>
      </c>
      <c r="B2130" s="14">
        <v>7.8852000000000002E-4</v>
      </c>
      <c r="C2130" s="15">
        <v>6.0353000000000002E-4</v>
      </c>
    </row>
    <row r="2131" spans="1:3" x14ac:dyDescent="0.45">
      <c r="A2131" s="11">
        <v>38.020000000000003</v>
      </c>
      <c r="B2131" s="14">
        <v>7.8903999999999997E-4</v>
      </c>
      <c r="C2131" s="15">
        <v>6.0406000000000001E-4</v>
      </c>
    </row>
    <row r="2132" spans="1:3" x14ac:dyDescent="0.45">
      <c r="A2132" s="11">
        <v>38.03</v>
      </c>
      <c r="B2132" s="14">
        <v>7.8956000000000002E-4</v>
      </c>
      <c r="C2132" s="15">
        <v>6.0459000000000001E-4</v>
      </c>
    </row>
    <row r="2133" spans="1:3" x14ac:dyDescent="0.45">
      <c r="A2133" s="11">
        <v>38.04</v>
      </c>
      <c r="B2133" s="14">
        <v>7.9007999999999997E-4</v>
      </c>
      <c r="C2133" s="15">
        <v>6.0512000000000001E-4</v>
      </c>
    </row>
    <row r="2134" spans="1:3" x14ac:dyDescent="0.45">
      <c r="A2134" s="11">
        <v>38.049999999999997</v>
      </c>
      <c r="B2134" s="14">
        <v>7.9060000000000003E-4</v>
      </c>
      <c r="C2134" s="15">
        <v>6.0565E-4</v>
      </c>
    </row>
    <row r="2135" spans="1:3" x14ac:dyDescent="0.45">
      <c r="A2135" s="11">
        <v>38.06</v>
      </c>
      <c r="B2135" s="14">
        <v>7.9111999999999997E-4</v>
      </c>
      <c r="C2135" s="15">
        <v>6.0618E-4</v>
      </c>
    </row>
    <row r="2136" spans="1:3" x14ac:dyDescent="0.45">
      <c r="A2136" s="11">
        <v>38.07</v>
      </c>
      <c r="B2136" s="14">
        <v>7.9164000000000003E-4</v>
      </c>
      <c r="C2136" s="15">
        <v>6.0671E-4</v>
      </c>
    </row>
    <row r="2137" spans="1:3" x14ac:dyDescent="0.45">
      <c r="A2137" s="11">
        <v>38.08</v>
      </c>
      <c r="B2137" s="14">
        <v>7.9215999999999998E-4</v>
      </c>
      <c r="C2137" s="15">
        <v>6.0723999999999999E-4</v>
      </c>
    </row>
    <row r="2138" spans="1:3" x14ac:dyDescent="0.45">
      <c r="A2138" s="11">
        <v>38.090000000000003</v>
      </c>
      <c r="B2138" s="14">
        <v>7.9268000000000003E-4</v>
      </c>
      <c r="C2138" s="15">
        <v>6.0776999999999999E-4</v>
      </c>
    </row>
    <row r="2139" spans="1:3" x14ac:dyDescent="0.45">
      <c r="A2139" s="11">
        <v>38.1</v>
      </c>
      <c r="B2139" s="14">
        <v>7.9319999999999998E-4</v>
      </c>
      <c r="C2139" s="15">
        <v>6.0829999999999999E-4</v>
      </c>
    </row>
    <row r="2140" spans="1:3" x14ac:dyDescent="0.45">
      <c r="A2140" s="11">
        <v>38.11</v>
      </c>
      <c r="B2140" s="14">
        <v>7.9372000000000004E-4</v>
      </c>
      <c r="C2140" s="15">
        <v>6.0882999999999998E-4</v>
      </c>
    </row>
    <row r="2141" spans="1:3" x14ac:dyDescent="0.45">
      <c r="A2141" s="11">
        <v>38.119999999999997</v>
      </c>
      <c r="B2141" s="14">
        <v>7.9423999999999999E-4</v>
      </c>
      <c r="C2141" s="15">
        <v>6.0935999999999998E-4</v>
      </c>
    </row>
    <row r="2142" spans="1:3" x14ac:dyDescent="0.45">
      <c r="A2142" s="11">
        <v>38.130000000000003</v>
      </c>
      <c r="B2142" s="14">
        <v>7.9476000000000004E-4</v>
      </c>
      <c r="C2142" s="15">
        <v>6.0988999999999998E-4</v>
      </c>
    </row>
    <row r="2143" spans="1:3" x14ac:dyDescent="0.45">
      <c r="A2143" s="11">
        <v>38.14</v>
      </c>
      <c r="B2143" s="14">
        <v>7.9527999999999999E-4</v>
      </c>
      <c r="C2143" s="15">
        <v>6.1041999999999997E-4</v>
      </c>
    </row>
    <row r="2144" spans="1:3" x14ac:dyDescent="0.45">
      <c r="A2144" s="11">
        <v>38.15</v>
      </c>
      <c r="B2144" s="14">
        <v>7.9580000000000004E-4</v>
      </c>
      <c r="C2144" s="15">
        <v>6.1094999999999997E-4</v>
      </c>
    </row>
    <row r="2145" spans="1:3" x14ac:dyDescent="0.45">
      <c r="A2145" s="11">
        <v>38.159999999999997</v>
      </c>
      <c r="B2145" s="14">
        <v>7.9631999999999999E-4</v>
      </c>
      <c r="C2145" s="15">
        <v>6.1147999999999997E-4</v>
      </c>
    </row>
    <row r="2146" spans="1:3" x14ac:dyDescent="0.45">
      <c r="A2146" s="11">
        <v>38.17</v>
      </c>
      <c r="B2146" s="14">
        <v>7.9684000000000005E-4</v>
      </c>
      <c r="C2146" s="15">
        <v>6.1200999999999996E-4</v>
      </c>
    </row>
    <row r="2147" spans="1:3" x14ac:dyDescent="0.45">
      <c r="A2147" s="11">
        <v>38.18</v>
      </c>
      <c r="B2147" s="14">
        <v>7.9736E-4</v>
      </c>
      <c r="C2147" s="15">
        <v>6.1253999999999996E-4</v>
      </c>
    </row>
    <row r="2148" spans="1:3" x14ac:dyDescent="0.45">
      <c r="A2148" s="11">
        <v>38.19</v>
      </c>
      <c r="B2148" s="14">
        <v>7.9788000000000005E-4</v>
      </c>
      <c r="C2148" s="15">
        <v>6.1306999999999996E-4</v>
      </c>
    </row>
    <row r="2149" spans="1:3" x14ac:dyDescent="0.45">
      <c r="A2149" s="11">
        <v>38.200000000000003</v>
      </c>
      <c r="B2149" s="14">
        <v>7.984E-4</v>
      </c>
      <c r="C2149" s="15">
        <v>6.1359999999999995E-4</v>
      </c>
    </row>
    <row r="2150" spans="1:3" x14ac:dyDescent="0.45">
      <c r="A2150" s="11">
        <v>38.21</v>
      </c>
      <c r="B2150" s="14">
        <v>7.9891999999999995E-4</v>
      </c>
      <c r="C2150" s="15">
        <v>6.1412999999999995E-4</v>
      </c>
    </row>
    <row r="2151" spans="1:3" x14ac:dyDescent="0.45">
      <c r="A2151" s="11">
        <v>38.22</v>
      </c>
      <c r="B2151" s="14">
        <v>7.9944E-4</v>
      </c>
      <c r="C2151" s="15">
        <v>6.1465999999999995E-4</v>
      </c>
    </row>
    <row r="2152" spans="1:3" x14ac:dyDescent="0.45">
      <c r="A2152" s="11">
        <v>38.229999999999997</v>
      </c>
      <c r="B2152" s="14">
        <v>7.9995999999999995E-4</v>
      </c>
      <c r="C2152" s="15">
        <v>6.1519000000000005E-4</v>
      </c>
    </row>
    <row r="2153" spans="1:3" x14ac:dyDescent="0.45">
      <c r="A2153" s="11">
        <v>38.24</v>
      </c>
      <c r="B2153" s="14">
        <v>8.0048000000000001E-4</v>
      </c>
      <c r="C2153" s="15">
        <v>6.1572000000000005E-4</v>
      </c>
    </row>
    <row r="2154" spans="1:3" x14ac:dyDescent="0.45">
      <c r="A2154" s="11">
        <v>38.25</v>
      </c>
      <c r="B2154" s="14">
        <v>8.0099999999999995E-4</v>
      </c>
      <c r="C2154" s="15">
        <v>6.1625000000000004E-4</v>
      </c>
    </row>
    <row r="2155" spans="1:3" x14ac:dyDescent="0.45">
      <c r="A2155" s="11">
        <v>38.26</v>
      </c>
      <c r="B2155" s="14">
        <v>8.0152000000000001E-4</v>
      </c>
      <c r="C2155" s="15">
        <v>6.1678000000000004E-4</v>
      </c>
    </row>
    <row r="2156" spans="1:3" x14ac:dyDescent="0.45">
      <c r="A2156" s="11">
        <v>38.270000000000003</v>
      </c>
      <c r="B2156" s="14">
        <v>8.0203999999999996E-4</v>
      </c>
      <c r="C2156" s="15">
        <v>6.1731000000000004E-4</v>
      </c>
    </row>
    <row r="2157" spans="1:3" x14ac:dyDescent="0.45">
      <c r="A2157" s="11">
        <v>38.28</v>
      </c>
      <c r="B2157" s="14">
        <v>8.0256000000000001E-4</v>
      </c>
      <c r="C2157" s="15">
        <v>6.1784000000000003E-4</v>
      </c>
    </row>
    <row r="2158" spans="1:3" x14ac:dyDescent="0.45">
      <c r="A2158" s="11">
        <v>38.29</v>
      </c>
      <c r="B2158" s="14">
        <v>8.0307999999999996E-4</v>
      </c>
      <c r="C2158" s="15">
        <v>6.1837000000000003E-4</v>
      </c>
    </row>
    <row r="2159" spans="1:3" x14ac:dyDescent="0.45">
      <c r="A2159" s="11">
        <v>38.299999999999997</v>
      </c>
      <c r="B2159" s="14">
        <v>8.0360000000000002E-4</v>
      </c>
      <c r="C2159" s="15">
        <v>6.1890000000000003E-4</v>
      </c>
    </row>
    <row r="2160" spans="1:3" x14ac:dyDescent="0.45">
      <c r="A2160" s="11">
        <v>38.31</v>
      </c>
      <c r="B2160" s="14">
        <v>8.0411999999999997E-4</v>
      </c>
      <c r="C2160" s="15">
        <v>6.1943000000000002E-4</v>
      </c>
    </row>
    <row r="2161" spans="1:3" x14ac:dyDescent="0.45">
      <c r="A2161" s="11">
        <v>38.32</v>
      </c>
      <c r="B2161" s="14">
        <v>8.0464000000000002E-4</v>
      </c>
      <c r="C2161" s="15">
        <v>6.1996000000000002E-4</v>
      </c>
    </row>
    <row r="2162" spans="1:3" x14ac:dyDescent="0.45">
      <c r="A2162" s="11">
        <v>38.33</v>
      </c>
      <c r="B2162" s="14">
        <v>8.0515999999999997E-4</v>
      </c>
      <c r="C2162" s="15">
        <v>6.2049000000000002E-4</v>
      </c>
    </row>
    <row r="2163" spans="1:3" x14ac:dyDescent="0.45">
      <c r="A2163" s="11">
        <v>38.340000000000003</v>
      </c>
      <c r="B2163" s="14">
        <v>8.0568000000000002E-4</v>
      </c>
      <c r="C2163" s="15">
        <v>6.2102000000000001E-4</v>
      </c>
    </row>
    <row r="2164" spans="1:3" x14ac:dyDescent="0.45">
      <c r="A2164" s="11">
        <v>38.35</v>
      </c>
      <c r="B2164" s="14">
        <v>8.0619999999999997E-4</v>
      </c>
      <c r="C2164" s="15">
        <v>6.2155000000000001E-4</v>
      </c>
    </row>
    <row r="2165" spans="1:3" x14ac:dyDescent="0.45">
      <c r="A2165" s="11">
        <v>38.36</v>
      </c>
      <c r="B2165" s="14">
        <v>8.0672000000000003E-4</v>
      </c>
      <c r="C2165" s="15">
        <v>6.2208000000000001E-4</v>
      </c>
    </row>
    <row r="2166" spans="1:3" x14ac:dyDescent="0.45">
      <c r="A2166" s="11">
        <v>38.369999999999997</v>
      </c>
      <c r="B2166" s="14">
        <v>8.0723999999999998E-4</v>
      </c>
      <c r="C2166" s="15">
        <v>6.2261E-4</v>
      </c>
    </row>
    <row r="2167" spans="1:3" x14ac:dyDescent="0.45">
      <c r="A2167" s="11">
        <v>38.380000000000003</v>
      </c>
      <c r="B2167" s="14">
        <v>8.0776000000000003E-4</v>
      </c>
      <c r="C2167" s="15">
        <v>6.2314E-4</v>
      </c>
    </row>
    <row r="2168" spans="1:3" x14ac:dyDescent="0.45">
      <c r="A2168" s="11">
        <v>38.39</v>
      </c>
      <c r="B2168" s="14">
        <v>8.0827999999999998E-4</v>
      </c>
      <c r="C2168" s="15">
        <v>6.2367E-4</v>
      </c>
    </row>
    <row r="2169" spans="1:3" x14ac:dyDescent="0.45">
      <c r="A2169" s="11">
        <v>38.4</v>
      </c>
      <c r="B2169" s="14">
        <v>8.0880000000000004E-4</v>
      </c>
      <c r="C2169" s="15">
        <v>6.2419999999999999E-4</v>
      </c>
    </row>
    <row r="2170" spans="1:3" x14ac:dyDescent="0.45">
      <c r="A2170" s="11">
        <v>38.409999999999997</v>
      </c>
      <c r="B2170" s="14">
        <v>8.0931999999999998E-4</v>
      </c>
      <c r="C2170" s="15">
        <v>6.2472999999999999E-4</v>
      </c>
    </row>
    <row r="2171" spans="1:3" x14ac:dyDescent="0.45">
      <c r="A2171" s="11">
        <v>38.42</v>
      </c>
      <c r="B2171" s="14">
        <v>8.0984000000000004E-4</v>
      </c>
      <c r="C2171" s="15">
        <v>6.2525999999999999E-4</v>
      </c>
    </row>
    <row r="2172" spans="1:3" x14ac:dyDescent="0.45">
      <c r="A2172" s="11">
        <v>38.43</v>
      </c>
      <c r="B2172" s="14">
        <v>8.1035999999999999E-4</v>
      </c>
      <c r="C2172" s="15">
        <v>6.2578999999999998E-4</v>
      </c>
    </row>
    <row r="2173" spans="1:3" x14ac:dyDescent="0.45">
      <c r="A2173" s="11">
        <v>38.44</v>
      </c>
      <c r="B2173" s="14">
        <v>8.1088000000000004E-4</v>
      </c>
      <c r="C2173" s="15">
        <v>6.2631999999999998E-4</v>
      </c>
    </row>
    <row r="2174" spans="1:3" x14ac:dyDescent="0.45">
      <c r="A2174" s="11">
        <v>38.450000000000003</v>
      </c>
      <c r="B2174" s="14">
        <v>8.1139999999999999E-4</v>
      </c>
      <c r="C2174" s="15">
        <v>6.2684999999999998E-4</v>
      </c>
    </row>
    <row r="2175" spans="1:3" x14ac:dyDescent="0.45">
      <c r="A2175" s="11">
        <v>38.46</v>
      </c>
      <c r="B2175" s="14">
        <v>8.1192000000000005E-4</v>
      </c>
      <c r="C2175" s="15">
        <v>6.2737999999999997E-4</v>
      </c>
    </row>
    <row r="2176" spans="1:3" x14ac:dyDescent="0.45">
      <c r="A2176" s="11">
        <v>38.47</v>
      </c>
      <c r="B2176" s="14">
        <v>8.1243999999999999E-4</v>
      </c>
      <c r="C2176" s="15">
        <v>6.2790999999999997E-4</v>
      </c>
    </row>
    <row r="2177" spans="1:3" x14ac:dyDescent="0.45">
      <c r="A2177" s="11">
        <v>38.479999999999997</v>
      </c>
      <c r="B2177" s="14">
        <v>8.1296000000000005E-4</v>
      </c>
      <c r="C2177" s="15">
        <v>6.2843999999999997E-4</v>
      </c>
    </row>
    <row r="2178" spans="1:3" x14ac:dyDescent="0.45">
      <c r="A2178" s="11">
        <v>38.49</v>
      </c>
      <c r="B2178" s="14">
        <v>8.1348E-4</v>
      </c>
      <c r="C2178" s="15">
        <v>6.2896999999999996E-4</v>
      </c>
    </row>
    <row r="2179" spans="1:3" x14ac:dyDescent="0.45">
      <c r="A2179" s="11">
        <v>38.5</v>
      </c>
      <c r="B2179" s="14">
        <v>8.1400000000000005E-4</v>
      </c>
      <c r="C2179" s="15">
        <v>6.2949999999999996E-4</v>
      </c>
    </row>
    <row r="2180" spans="1:3" x14ac:dyDescent="0.45">
      <c r="A2180" s="11">
        <v>38.51</v>
      </c>
      <c r="B2180" s="14">
        <v>8.1452E-4</v>
      </c>
      <c r="C2180" s="15">
        <v>6.3002999999999996E-4</v>
      </c>
    </row>
    <row r="2181" spans="1:3" x14ac:dyDescent="0.45">
      <c r="A2181" s="11">
        <v>38.520000000000003</v>
      </c>
      <c r="B2181" s="14">
        <v>8.1503999999999995E-4</v>
      </c>
      <c r="C2181" s="15">
        <v>6.3055999999999995E-4</v>
      </c>
    </row>
    <row r="2182" spans="1:3" x14ac:dyDescent="0.45">
      <c r="A2182" s="11">
        <v>38.53</v>
      </c>
      <c r="B2182" s="14">
        <v>8.1556E-4</v>
      </c>
      <c r="C2182" s="15">
        <v>6.3108999999999995E-4</v>
      </c>
    </row>
    <row r="2183" spans="1:3" x14ac:dyDescent="0.45">
      <c r="A2183" s="11">
        <v>38.54</v>
      </c>
      <c r="B2183" s="14">
        <v>8.1607999999999995E-4</v>
      </c>
      <c r="C2183" s="15">
        <v>6.3161999999999995E-4</v>
      </c>
    </row>
    <row r="2184" spans="1:3" x14ac:dyDescent="0.45">
      <c r="A2184" s="11">
        <v>38.549999999999997</v>
      </c>
      <c r="B2184" s="14">
        <v>8.1660000000000001E-4</v>
      </c>
      <c r="C2184" s="15">
        <v>6.3215000000000005E-4</v>
      </c>
    </row>
    <row r="2185" spans="1:3" x14ac:dyDescent="0.45">
      <c r="A2185" s="11">
        <v>38.56</v>
      </c>
      <c r="B2185" s="14">
        <v>8.1711999999999996E-4</v>
      </c>
      <c r="C2185" s="15">
        <v>6.3268000000000005E-4</v>
      </c>
    </row>
    <row r="2186" spans="1:3" x14ac:dyDescent="0.45">
      <c r="A2186" s="11">
        <v>38.57</v>
      </c>
      <c r="B2186" s="14">
        <v>8.1764000000000001E-4</v>
      </c>
      <c r="C2186" s="15">
        <v>6.3321000000000004E-4</v>
      </c>
    </row>
    <row r="2187" spans="1:3" x14ac:dyDescent="0.45">
      <c r="A2187" s="11">
        <v>38.58</v>
      </c>
      <c r="B2187" s="14">
        <v>8.1815999999999996E-4</v>
      </c>
      <c r="C2187" s="15">
        <v>6.3374000000000004E-4</v>
      </c>
    </row>
    <row r="2188" spans="1:3" x14ac:dyDescent="0.45">
      <c r="A2188" s="11">
        <v>38.590000000000003</v>
      </c>
      <c r="B2188" s="14">
        <v>8.1868000000000002E-4</v>
      </c>
      <c r="C2188" s="15">
        <v>6.3427000000000004E-4</v>
      </c>
    </row>
    <row r="2189" spans="1:3" x14ac:dyDescent="0.45">
      <c r="A2189" s="11">
        <v>38.6</v>
      </c>
      <c r="B2189" s="14">
        <v>8.1919999999999996E-4</v>
      </c>
      <c r="C2189" s="15">
        <v>6.3480000000000003E-4</v>
      </c>
    </row>
    <row r="2190" spans="1:3" x14ac:dyDescent="0.45">
      <c r="A2190" s="11">
        <v>38.61</v>
      </c>
      <c r="B2190" s="14">
        <v>8.1972000000000002E-4</v>
      </c>
      <c r="C2190" s="15">
        <v>6.3533000000000003E-4</v>
      </c>
    </row>
    <row r="2191" spans="1:3" x14ac:dyDescent="0.45">
      <c r="A2191" s="11">
        <v>38.619999999999997</v>
      </c>
      <c r="B2191" s="14">
        <v>8.2023999999999997E-4</v>
      </c>
      <c r="C2191" s="15">
        <v>6.3586000000000003E-4</v>
      </c>
    </row>
    <row r="2192" spans="1:3" x14ac:dyDescent="0.45">
      <c r="A2192" s="11">
        <v>38.630000000000003</v>
      </c>
      <c r="B2192" s="14">
        <v>8.2076000000000002E-4</v>
      </c>
      <c r="C2192" s="15">
        <v>6.3639000000000002E-4</v>
      </c>
    </row>
    <row r="2193" spans="1:3" x14ac:dyDescent="0.45">
      <c r="A2193" s="11">
        <v>38.64</v>
      </c>
      <c r="B2193" s="14">
        <v>8.2127999999999997E-4</v>
      </c>
      <c r="C2193" s="15">
        <v>6.3692000000000002E-4</v>
      </c>
    </row>
    <row r="2194" spans="1:3" x14ac:dyDescent="0.45">
      <c r="A2194" s="11">
        <v>38.65</v>
      </c>
      <c r="B2194" s="14">
        <v>8.2180000000000003E-4</v>
      </c>
      <c r="C2194" s="15">
        <v>6.3745000000000002E-4</v>
      </c>
    </row>
    <row r="2195" spans="1:3" x14ac:dyDescent="0.45">
      <c r="A2195" s="11">
        <v>38.659999999999997</v>
      </c>
      <c r="B2195" s="14">
        <v>8.2231999999999997E-4</v>
      </c>
      <c r="C2195" s="15">
        <v>6.3798000000000001E-4</v>
      </c>
    </row>
    <row r="2196" spans="1:3" x14ac:dyDescent="0.45">
      <c r="A2196" s="11">
        <v>38.67</v>
      </c>
      <c r="B2196" s="14">
        <v>8.2284000000000003E-4</v>
      </c>
      <c r="C2196" s="15">
        <v>6.3851000000000001E-4</v>
      </c>
    </row>
    <row r="2197" spans="1:3" x14ac:dyDescent="0.45">
      <c r="A2197" s="11">
        <v>38.68</v>
      </c>
      <c r="B2197" s="14">
        <v>8.2335999999999998E-4</v>
      </c>
      <c r="C2197" s="15">
        <v>6.3904000000000001E-4</v>
      </c>
    </row>
    <row r="2198" spans="1:3" x14ac:dyDescent="0.45">
      <c r="A2198" s="11">
        <v>38.69</v>
      </c>
      <c r="B2198" s="14">
        <v>8.2388000000000003E-4</v>
      </c>
      <c r="C2198" s="15">
        <v>6.3957E-4</v>
      </c>
    </row>
    <row r="2199" spans="1:3" x14ac:dyDescent="0.45">
      <c r="A2199" s="11">
        <v>38.700000000000003</v>
      </c>
      <c r="B2199" s="14">
        <v>8.2439999999999998E-4</v>
      </c>
      <c r="C2199" s="15">
        <v>6.401E-4</v>
      </c>
    </row>
    <row r="2200" spans="1:3" x14ac:dyDescent="0.45">
      <c r="A2200" s="11">
        <v>38.71</v>
      </c>
      <c r="B2200" s="14">
        <v>8.2492000000000004E-4</v>
      </c>
      <c r="C2200" s="15">
        <v>6.4063E-4</v>
      </c>
    </row>
    <row r="2201" spans="1:3" x14ac:dyDescent="0.45">
      <c r="A2201" s="11">
        <v>38.72</v>
      </c>
      <c r="B2201" s="14">
        <v>8.2543999999999998E-4</v>
      </c>
      <c r="C2201" s="15">
        <v>6.4115999999999999E-4</v>
      </c>
    </row>
    <row r="2202" spans="1:3" x14ac:dyDescent="0.45">
      <c r="A2202" s="11">
        <v>38.729999999999997</v>
      </c>
      <c r="B2202" s="14">
        <v>8.2596000000000004E-4</v>
      </c>
      <c r="C2202" s="15">
        <v>6.4168999999999999E-4</v>
      </c>
    </row>
    <row r="2203" spans="1:3" x14ac:dyDescent="0.45">
      <c r="A2203" s="11">
        <v>38.74</v>
      </c>
      <c r="B2203" s="14">
        <v>8.2647999999999999E-4</v>
      </c>
      <c r="C2203" s="15">
        <v>6.4221999999999999E-4</v>
      </c>
    </row>
    <row r="2204" spans="1:3" x14ac:dyDescent="0.45">
      <c r="A2204" s="11">
        <v>38.75</v>
      </c>
      <c r="B2204" s="14">
        <v>8.2700000000000004E-4</v>
      </c>
      <c r="C2204" s="15">
        <v>6.4274999999999998E-4</v>
      </c>
    </row>
    <row r="2205" spans="1:3" x14ac:dyDescent="0.45">
      <c r="A2205" s="11">
        <v>38.76</v>
      </c>
      <c r="B2205" s="14">
        <v>8.2751999999999999E-4</v>
      </c>
      <c r="C2205" s="15">
        <v>6.4327999999999998E-4</v>
      </c>
    </row>
    <row r="2206" spans="1:3" x14ac:dyDescent="0.45">
      <c r="A2206" s="11">
        <v>38.770000000000003</v>
      </c>
      <c r="B2206" s="14">
        <v>8.2804000000000005E-4</v>
      </c>
      <c r="C2206" s="15">
        <v>6.4380999999999998E-4</v>
      </c>
    </row>
    <row r="2207" spans="1:3" x14ac:dyDescent="0.45">
      <c r="A2207" s="11">
        <v>38.78</v>
      </c>
      <c r="B2207" s="14">
        <v>8.2856E-4</v>
      </c>
      <c r="C2207" s="15">
        <v>6.4433999999999997E-4</v>
      </c>
    </row>
    <row r="2208" spans="1:3" x14ac:dyDescent="0.45">
      <c r="A2208" s="11">
        <v>38.79</v>
      </c>
      <c r="B2208" s="14">
        <v>8.2908000000000005E-4</v>
      </c>
      <c r="C2208" s="15">
        <v>6.4486999999999997E-4</v>
      </c>
    </row>
    <row r="2209" spans="1:3" x14ac:dyDescent="0.45">
      <c r="A2209" s="11">
        <v>38.799999999999997</v>
      </c>
      <c r="B2209" s="14">
        <v>8.296E-4</v>
      </c>
      <c r="C2209" s="15">
        <v>6.4539999999999997E-4</v>
      </c>
    </row>
    <row r="2210" spans="1:3" x14ac:dyDescent="0.45">
      <c r="A2210" s="11">
        <v>38.81</v>
      </c>
      <c r="B2210" s="14">
        <v>8.3011999999999995E-4</v>
      </c>
      <c r="C2210" s="15">
        <v>6.4592999999999996E-4</v>
      </c>
    </row>
    <row r="2211" spans="1:3" x14ac:dyDescent="0.45">
      <c r="A2211" s="11">
        <v>38.82</v>
      </c>
      <c r="B2211" s="14">
        <v>8.3064E-4</v>
      </c>
      <c r="C2211" s="15">
        <v>6.4645999999999996E-4</v>
      </c>
    </row>
    <row r="2212" spans="1:3" x14ac:dyDescent="0.45">
      <c r="A2212" s="11">
        <v>38.83</v>
      </c>
      <c r="B2212" s="14">
        <v>8.3115999999999995E-4</v>
      </c>
      <c r="C2212" s="15">
        <v>6.4698999999999996E-4</v>
      </c>
    </row>
    <row r="2213" spans="1:3" x14ac:dyDescent="0.45">
      <c r="A2213" s="11">
        <v>38.840000000000003</v>
      </c>
      <c r="B2213" s="14">
        <v>8.3168000000000001E-4</v>
      </c>
      <c r="C2213" s="15">
        <v>6.4751999999999995E-4</v>
      </c>
    </row>
    <row r="2214" spans="1:3" x14ac:dyDescent="0.45">
      <c r="A2214" s="11">
        <v>38.85</v>
      </c>
      <c r="B2214" s="14">
        <v>8.3219999999999995E-4</v>
      </c>
      <c r="C2214" s="15">
        <v>6.4804999999999995E-4</v>
      </c>
    </row>
    <row r="2215" spans="1:3" x14ac:dyDescent="0.45">
      <c r="A2215" s="11">
        <v>38.86</v>
      </c>
      <c r="B2215" s="14">
        <v>8.3272000000000001E-4</v>
      </c>
      <c r="C2215" s="15">
        <v>6.4857999999999995E-4</v>
      </c>
    </row>
    <row r="2216" spans="1:3" x14ac:dyDescent="0.45">
      <c r="A2216" s="11">
        <v>38.869999999999997</v>
      </c>
      <c r="B2216" s="14">
        <v>8.3323999999999996E-4</v>
      </c>
      <c r="C2216" s="15">
        <v>6.4911000000000005E-4</v>
      </c>
    </row>
    <row r="2217" spans="1:3" x14ac:dyDescent="0.45">
      <c r="A2217" s="11">
        <v>38.880000000000003</v>
      </c>
      <c r="B2217" s="14">
        <v>8.3376000000000001E-4</v>
      </c>
      <c r="C2217" s="15">
        <v>6.4964000000000005E-4</v>
      </c>
    </row>
    <row r="2218" spans="1:3" x14ac:dyDescent="0.45">
      <c r="A2218" s="11">
        <v>38.89</v>
      </c>
      <c r="B2218" s="14">
        <v>8.3427999999999996E-4</v>
      </c>
      <c r="C2218" s="15">
        <v>6.5017000000000004E-4</v>
      </c>
    </row>
    <row r="2219" spans="1:3" x14ac:dyDescent="0.45">
      <c r="A2219" s="11">
        <v>38.9</v>
      </c>
      <c r="B2219" s="14">
        <v>8.3480000000000002E-4</v>
      </c>
      <c r="C2219" s="15">
        <v>6.5070000000000004E-4</v>
      </c>
    </row>
    <row r="2220" spans="1:3" x14ac:dyDescent="0.45">
      <c r="A2220" s="11">
        <v>38.909999999999997</v>
      </c>
      <c r="B2220" s="14">
        <v>8.3531999999999996E-4</v>
      </c>
      <c r="C2220" s="15">
        <v>6.5123000000000004E-4</v>
      </c>
    </row>
    <row r="2221" spans="1:3" x14ac:dyDescent="0.45">
      <c r="A2221" s="11">
        <v>38.92</v>
      </c>
      <c r="B2221" s="14">
        <v>8.3584000000000002E-4</v>
      </c>
      <c r="C2221" s="15">
        <v>6.5176000000000003E-4</v>
      </c>
    </row>
    <row r="2222" spans="1:3" x14ac:dyDescent="0.45">
      <c r="A2222" s="11">
        <v>38.93</v>
      </c>
      <c r="B2222" s="14">
        <v>8.3635999999999997E-4</v>
      </c>
      <c r="C2222" s="15">
        <v>6.5229000000000003E-4</v>
      </c>
    </row>
    <row r="2223" spans="1:3" x14ac:dyDescent="0.45">
      <c r="A2223" s="11">
        <v>38.94</v>
      </c>
      <c r="B2223" s="14">
        <v>8.3688000000000002E-4</v>
      </c>
      <c r="C2223" s="15">
        <v>6.5282000000000003E-4</v>
      </c>
    </row>
    <row r="2224" spans="1:3" x14ac:dyDescent="0.45">
      <c r="A2224" s="11">
        <v>38.950000000000003</v>
      </c>
      <c r="B2224" s="14">
        <v>8.3739999999999997E-4</v>
      </c>
      <c r="C2224" s="15">
        <v>6.5335000000000002E-4</v>
      </c>
    </row>
    <row r="2225" spans="1:3" x14ac:dyDescent="0.45">
      <c r="A2225" s="11">
        <v>38.96</v>
      </c>
      <c r="B2225" s="14">
        <v>8.3792000000000003E-4</v>
      </c>
      <c r="C2225" s="15">
        <v>6.5388000000000002E-4</v>
      </c>
    </row>
    <row r="2226" spans="1:3" x14ac:dyDescent="0.45">
      <c r="A2226" s="11">
        <v>38.97</v>
      </c>
      <c r="B2226" s="14">
        <v>8.3843999999999998E-4</v>
      </c>
      <c r="C2226" s="15">
        <v>6.5441000000000002E-4</v>
      </c>
    </row>
    <row r="2227" spans="1:3" x14ac:dyDescent="0.45">
      <c r="A2227" s="11">
        <v>38.979999999999997</v>
      </c>
      <c r="B2227" s="14">
        <v>8.3896000000000003E-4</v>
      </c>
      <c r="C2227" s="15">
        <v>6.5494000000000001E-4</v>
      </c>
    </row>
    <row r="2228" spans="1:3" x14ac:dyDescent="0.45">
      <c r="A2228" s="11">
        <v>38.99</v>
      </c>
      <c r="B2228" s="14">
        <v>8.3947999999999998E-4</v>
      </c>
      <c r="C2228" s="15">
        <v>6.5547000000000001E-4</v>
      </c>
    </row>
    <row r="2229" spans="1:3" x14ac:dyDescent="0.45">
      <c r="A2229" s="11">
        <v>39</v>
      </c>
      <c r="B2229" s="14">
        <v>8.4000000000000003E-4</v>
      </c>
      <c r="C2229" s="15">
        <v>6.5600000000000001E-4</v>
      </c>
    </row>
    <row r="2230" spans="1:3" x14ac:dyDescent="0.45">
      <c r="A2230" s="11">
        <v>39.01</v>
      </c>
      <c r="B2230" s="14">
        <v>8.4062000000000004E-4</v>
      </c>
      <c r="C2230" s="15">
        <v>6.5658999999999997E-4</v>
      </c>
    </row>
    <row r="2231" spans="1:3" x14ac:dyDescent="0.45">
      <c r="A2231" s="11">
        <v>39.020000000000003</v>
      </c>
      <c r="B2231" s="14">
        <v>8.4124000000000004E-4</v>
      </c>
      <c r="C2231" s="15">
        <v>6.5718000000000005E-4</v>
      </c>
    </row>
    <row r="2232" spans="1:3" x14ac:dyDescent="0.45">
      <c r="A2232" s="11">
        <v>39.03</v>
      </c>
      <c r="B2232" s="14">
        <v>8.4186000000000005E-4</v>
      </c>
      <c r="C2232" s="15">
        <v>6.5777000000000001E-4</v>
      </c>
    </row>
    <row r="2233" spans="1:3" x14ac:dyDescent="0.45">
      <c r="A2233" s="11">
        <v>39.04</v>
      </c>
      <c r="B2233" s="14">
        <v>8.4248000000000005E-4</v>
      </c>
      <c r="C2233" s="15">
        <v>6.5835999999999998E-4</v>
      </c>
    </row>
    <row r="2234" spans="1:3" x14ac:dyDescent="0.45">
      <c r="A2234" s="11">
        <v>39.049999999999997</v>
      </c>
      <c r="B2234" s="14">
        <v>8.4309999999999995E-4</v>
      </c>
      <c r="C2234" s="15">
        <v>6.5895000000000005E-4</v>
      </c>
    </row>
    <row r="2235" spans="1:3" x14ac:dyDescent="0.45">
      <c r="A2235" s="11">
        <v>39.06</v>
      </c>
      <c r="B2235" s="14">
        <v>8.4371999999999995E-4</v>
      </c>
      <c r="C2235" s="15">
        <v>6.5954000000000002E-4</v>
      </c>
    </row>
    <row r="2236" spans="1:3" x14ac:dyDescent="0.45">
      <c r="A2236" s="11">
        <v>39.07</v>
      </c>
      <c r="B2236" s="14">
        <v>8.4433999999999996E-4</v>
      </c>
      <c r="C2236" s="15">
        <v>6.6012999999999998E-4</v>
      </c>
    </row>
    <row r="2237" spans="1:3" x14ac:dyDescent="0.45">
      <c r="A2237" s="11">
        <v>39.08</v>
      </c>
      <c r="B2237" s="14">
        <v>8.4495999999999996E-4</v>
      </c>
      <c r="C2237" s="15">
        <v>6.6071999999999995E-4</v>
      </c>
    </row>
    <row r="2238" spans="1:3" x14ac:dyDescent="0.45">
      <c r="A2238" s="11">
        <v>39.090000000000003</v>
      </c>
      <c r="B2238" s="14">
        <v>8.4557999999999996E-4</v>
      </c>
      <c r="C2238" s="15">
        <v>6.6131000000000002E-4</v>
      </c>
    </row>
    <row r="2239" spans="1:3" x14ac:dyDescent="0.45">
      <c r="A2239" s="11">
        <v>39.1</v>
      </c>
      <c r="B2239" s="14">
        <v>8.4619999999999997E-4</v>
      </c>
      <c r="C2239" s="15">
        <v>6.6189999999999999E-4</v>
      </c>
    </row>
    <row r="2240" spans="1:3" x14ac:dyDescent="0.45">
      <c r="A2240" s="11">
        <v>39.11</v>
      </c>
      <c r="B2240" s="14">
        <v>8.4681999999999997E-4</v>
      </c>
      <c r="C2240" s="15">
        <v>6.6248999999999995E-4</v>
      </c>
    </row>
    <row r="2241" spans="1:3" x14ac:dyDescent="0.45">
      <c r="A2241" s="11">
        <v>39.119999999999997</v>
      </c>
      <c r="B2241" s="14">
        <v>8.4743999999999998E-4</v>
      </c>
      <c r="C2241" s="15">
        <v>6.6308000000000003E-4</v>
      </c>
    </row>
    <row r="2242" spans="1:3" x14ac:dyDescent="0.45">
      <c r="A2242" s="11">
        <v>39.130000000000003</v>
      </c>
      <c r="B2242" s="14">
        <v>8.4805999999999998E-4</v>
      </c>
      <c r="C2242" s="15">
        <v>6.6366999999999999E-4</v>
      </c>
    </row>
    <row r="2243" spans="1:3" x14ac:dyDescent="0.45">
      <c r="A2243" s="11">
        <v>39.14</v>
      </c>
      <c r="B2243" s="14">
        <v>8.4867999999999999E-4</v>
      </c>
      <c r="C2243" s="15">
        <v>6.6425999999999996E-4</v>
      </c>
    </row>
    <row r="2244" spans="1:3" x14ac:dyDescent="0.45">
      <c r="A2244" s="11">
        <v>39.15</v>
      </c>
      <c r="B2244" s="14">
        <v>8.4929999999999999E-4</v>
      </c>
      <c r="C2244" s="15">
        <v>6.6485000000000003E-4</v>
      </c>
    </row>
    <row r="2245" spans="1:3" x14ac:dyDescent="0.45">
      <c r="A2245" s="11">
        <v>39.159999999999997</v>
      </c>
      <c r="B2245" s="14">
        <v>8.4991999999999999E-4</v>
      </c>
      <c r="C2245" s="15">
        <v>6.6544E-4</v>
      </c>
    </row>
    <row r="2246" spans="1:3" x14ac:dyDescent="0.45">
      <c r="A2246" s="11">
        <v>39.17</v>
      </c>
      <c r="B2246" s="14">
        <v>8.5054E-4</v>
      </c>
      <c r="C2246" s="15">
        <v>6.6602999999999996E-4</v>
      </c>
    </row>
    <row r="2247" spans="1:3" x14ac:dyDescent="0.45">
      <c r="A2247" s="11">
        <v>39.18</v>
      </c>
      <c r="B2247" s="14">
        <v>8.5116E-4</v>
      </c>
      <c r="C2247" s="15">
        <v>6.6662000000000004E-4</v>
      </c>
    </row>
    <row r="2248" spans="1:3" x14ac:dyDescent="0.45">
      <c r="A2248" s="11">
        <v>39.19</v>
      </c>
      <c r="B2248" s="14">
        <v>8.5178000000000001E-4</v>
      </c>
      <c r="C2248" s="15">
        <v>6.6721E-4</v>
      </c>
    </row>
    <row r="2249" spans="1:3" x14ac:dyDescent="0.45">
      <c r="A2249" s="11">
        <v>39.200000000000003</v>
      </c>
      <c r="B2249" s="14">
        <v>8.5240000000000001E-4</v>
      </c>
      <c r="C2249" s="15">
        <v>6.6779999999999997E-4</v>
      </c>
    </row>
    <row r="2250" spans="1:3" x14ac:dyDescent="0.45">
      <c r="A2250" s="11">
        <v>39.21</v>
      </c>
      <c r="B2250" s="14">
        <v>8.5302000000000002E-4</v>
      </c>
      <c r="C2250" s="15">
        <v>6.6839000000000004E-4</v>
      </c>
    </row>
    <row r="2251" spans="1:3" x14ac:dyDescent="0.45">
      <c r="A2251" s="11">
        <v>39.22</v>
      </c>
      <c r="B2251" s="14">
        <v>8.5364000000000002E-4</v>
      </c>
      <c r="C2251" s="15">
        <v>6.6898000000000001E-4</v>
      </c>
    </row>
    <row r="2252" spans="1:3" x14ac:dyDescent="0.45">
      <c r="A2252" s="11">
        <v>39.229999999999997</v>
      </c>
      <c r="B2252" s="14">
        <v>8.5426000000000002E-4</v>
      </c>
      <c r="C2252" s="15">
        <v>6.6956999999999997E-4</v>
      </c>
    </row>
    <row r="2253" spans="1:3" x14ac:dyDescent="0.45">
      <c r="A2253" s="11">
        <v>39.24</v>
      </c>
      <c r="B2253" s="14">
        <v>8.5488000000000003E-4</v>
      </c>
      <c r="C2253" s="15">
        <v>6.7016000000000005E-4</v>
      </c>
    </row>
    <row r="2254" spans="1:3" x14ac:dyDescent="0.45">
      <c r="A2254" s="11">
        <v>39.25</v>
      </c>
      <c r="B2254" s="14">
        <v>8.5550000000000003E-4</v>
      </c>
      <c r="C2254" s="15">
        <v>6.7075000000000001E-4</v>
      </c>
    </row>
    <row r="2255" spans="1:3" x14ac:dyDescent="0.45">
      <c r="A2255" s="11">
        <v>39.26</v>
      </c>
      <c r="B2255" s="14">
        <v>8.5612000000000004E-4</v>
      </c>
      <c r="C2255" s="15">
        <v>6.7133999999999998E-4</v>
      </c>
    </row>
    <row r="2256" spans="1:3" x14ac:dyDescent="0.45">
      <c r="A2256" s="11">
        <v>39.270000000000003</v>
      </c>
      <c r="B2256" s="14">
        <v>8.5674000000000004E-4</v>
      </c>
      <c r="C2256" s="15">
        <v>6.7193000000000005E-4</v>
      </c>
    </row>
    <row r="2257" spans="1:3" x14ac:dyDescent="0.45">
      <c r="A2257" s="11">
        <v>39.28</v>
      </c>
      <c r="B2257" s="14">
        <v>8.5736000000000004E-4</v>
      </c>
      <c r="C2257" s="15">
        <v>6.7252000000000002E-4</v>
      </c>
    </row>
    <row r="2258" spans="1:3" x14ac:dyDescent="0.45">
      <c r="A2258" s="11">
        <v>39.29</v>
      </c>
      <c r="B2258" s="14">
        <v>8.5798000000000005E-4</v>
      </c>
      <c r="C2258" s="15">
        <v>6.7310999999999998E-4</v>
      </c>
    </row>
    <row r="2259" spans="1:3" x14ac:dyDescent="0.45">
      <c r="A2259" s="11">
        <v>39.299999999999997</v>
      </c>
      <c r="B2259" s="14">
        <v>8.5860000000000005E-4</v>
      </c>
      <c r="C2259" s="15">
        <v>6.7369999999999995E-4</v>
      </c>
    </row>
    <row r="2260" spans="1:3" x14ac:dyDescent="0.45">
      <c r="A2260" s="11">
        <v>39.31</v>
      </c>
      <c r="B2260" s="14">
        <v>8.5921999999999995E-4</v>
      </c>
      <c r="C2260" s="15">
        <v>6.7429000000000002E-4</v>
      </c>
    </row>
    <row r="2261" spans="1:3" x14ac:dyDescent="0.45">
      <c r="A2261" s="11">
        <v>39.32</v>
      </c>
      <c r="B2261" s="14">
        <v>8.5983999999999995E-4</v>
      </c>
      <c r="C2261" s="15">
        <v>6.7487999999999999E-4</v>
      </c>
    </row>
    <row r="2262" spans="1:3" x14ac:dyDescent="0.45">
      <c r="A2262" s="11">
        <v>39.33</v>
      </c>
      <c r="B2262" s="14">
        <v>8.6045999999999996E-4</v>
      </c>
      <c r="C2262" s="15">
        <v>6.7546999999999996E-4</v>
      </c>
    </row>
    <row r="2263" spans="1:3" x14ac:dyDescent="0.45">
      <c r="A2263" s="11">
        <v>39.340000000000003</v>
      </c>
      <c r="B2263" s="14">
        <v>8.6107999999999996E-4</v>
      </c>
      <c r="C2263" s="15">
        <v>6.7606000000000003E-4</v>
      </c>
    </row>
    <row r="2264" spans="1:3" x14ac:dyDescent="0.45">
      <c r="A2264" s="11">
        <v>39.35</v>
      </c>
      <c r="B2264" s="14">
        <v>8.6169999999999997E-4</v>
      </c>
      <c r="C2264" s="15">
        <v>6.7664999999999999E-4</v>
      </c>
    </row>
    <row r="2265" spans="1:3" x14ac:dyDescent="0.45">
      <c r="A2265" s="11">
        <v>39.36</v>
      </c>
      <c r="B2265" s="14">
        <v>8.6231999999999997E-4</v>
      </c>
      <c r="C2265" s="15">
        <v>6.7723999999999996E-4</v>
      </c>
    </row>
    <row r="2266" spans="1:3" x14ac:dyDescent="0.45">
      <c r="A2266" s="11">
        <v>39.369999999999997</v>
      </c>
      <c r="B2266" s="14">
        <v>8.6293999999999997E-4</v>
      </c>
      <c r="C2266" s="15">
        <v>6.7783000000000003E-4</v>
      </c>
    </row>
    <row r="2267" spans="1:3" x14ac:dyDescent="0.45">
      <c r="A2267" s="11">
        <v>39.380000000000003</v>
      </c>
      <c r="B2267" s="14">
        <v>8.6355999999999998E-4</v>
      </c>
      <c r="C2267" s="15">
        <v>6.7842E-4</v>
      </c>
    </row>
    <row r="2268" spans="1:3" x14ac:dyDescent="0.45">
      <c r="A2268" s="11">
        <v>39.39</v>
      </c>
      <c r="B2268" s="14">
        <v>8.6417999999999998E-4</v>
      </c>
      <c r="C2268" s="15">
        <v>6.7900999999999997E-4</v>
      </c>
    </row>
    <row r="2269" spans="1:3" x14ac:dyDescent="0.45">
      <c r="A2269" s="11">
        <v>39.4</v>
      </c>
      <c r="B2269" s="14">
        <v>8.6479999999999999E-4</v>
      </c>
      <c r="C2269" s="15">
        <v>6.7960000000000004E-4</v>
      </c>
    </row>
    <row r="2270" spans="1:3" x14ac:dyDescent="0.45">
      <c r="A2270" s="11">
        <v>39.409999999999997</v>
      </c>
      <c r="B2270" s="14">
        <v>8.6541999999999999E-4</v>
      </c>
      <c r="C2270" s="15">
        <v>6.8019E-4</v>
      </c>
    </row>
    <row r="2271" spans="1:3" x14ac:dyDescent="0.45">
      <c r="A2271" s="11">
        <v>39.42</v>
      </c>
      <c r="B2271" s="14">
        <v>8.6604E-4</v>
      </c>
      <c r="C2271" s="15">
        <v>6.8077999999999997E-4</v>
      </c>
    </row>
    <row r="2272" spans="1:3" x14ac:dyDescent="0.45">
      <c r="A2272" s="11">
        <v>39.43</v>
      </c>
      <c r="B2272" s="14">
        <v>8.6666E-4</v>
      </c>
      <c r="C2272" s="15">
        <v>6.8137000000000004E-4</v>
      </c>
    </row>
    <row r="2273" spans="1:3" x14ac:dyDescent="0.45">
      <c r="A2273" s="11">
        <v>39.44</v>
      </c>
      <c r="B2273" s="14">
        <v>8.6728E-4</v>
      </c>
      <c r="C2273" s="15">
        <v>6.8196000000000001E-4</v>
      </c>
    </row>
    <row r="2274" spans="1:3" x14ac:dyDescent="0.45">
      <c r="A2274" s="11">
        <v>39.450000000000003</v>
      </c>
      <c r="B2274" s="14">
        <v>8.6790000000000001E-4</v>
      </c>
      <c r="C2274" s="15">
        <v>6.8254999999999998E-4</v>
      </c>
    </row>
    <row r="2275" spans="1:3" x14ac:dyDescent="0.45">
      <c r="A2275" s="11">
        <v>39.46</v>
      </c>
      <c r="B2275" s="14">
        <v>8.6852000000000001E-4</v>
      </c>
      <c r="C2275" s="15">
        <v>6.8314000000000005E-4</v>
      </c>
    </row>
    <row r="2276" spans="1:3" x14ac:dyDescent="0.45">
      <c r="A2276" s="11">
        <v>39.47</v>
      </c>
      <c r="B2276" s="14">
        <v>8.6914000000000002E-4</v>
      </c>
      <c r="C2276" s="15">
        <v>6.8373000000000001E-4</v>
      </c>
    </row>
    <row r="2277" spans="1:3" x14ac:dyDescent="0.45">
      <c r="A2277" s="11">
        <v>39.479999999999997</v>
      </c>
      <c r="B2277" s="14">
        <v>8.6976000000000002E-4</v>
      </c>
      <c r="C2277" s="15">
        <v>6.8431999999999998E-4</v>
      </c>
    </row>
    <row r="2278" spans="1:3" x14ac:dyDescent="0.45">
      <c r="A2278" s="11">
        <v>39.49</v>
      </c>
      <c r="B2278" s="14">
        <v>8.7038000000000003E-4</v>
      </c>
      <c r="C2278" s="15">
        <v>6.8490999999999995E-4</v>
      </c>
    </row>
    <row r="2279" spans="1:3" x14ac:dyDescent="0.45">
      <c r="A2279" s="11">
        <v>39.5</v>
      </c>
      <c r="B2279" s="14">
        <v>8.7100000000000003E-4</v>
      </c>
      <c r="C2279" s="15">
        <v>6.8550000000000002E-4</v>
      </c>
    </row>
    <row r="2280" spans="1:3" x14ac:dyDescent="0.45">
      <c r="A2280" s="11">
        <v>39.51</v>
      </c>
      <c r="B2280" s="14">
        <v>8.7162000000000003E-4</v>
      </c>
      <c r="C2280" s="15">
        <v>6.8608999999999999E-4</v>
      </c>
    </row>
    <row r="2281" spans="1:3" x14ac:dyDescent="0.45">
      <c r="A2281" s="11">
        <v>39.520000000000003</v>
      </c>
      <c r="B2281" s="14">
        <v>8.7224000000000004E-4</v>
      </c>
      <c r="C2281" s="15">
        <v>6.8667999999999995E-4</v>
      </c>
    </row>
    <row r="2282" spans="1:3" x14ac:dyDescent="0.45">
      <c r="A2282" s="11">
        <v>39.53</v>
      </c>
      <c r="B2282" s="14">
        <v>8.7286000000000004E-4</v>
      </c>
      <c r="C2282" s="15">
        <v>6.8727000000000002E-4</v>
      </c>
    </row>
    <row r="2283" spans="1:3" x14ac:dyDescent="0.45">
      <c r="A2283" s="11">
        <v>39.54</v>
      </c>
      <c r="B2283" s="14">
        <v>8.7348000000000005E-4</v>
      </c>
      <c r="C2283" s="15">
        <v>6.8785999999999999E-4</v>
      </c>
    </row>
    <row r="2284" spans="1:3" x14ac:dyDescent="0.45">
      <c r="A2284" s="11">
        <v>39.549999999999997</v>
      </c>
      <c r="B2284" s="14">
        <v>8.7410000000000005E-4</v>
      </c>
      <c r="C2284" s="15">
        <v>6.8844999999999996E-4</v>
      </c>
    </row>
    <row r="2285" spans="1:3" x14ac:dyDescent="0.45">
      <c r="A2285" s="11">
        <v>39.56</v>
      </c>
      <c r="B2285" s="14">
        <v>8.7471999999999995E-4</v>
      </c>
      <c r="C2285" s="15">
        <v>6.8904000000000003E-4</v>
      </c>
    </row>
    <row r="2286" spans="1:3" x14ac:dyDescent="0.45">
      <c r="A2286" s="11">
        <v>39.57</v>
      </c>
      <c r="B2286" s="14">
        <v>8.7533999999999995E-4</v>
      </c>
      <c r="C2286" s="15">
        <v>6.8963E-4</v>
      </c>
    </row>
    <row r="2287" spans="1:3" x14ac:dyDescent="0.45">
      <c r="A2287" s="11">
        <v>39.58</v>
      </c>
      <c r="B2287" s="14">
        <v>8.7595999999999995E-4</v>
      </c>
      <c r="C2287" s="15">
        <v>6.9021999999999996E-4</v>
      </c>
    </row>
    <row r="2288" spans="1:3" x14ac:dyDescent="0.45">
      <c r="A2288" s="11">
        <v>39.590000000000003</v>
      </c>
      <c r="B2288" s="14">
        <v>8.7657999999999996E-4</v>
      </c>
      <c r="C2288" s="15">
        <v>6.9081000000000004E-4</v>
      </c>
    </row>
    <row r="2289" spans="1:3" x14ac:dyDescent="0.45">
      <c r="A2289" s="11">
        <v>39.6</v>
      </c>
      <c r="B2289" s="14">
        <v>8.7719999999999996E-4</v>
      </c>
      <c r="C2289" s="15">
        <v>6.914E-4</v>
      </c>
    </row>
    <row r="2290" spans="1:3" x14ac:dyDescent="0.45">
      <c r="A2290" s="11">
        <v>39.61</v>
      </c>
      <c r="B2290" s="14">
        <v>8.7781999999999997E-4</v>
      </c>
      <c r="C2290" s="15">
        <v>6.9198999999999997E-4</v>
      </c>
    </row>
    <row r="2291" spans="1:3" x14ac:dyDescent="0.45">
      <c r="A2291" s="11">
        <v>39.619999999999997</v>
      </c>
      <c r="B2291" s="14">
        <v>8.7843999999999997E-4</v>
      </c>
      <c r="C2291" s="15">
        <v>6.9258000000000004E-4</v>
      </c>
    </row>
    <row r="2292" spans="1:3" x14ac:dyDescent="0.45">
      <c r="A2292" s="11">
        <v>39.630000000000003</v>
      </c>
      <c r="B2292" s="14">
        <v>8.7905999999999998E-4</v>
      </c>
      <c r="C2292" s="15">
        <v>6.9317000000000001E-4</v>
      </c>
    </row>
    <row r="2293" spans="1:3" x14ac:dyDescent="0.45">
      <c r="A2293" s="11">
        <v>39.64</v>
      </c>
      <c r="B2293" s="14">
        <v>8.7967999999999998E-4</v>
      </c>
      <c r="C2293" s="15">
        <v>6.9375999999999997E-4</v>
      </c>
    </row>
    <row r="2294" spans="1:3" x14ac:dyDescent="0.45">
      <c r="A2294" s="11">
        <v>39.65</v>
      </c>
      <c r="B2294" s="14">
        <v>8.8029999999999998E-4</v>
      </c>
      <c r="C2294" s="15">
        <v>6.9435000000000005E-4</v>
      </c>
    </row>
    <row r="2295" spans="1:3" x14ac:dyDescent="0.45">
      <c r="A2295" s="11">
        <v>39.659999999999997</v>
      </c>
      <c r="B2295" s="14">
        <v>8.8091999999999999E-4</v>
      </c>
      <c r="C2295" s="15">
        <v>6.9494000000000001E-4</v>
      </c>
    </row>
    <row r="2296" spans="1:3" x14ac:dyDescent="0.45">
      <c r="A2296" s="11">
        <v>39.67</v>
      </c>
      <c r="B2296" s="14">
        <v>8.8153999999999999E-4</v>
      </c>
      <c r="C2296" s="15">
        <v>6.9552999999999998E-4</v>
      </c>
    </row>
    <row r="2297" spans="1:3" x14ac:dyDescent="0.45">
      <c r="A2297" s="11">
        <v>39.68</v>
      </c>
      <c r="B2297" s="14">
        <v>8.8216E-4</v>
      </c>
      <c r="C2297" s="15">
        <v>6.9612000000000005E-4</v>
      </c>
    </row>
    <row r="2298" spans="1:3" x14ac:dyDescent="0.45">
      <c r="A2298" s="11">
        <v>39.69</v>
      </c>
      <c r="B2298" s="14">
        <v>8.8278E-4</v>
      </c>
      <c r="C2298" s="15">
        <v>6.9671000000000002E-4</v>
      </c>
    </row>
    <row r="2299" spans="1:3" x14ac:dyDescent="0.45">
      <c r="A2299" s="11">
        <v>39.700000000000003</v>
      </c>
      <c r="B2299" s="14">
        <v>8.8340000000000001E-4</v>
      </c>
      <c r="C2299" s="15">
        <v>6.9729999999999998E-4</v>
      </c>
    </row>
    <row r="2300" spans="1:3" x14ac:dyDescent="0.45">
      <c r="A2300" s="11">
        <v>39.71</v>
      </c>
      <c r="B2300" s="14">
        <v>8.8402000000000001E-4</v>
      </c>
      <c r="C2300" s="15">
        <v>6.9788999999999995E-4</v>
      </c>
    </row>
    <row r="2301" spans="1:3" x14ac:dyDescent="0.45">
      <c r="A2301" s="11">
        <v>39.72</v>
      </c>
      <c r="B2301" s="14">
        <v>8.8464000000000001E-4</v>
      </c>
      <c r="C2301" s="15">
        <v>6.9848000000000002E-4</v>
      </c>
    </row>
    <row r="2302" spans="1:3" x14ac:dyDescent="0.45">
      <c r="A2302" s="11">
        <v>39.729999999999997</v>
      </c>
      <c r="B2302" s="14">
        <v>8.8526000000000002E-4</v>
      </c>
      <c r="C2302" s="15">
        <v>6.9906999999999999E-4</v>
      </c>
    </row>
    <row r="2303" spans="1:3" x14ac:dyDescent="0.45">
      <c r="A2303" s="11">
        <v>39.74</v>
      </c>
      <c r="B2303" s="14">
        <v>8.8588000000000002E-4</v>
      </c>
      <c r="C2303" s="15">
        <v>6.9965999999999995E-4</v>
      </c>
    </row>
    <row r="2304" spans="1:3" x14ac:dyDescent="0.45">
      <c r="A2304" s="11">
        <v>39.75</v>
      </c>
      <c r="B2304" s="14">
        <v>8.8650000000000003E-4</v>
      </c>
      <c r="C2304" s="15">
        <v>7.0025000000000003E-4</v>
      </c>
    </row>
    <row r="2305" spans="1:3" x14ac:dyDescent="0.45">
      <c r="A2305" s="11">
        <v>39.76</v>
      </c>
      <c r="B2305" s="14">
        <v>8.8712000000000003E-4</v>
      </c>
      <c r="C2305" s="15">
        <v>7.0083999999999999E-4</v>
      </c>
    </row>
    <row r="2306" spans="1:3" x14ac:dyDescent="0.45">
      <c r="A2306" s="11">
        <v>39.770000000000003</v>
      </c>
      <c r="B2306" s="14">
        <v>8.8774000000000004E-4</v>
      </c>
      <c r="C2306" s="15">
        <v>7.0142999999999996E-4</v>
      </c>
    </row>
    <row r="2307" spans="1:3" x14ac:dyDescent="0.45">
      <c r="A2307" s="11">
        <v>39.78</v>
      </c>
      <c r="B2307" s="14">
        <v>8.8836000000000004E-4</v>
      </c>
      <c r="C2307" s="15">
        <v>7.0202000000000003E-4</v>
      </c>
    </row>
    <row r="2308" spans="1:3" x14ac:dyDescent="0.45">
      <c r="A2308" s="11">
        <v>39.79</v>
      </c>
      <c r="B2308" s="14">
        <v>8.8898000000000004E-4</v>
      </c>
      <c r="C2308" s="15">
        <v>7.0261E-4</v>
      </c>
    </row>
    <row r="2309" spans="1:3" x14ac:dyDescent="0.45">
      <c r="A2309" s="11">
        <v>39.799999999999997</v>
      </c>
      <c r="B2309" s="14">
        <v>8.8960000000000005E-4</v>
      </c>
      <c r="C2309" s="15">
        <v>7.0319999999999996E-4</v>
      </c>
    </row>
    <row r="2310" spans="1:3" x14ac:dyDescent="0.45">
      <c r="A2310" s="11">
        <v>39.81</v>
      </c>
      <c r="B2310" s="14">
        <v>8.9022000000000005E-4</v>
      </c>
      <c r="C2310" s="15">
        <v>7.0379000000000004E-4</v>
      </c>
    </row>
    <row r="2311" spans="1:3" x14ac:dyDescent="0.45">
      <c r="A2311" s="11">
        <v>39.82</v>
      </c>
      <c r="B2311" s="14">
        <v>8.9083999999999995E-4</v>
      </c>
      <c r="C2311" s="15">
        <v>7.0438E-4</v>
      </c>
    </row>
    <row r="2312" spans="1:3" x14ac:dyDescent="0.45">
      <c r="A2312" s="11">
        <v>39.83</v>
      </c>
      <c r="B2312" s="14">
        <v>8.9145999999999995E-4</v>
      </c>
      <c r="C2312" s="15">
        <v>7.0496999999999997E-4</v>
      </c>
    </row>
    <row r="2313" spans="1:3" x14ac:dyDescent="0.45">
      <c r="A2313" s="11">
        <v>39.840000000000003</v>
      </c>
      <c r="B2313" s="14">
        <v>8.9207999999999996E-4</v>
      </c>
      <c r="C2313" s="15">
        <v>7.0556000000000004E-4</v>
      </c>
    </row>
    <row r="2314" spans="1:3" x14ac:dyDescent="0.45">
      <c r="A2314" s="11">
        <v>39.85</v>
      </c>
      <c r="B2314" s="14">
        <v>8.9269999999999996E-4</v>
      </c>
      <c r="C2314" s="15">
        <v>7.0615000000000001E-4</v>
      </c>
    </row>
    <row r="2315" spans="1:3" x14ac:dyDescent="0.45">
      <c r="A2315" s="11">
        <v>39.86</v>
      </c>
      <c r="B2315" s="14">
        <v>8.9331999999999996E-4</v>
      </c>
      <c r="C2315" s="15">
        <v>7.0673999999999997E-4</v>
      </c>
    </row>
    <row r="2316" spans="1:3" x14ac:dyDescent="0.45">
      <c r="A2316" s="11">
        <v>39.869999999999997</v>
      </c>
      <c r="B2316" s="14">
        <v>8.9393999999999997E-4</v>
      </c>
      <c r="C2316" s="15">
        <v>7.0733000000000005E-4</v>
      </c>
    </row>
    <row r="2317" spans="1:3" x14ac:dyDescent="0.45">
      <c r="A2317" s="11">
        <v>39.880000000000003</v>
      </c>
      <c r="B2317" s="14">
        <v>8.9455999999999997E-4</v>
      </c>
      <c r="C2317" s="15">
        <v>7.0792000000000001E-4</v>
      </c>
    </row>
    <row r="2318" spans="1:3" x14ac:dyDescent="0.45">
      <c r="A2318" s="11">
        <v>39.89</v>
      </c>
      <c r="B2318" s="14">
        <v>8.9517999999999998E-4</v>
      </c>
      <c r="C2318" s="15">
        <v>7.0850999999999998E-4</v>
      </c>
    </row>
    <row r="2319" spans="1:3" x14ac:dyDescent="0.45">
      <c r="A2319" s="11">
        <v>39.9</v>
      </c>
      <c r="B2319" s="14">
        <v>8.9579999999999998E-4</v>
      </c>
      <c r="C2319" s="15">
        <v>7.0910000000000005E-4</v>
      </c>
    </row>
    <row r="2320" spans="1:3" x14ac:dyDescent="0.45">
      <c r="A2320" s="11">
        <v>39.909999999999997</v>
      </c>
      <c r="B2320" s="14">
        <v>8.9641999999999999E-4</v>
      </c>
      <c r="C2320" s="15">
        <v>7.0969000000000002E-4</v>
      </c>
    </row>
    <row r="2321" spans="1:3" x14ac:dyDescent="0.45">
      <c r="A2321" s="11">
        <v>39.92</v>
      </c>
      <c r="B2321" s="14">
        <v>8.9703999999999999E-4</v>
      </c>
      <c r="C2321" s="15">
        <v>7.1027999999999998E-4</v>
      </c>
    </row>
    <row r="2322" spans="1:3" x14ac:dyDescent="0.45">
      <c r="A2322" s="11">
        <v>39.93</v>
      </c>
      <c r="B2322" s="14">
        <v>8.9765999999999999E-4</v>
      </c>
      <c r="C2322" s="15">
        <v>7.1086999999999995E-4</v>
      </c>
    </row>
    <row r="2323" spans="1:3" x14ac:dyDescent="0.45">
      <c r="A2323" s="11">
        <v>39.94</v>
      </c>
      <c r="B2323" s="14">
        <v>8.9828E-4</v>
      </c>
      <c r="C2323" s="15">
        <v>7.1146000000000002E-4</v>
      </c>
    </row>
    <row r="2324" spans="1:3" x14ac:dyDescent="0.45">
      <c r="A2324" s="11">
        <v>39.950000000000003</v>
      </c>
      <c r="B2324" s="14">
        <v>8.989E-4</v>
      </c>
      <c r="C2324" s="15">
        <v>7.1204999999999999E-4</v>
      </c>
    </row>
    <row r="2325" spans="1:3" x14ac:dyDescent="0.45">
      <c r="A2325" s="11">
        <v>39.96</v>
      </c>
      <c r="B2325" s="14">
        <v>8.9952000000000001E-4</v>
      </c>
      <c r="C2325" s="15">
        <v>7.1263999999999995E-4</v>
      </c>
    </row>
    <row r="2326" spans="1:3" x14ac:dyDescent="0.45">
      <c r="A2326" s="11">
        <v>39.97</v>
      </c>
      <c r="B2326" s="14">
        <v>9.0014000000000001E-4</v>
      </c>
      <c r="C2326" s="15">
        <v>7.1323000000000003E-4</v>
      </c>
    </row>
    <row r="2327" spans="1:3" x14ac:dyDescent="0.45">
      <c r="A2327" s="11">
        <v>39.979999999999997</v>
      </c>
      <c r="B2327" s="14">
        <v>9.0076000000000002E-4</v>
      </c>
      <c r="C2327" s="15">
        <v>7.1381999999999999E-4</v>
      </c>
    </row>
    <row r="2328" spans="1:3" x14ac:dyDescent="0.45">
      <c r="A2328" s="11">
        <v>39.99</v>
      </c>
      <c r="B2328" s="14">
        <v>9.0138000000000002E-4</v>
      </c>
      <c r="C2328" s="15">
        <v>7.1440999999999996E-4</v>
      </c>
    </row>
    <row r="2329" spans="1:3" x14ac:dyDescent="0.45">
      <c r="A2329" s="11">
        <v>40</v>
      </c>
      <c r="B2329" s="14">
        <v>9.0200000000000002E-4</v>
      </c>
      <c r="C2329" s="15">
        <v>7.1500000000000003E-4</v>
      </c>
    </row>
    <row r="2330" spans="1:3" x14ac:dyDescent="0.45">
      <c r="A2330" s="11">
        <v>40.01</v>
      </c>
      <c r="B2330" s="14">
        <v>9.0271999999999998E-4</v>
      </c>
      <c r="C2330" s="15">
        <v>7.1566000000000002E-4</v>
      </c>
    </row>
    <row r="2331" spans="1:3" x14ac:dyDescent="0.45">
      <c r="A2331" s="11">
        <v>40.020000000000003</v>
      </c>
      <c r="B2331" s="14">
        <v>9.0344000000000004E-4</v>
      </c>
      <c r="C2331" s="15">
        <v>7.1632E-4</v>
      </c>
    </row>
    <row r="2332" spans="1:3" x14ac:dyDescent="0.45">
      <c r="A2332" s="11">
        <v>40.03</v>
      </c>
      <c r="B2332" s="14">
        <v>9.0415999999999999E-4</v>
      </c>
      <c r="C2332" s="15">
        <v>7.1697999999999998E-4</v>
      </c>
    </row>
    <row r="2333" spans="1:3" x14ac:dyDescent="0.45">
      <c r="A2333" s="11">
        <v>40.04</v>
      </c>
      <c r="B2333" s="14">
        <v>9.0488000000000005E-4</v>
      </c>
      <c r="C2333" s="15">
        <v>7.1763999999999997E-4</v>
      </c>
    </row>
    <row r="2334" spans="1:3" x14ac:dyDescent="0.45">
      <c r="A2334" s="11">
        <v>40.049999999999997</v>
      </c>
      <c r="B2334" s="14">
        <v>9.056E-4</v>
      </c>
      <c r="C2334" s="15">
        <v>7.1829999999999995E-4</v>
      </c>
    </row>
    <row r="2335" spans="1:3" x14ac:dyDescent="0.45">
      <c r="A2335" s="11">
        <v>40.06</v>
      </c>
      <c r="B2335" s="14">
        <v>9.0631999999999996E-4</v>
      </c>
      <c r="C2335" s="15">
        <v>7.1896000000000004E-4</v>
      </c>
    </row>
    <row r="2336" spans="1:3" x14ac:dyDescent="0.45">
      <c r="A2336" s="11">
        <v>40.07</v>
      </c>
      <c r="B2336" s="14">
        <v>9.0704000000000002E-4</v>
      </c>
      <c r="C2336" s="15">
        <v>7.1962000000000003E-4</v>
      </c>
    </row>
    <row r="2337" spans="1:3" x14ac:dyDescent="0.45">
      <c r="A2337" s="11">
        <v>40.08</v>
      </c>
      <c r="B2337" s="14">
        <v>9.0775999999999997E-4</v>
      </c>
      <c r="C2337" s="15">
        <v>7.2028000000000001E-4</v>
      </c>
    </row>
    <row r="2338" spans="1:3" x14ac:dyDescent="0.45">
      <c r="A2338" s="11">
        <v>40.090000000000003</v>
      </c>
      <c r="B2338" s="14">
        <v>9.0848000000000003E-4</v>
      </c>
      <c r="C2338" s="15">
        <v>7.2093999999999999E-4</v>
      </c>
    </row>
    <row r="2339" spans="1:3" x14ac:dyDescent="0.45">
      <c r="A2339" s="11">
        <v>40.1</v>
      </c>
      <c r="B2339" s="14">
        <v>9.0919999999999998E-4</v>
      </c>
      <c r="C2339" s="15">
        <v>7.2159999999999998E-4</v>
      </c>
    </row>
    <row r="2340" spans="1:3" x14ac:dyDescent="0.45">
      <c r="A2340" s="11">
        <v>40.11</v>
      </c>
      <c r="B2340" s="14">
        <v>9.0992000000000004E-4</v>
      </c>
      <c r="C2340" s="15">
        <v>7.2225999999999996E-4</v>
      </c>
    </row>
    <row r="2341" spans="1:3" x14ac:dyDescent="0.45">
      <c r="A2341" s="11">
        <v>40.119999999999997</v>
      </c>
      <c r="B2341" s="14">
        <v>9.1064E-4</v>
      </c>
      <c r="C2341" s="15">
        <v>7.2292000000000005E-4</v>
      </c>
    </row>
    <row r="2342" spans="1:3" x14ac:dyDescent="0.45">
      <c r="A2342" s="11">
        <v>40.130000000000003</v>
      </c>
      <c r="B2342" s="14">
        <v>9.1135999999999995E-4</v>
      </c>
      <c r="C2342" s="15">
        <v>7.2358000000000003E-4</v>
      </c>
    </row>
    <row r="2343" spans="1:3" x14ac:dyDescent="0.45">
      <c r="A2343" s="11">
        <v>40.14</v>
      </c>
      <c r="B2343" s="14">
        <v>9.1208000000000001E-4</v>
      </c>
      <c r="C2343" s="15">
        <v>7.2424000000000002E-4</v>
      </c>
    </row>
    <row r="2344" spans="1:3" x14ac:dyDescent="0.45">
      <c r="A2344" s="11">
        <v>40.15</v>
      </c>
      <c r="B2344" s="14">
        <v>9.1279999999999996E-4</v>
      </c>
      <c r="C2344" s="15">
        <v>7.249E-4</v>
      </c>
    </row>
    <row r="2345" spans="1:3" x14ac:dyDescent="0.45">
      <c r="A2345" s="11">
        <v>40.159999999999997</v>
      </c>
      <c r="B2345" s="14">
        <v>9.1352000000000002E-4</v>
      </c>
      <c r="C2345" s="15">
        <v>7.2555999999999999E-4</v>
      </c>
    </row>
    <row r="2346" spans="1:3" x14ac:dyDescent="0.45">
      <c r="A2346" s="11">
        <v>40.17</v>
      </c>
      <c r="B2346" s="14">
        <v>9.1423999999999997E-4</v>
      </c>
      <c r="C2346" s="15">
        <v>7.2621999999999997E-4</v>
      </c>
    </row>
    <row r="2347" spans="1:3" x14ac:dyDescent="0.45">
      <c r="A2347" s="11">
        <v>40.18</v>
      </c>
      <c r="B2347" s="14">
        <v>9.1496000000000004E-4</v>
      </c>
      <c r="C2347" s="15">
        <v>7.2687999999999995E-4</v>
      </c>
    </row>
    <row r="2348" spans="1:3" x14ac:dyDescent="0.45">
      <c r="A2348" s="11">
        <v>40.19</v>
      </c>
      <c r="B2348" s="14">
        <v>9.1567999999999999E-4</v>
      </c>
      <c r="C2348" s="15">
        <v>7.2754000000000004E-4</v>
      </c>
    </row>
    <row r="2349" spans="1:3" x14ac:dyDescent="0.45">
      <c r="A2349" s="11">
        <v>40.200000000000003</v>
      </c>
      <c r="B2349" s="14">
        <v>9.1640000000000005E-4</v>
      </c>
      <c r="C2349" s="15">
        <v>7.2820000000000003E-4</v>
      </c>
    </row>
    <row r="2350" spans="1:3" x14ac:dyDescent="0.45">
      <c r="A2350" s="11">
        <v>40.21</v>
      </c>
      <c r="B2350" s="14">
        <v>9.1712E-4</v>
      </c>
      <c r="C2350" s="15">
        <v>7.2886000000000001E-4</v>
      </c>
    </row>
    <row r="2351" spans="1:3" x14ac:dyDescent="0.45">
      <c r="A2351" s="11">
        <v>40.22</v>
      </c>
      <c r="B2351" s="14">
        <v>9.1783999999999995E-4</v>
      </c>
      <c r="C2351" s="15">
        <v>7.2951999999999999E-4</v>
      </c>
    </row>
    <row r="2352" spans="1:3" x14ac:dyDescent="0.45">
      <c r="A2352" s="11">
        <v>40.229999999999997</v>
      </c>
      <c r="B2352" s="14">
        <v>9.1856000000000001E-4</v>
      </c>
      <c r="C2352" s="15">
        <v>7.3017999999999998E-4</v>
      </c>
    </row>
    <row r="2353" spans="1:3" x14ac:dyDescent="0.45">
      <c r="A2353" s="11">
        <v>40.24</v>
      </c>
      <c r="B2353" s="14">
        <v>9.1927999999999997E-4</v>
      </c>
      <c r="C2353" s="15">
        <v>7.3083999999999996E-4</v>
      </c>
    </row>
    <row r="2354" spans="1:3" x14ac:dyDescent="0.45">
      <c r="A2354" s="11">
        <v>40.25</v>
      </c>
      <c r="B2354" s="14">
        <v>9.2000000000000003E-4</v>
      </c>
      <c r="C2354" s="15">
        <v>7.3150000000000005E-4</v>
      </c>
    </row>
    <row r="2355" spans="1:3" x14ac:dyDescent="0.45">
      <c r="A2355" s="11">
        <v>40.26</v>
      </c>
      <c r="B2355" s="14">
        <v>9.2071999999999998E-4</v>
      </c>
      <c r="C2355" s="15">
        <v>7.3216000000000004E-4</v>
      </c>
    </row>
    <row r="2356" spans="1:3" x14ac:dyDescent="0.45">
      <c r="A2356" s="11">
        <v>40.270000000000003</v>
      </c>
      <c r="B2356" s="14">
        <v>9.2144000000000004E-4</v>
      </c>
      <c r="C2356" s="15">
        <v>7.3282000000000002E-4</v>
      </c>
    </row>
    <row r="2357" spans="1:3" x14ac:dyDescent="0.45">
      <c r="A2357" s="11">
        <v>40.28</v>
      </c>
      <c r="B2357" s="14">
        <v>9.2215999999999999E-4</v>
      </c>
      <c r="C2357" s="15">
        <v>7.3348E-4</v>
      </c>
    </row>
    <row r="2358" spans="1:3" x14ac:dyDescent="0.45">
      <c r="A2358" s="11">
        <v>40.29</v>
      </c>
      <c r="B2358" s="14">
        <v>9.2287999999999995E-4</v>
      </c>
      <c r="C2358" s="15">
        <v>7.3413999999999999E-4</v>
      </c>
    </row>
    <row r="2359" spans="1:3" x14ac:dyDescent="0.45">
      <c r="A2359" s="11">
        <v>40.299999999999997</v>
      </c>
      <c r="B2359" s="14">
        <v>9.2360000000000001E-4</v>
      </c>
      <c r="C2359" s="15">
        <v>7.3479999999999997E-4</v>
      </c>
    </row>
    <row r="2360" spans="1:3" x14ac:dyDescent="0.45">
      <c r="A2360" s="11">
        <v>40.31</v>
      </c>
      <c r="B2360" s="14">
        <v>9.2431999999999996E-4</v>
      </c>
      <c r="C2360" s="15">
        <v>7.3545999999999995E-4</v>
      </c>
    </row>
    <row r="2361" spans="1:3" x14ac:dyDescent="0.45">
      <c r="A2361" s="11">
        <v>40.32</v>
      </c>
      <c r="B2361" s="14">
        <v>9.2504000000000002E-4</v>
      </c>
      <c r="C2361" s="15">
        <v>7.3612000000000005E-4</v>
      </c>
    </row>
    <row r="2362" spans="1:3" x14ac:dyDescent="0.45">
      <c r="A2362" s="11">
        <v>40.33</v>
      </c>
      <c r="B2362" s="14">
        <v>9.2575999999999997E-4</v>
      </c>
      <c r="C2362" s="15">
        <v>7.3678000000000003E-4</v>
      </c>
    </row>
    <row r="2363" spans="1:3" x14ac:dyDescent="0.45">
      <c r="A2363" s="11">
        <v>40.340000000000003</v>
      </c>
      <c r="B2363" s="14">
        <v>9.2648000000000003E-4</v>
      </c>
      <c r="C2363" s="15">
        <v>7.3744000000000001E-4</v>
      </c>
    </row>
    <row r="2364" spans="1:3" x14ac:dyDescent="0.45">
      <c r="A2364" s="11">
        <v>40.35</v>
      </c>
      <c r="B2364" s="14">
        <v>9.2719999999999999E-4</v>
      </c>
      <c r="C2364" s="15">
        <v>7.381E-4</v>
      </c>
    </row>
    <row r="2365" spans="1:3" x14ac:dyDescent="0.45">
      <c r="A2365" s="11">
        <v>40.36</v>
      </c>
      <c r="B2365" s="14">
        <v>9.2792000000000005E-4</v>
      </c>
      <c r="C2365" s="15">
        <v>7.3875999999999998E-4</v>
      </c>
    </row>
    <row r="2366" spans="1:3" x14ac:dyDescent="0.45">
      <c r="A2366" s="11">
        <v>40.369999999999997</v>
      </c>
      <c r="B2366" s="14">
        <v>9.2864E-4</v>
      </c>
      <c r="C2366" s="15">
        <v>7.3941999999999996E-4</v>
      </c>
    </row>
    <row r="2367" spans="1:3" x14ac:dyDescent="0.45">
      <c r="A2367" s="11">
        <v>40.380000000000003</v>
      </c>
      <c r="B2367" s="14">
        <v>9.2935999999999995E-4</v>
      </c>
      <c r="C2367" s="15">
        <v>7.4007999999999995E-4</v>
      </c>
    </row>
    <row r="2368" spans="1:3" x14ac:dyDescent="0.45">
      <c r="A2368" s="11">
        <v>40.39</v>
      </c>
      <c r="B2368" s="14">
        <v>9.3008000000000001E-4</v>
      </c>
      <c r="C2368" s="15">
        <v>7.4074000000000004E-4</v>
      </c>
    </row>
    <row r="2369" spans="1:3" x14ac:dyDescent="0.45">
      <c r="A2369" s="11">
        <v>40.4</v>
      </c>
      <c r="B2369" s="14">
        <v>9.3079999999999997E-4</v>
      </c>
      <c r="C2369" s="15">
        <v>7.4140000000000002E-4</v>
      </c>
    </row>
    <row r="2370" spans="1:3" x14ac:dyDescent="0.45">
      <c r="A2370" s="11">
        <v>40.409999999999997</v>
      </c>
      <c r="B2370" s="14">
        <v>9.3152000000000003E-4</v>
      </c>
      <c r="C2370" s="15">
        <v>7.4206000000000001E-4</v>
      </c>
    </row>
    <row r="2371" spans="1:3" x14ac:dyDescent="0.45">
      <c r="A2371" s="11">
        <v>40.42</v>
      </c>
      <c r="B2371" s="14">
        <v>9.3223999999999998E-4</v>
      </c>
      <c r="C2371" s="15">
        <v>7.4271999999999999E-4</v>
      </c>
    </row>
    <row r="2372" spans="1:3" x14ac:dyDescent="0.45">
      <c r="A2372" s="11">
        <v>40.43</v>
      </c>
      <c r="B2372" s="14">
        <v>9.3296000000000004E-4</v>
      </c>
      <c r="C2372" s="15">
        <v>7.4337999999999997E-4</v>
      </c>
    </row>
    <row r="2373" spans="1:3" x14ac:dyDescent="0.45">
      <c r="A2373" s="11">
        <v>40.44</v>
      </c>
      <c r="B2373" s="14">
        <v>9.3367999999999999E-4</v>
      </c>
      <c r="C2373" s="15">
        <v>7.4403999999999996E-4</v>
      </c>
    </row>
    <row r="2374" spans="1:3" x14ac:dyDescent="0.45">
      <c r="A2374" s="11">
        <v>40.450000000000003</v>
      </c>
      <c r="B2374" s="14">
        <v>9.3440000000000005E-4</v>
      </c>
      <c r="C2374" s="15">
        <v>7.4470000000000005E-4</v>
      </c>
    </row>
    <row r="2375" spans="1:3" x14ac:dyDescent="0.45">
      <c r="A2375" s="11">
        <v>40.46</v>
      </c>
      <c r="B2375" s="14">
        <v>9.3512000000000001E-4</v>
      </c>
      <c r="C2375" s="15">
        <v>7.4536000000000003E-4</v>
      </c>
    </row>
    <row r="2376" spans="1:3" x14ac:dyDescent="0.45">
      <c r="A2376" s="11">
        <v>40.47</v>
      </c>
      <c r="B2376" s="14">
        <v>9.3583999999999996E-4</v>
      </c>
      <c r="C2376" s="15">
        <v>7.4602000000000002E-4</v>
      </c>
    </row>
    <row r="2377" spans="1:3" x14ac:dyDescent="0.45">
      <c r="A2377" s="11">
        <v>40.479999999999997</v>
      </c>
      <c r="B2377" s="14">
        <v>9.3656000000000002E-4</v>
      </c>
      <c r="C2377" s="15">
        <v>7.4668E-4</v>
      </c>
    </row>
    <row r="2378" spans="1:3" x14ac:dyDescent="0.45">
      <c r="A2378" s="11">
        <v>40.49</v>
      </c>
      <c r="B2378" s="14">
        <v>9.3727999999999997E-4</v>
      </c>
      <c r="C2378" s="15">
        <v>7.4733999999999998E-4</v>
      </c>
    </row>
    <row r="2379" spans="1:3" x14ac:dyDescent="0.45">
      <c r="A2379" s="11">
        <v>40.5</v>
      </c>
      <c r="B2379" s="14">
        <v>9.3800000000000003E-4</v>
      </c>
      <c r="C2379" s="15">
        <v>7.4799999999999997E-4</v>
      </c>
    </row>
    <row r="2380" spans="1:3" x14ac:dyDescent="0.45">
      <c r="A2380" s="11">
        <v>40.51</v>
      </c>
      <c r="B2380" s="14">
        <v>9.3871999999999998E-4</v>
      </c>
      <c r="C2380" s="15">
        <v>7.4865999999999995E-4</v>
      </c>
    </row>
    <row r="2381" spans="1:3" x14ac:dyDescent="0.45">
      <c r="A2381" s="11">
        <v>40.520000000000003</v>
      </c>
      <c r="B2381" s="14">
        <v>9.3944000000000004E-4</v>
      </c>
      <c r="C2381" s="15">
        <v>7.4932000000000004E-4</v>
      </c>
    </row>
    <row r="2382" spans="1:3" x14ac:dyDescent="0.45">
      <c r="A2382" s="11">
        <v>40.53</v>
      </c>
      <c r="B2382" s="14">
        <v>9.4016E-4</v>
      </c>
      <c r="C2382" s="15">
        <v>7.4998000000000003E-4</v>
      </c>
    </row>
    <row r="2383" spans="1:3" x14ac:dyDescent="0.45">
      <c r="A2383" s="11">
        <v>40.54</v>
      </c>
      <c r="B2383" s="14">
        <v>9.4087999999999995E-4</v>
      </c>
      <c r="C2383" s="15">
        <v>7.5064000000000001E-4</v>
      </c>
    </row>
    <row r="2384" spans="1:3" x14ac:dyDescent="0.45">
      <c r="A2384" s="11">
        <v>40.549999999999997</v>
      </c>
      <c r="B2384" s="14">
        <v>9.4160000000000001E-4</v>
      </c>
      <c r="C2384" s="15">
        <v>7.5129999999999999E-4</v>
      </c>
    </row>
    <row r="2385" spans="1:3" x14ac:dyDescent="0.45">
      <c r="A2385" s="11">
        <v>40.56</v>
      </c>
      <c r="B2385" s="14">
        <v>9.4231999999999996E-4</v>
      </c>
      <c r="C2385" s="15">
        <v>7.5195999999999998E-4</v>
      </c>
    </row>
    <row r="2386" spans="1:3" x14ac:dyDescent="0.45">
      <c r="A2386" s="11">
        <v>40.57</v>
      </c>
      <c r="B2386" s="14">
        <v>9.4304000000000002E-4</v>
      </c>
      <c r="C2386" s="15">
        <v>7.5261999999999996E-4</v>
      </c>
    </row>
    <row r="2387" spans="1:3" x14ac:dyDescent="0.45">
      <c r="A2387" s="11">
        <v>40.58</v>
      </c>
      <c r="B2387" s="14">
        <v>9.4375999999999998E-4</v>
      </c>
      <c r="C2387" s="15">
        <v>7.5328000000000005E-4</v>
      </c>
    </row>
    <row r="2388" spans="1:3" x14ac:dyDescent="0.45">
      <c r="A2388" s="11">
        <v>40.590000000000003</v>
      </c>
      <c r="B2388" s="14">
        <v>9.4448000000000004E-4</v>
      </c>
      <c r="C2388" s="15">
        <v>7.5394000000000004E-4</v>
      </c>
    </row>
    <row r="2389" spans="1:3" x14ac:dyDescent="0.45">
      <c r="A2389" s="11">
        <v>40.6</v>
      </c>
      <c r="B2389" s="14">
        <v>9.4519999999999999E-4</v>
      </c>
      <c r="C2389" s="15">
        <v>7.5460000000000002E-4</v>
      </c>
    </row>
    <row r="2390" spans="1:3" x14ac:dyDescent="0.45">
      <c r="A2390" s="11">
        <v>40.61</v>
      </c>
      <c r="B2390" s="14">
        <v>9.4592000000000005E-4</v>
      </c>
      <c r="C2390" s="15">
        <v>7.5526E-4</v>
      </c>
    </row>
    <row r="2391" spans="1:3" x14ac:dyDescent="0.45">
      <c r="A2391" s="11">
        <v>40.619999999999997</v>
      </c>
      <c r="B2391" s="14">
        <v>9.4664E-4</v>
      </c>
      <c r="C2391" s="15">
        <v>7.5591999999999999E-4</v>
      </c>
    </row>
    <row r="2392" spans="1:3" x14ac:dyDescent="0.45">
      <c r="A2392" s="11">
        <v>40.630000000000003</v>
      </c>
      <c r="B2392" s="14">
        <v>9.4735999999999996E-4</v>
      </c>
      <c r="C2392" s="15">
        <v>7.5657999999999997E-4</v>
      </c>
    </row>
    <row r="2393" spans="1:3" x14ac:dyDescent="0.45">
      <c r="A2393" s="11">
        <v>40.64</v>
      </c>
      <c r="B2393" s="14">
        <v>9.4808000000000002E-4</v>
      </c>
      <c r="C2393" s="15">
        <v>7.5723999999999995E-4</v>
      </c>
    </row>
    <row r="2394" spans="1:3" x14ac:dyDescent="0.45">
      <c r="A2394" s="11">
        <v>40.65</v>
      </c>
      <c r="B2394" s="14">
        <v>9.4879999999999997E-4</v>
      </c>
      <c r="C2394" s="15">
        <v>7.5790000000000005E-4</v>
      </c>
    </row>
    <row r="2395" spans="1:3" x14ac:dyDescent="0.45">
      <c r="A2395" s="11">
        <v>40.659999999999997</v>
      </c>
      <c r="B2395" s="14">
        <v>9.4952000000000003E-4</v>
      </c>
      <c r="C2395" s="15">
        <v>7.5856000000000003E-4</v>
      </c>
    </row>
    <row r="2396" spans="1:3" x14ac:dyDescent="0.45">
      <c r="A2396" s="11">
        <v>40.67</v>
      </c>
      <c r="B2396" s="14">
        <v>9.5023999999999998E-4</v>
      </c>
      <c r="C2396" s="15">
        <v>7.5922000000000001E-4</v>
      </c>
    </row>
    <row r="2397" spans="1:3" x14ac:dyDescent="0.45">
      <c r="A2397" s="11">
        <v>40.68</v>
      </c>
      <c r="B2397" s="14">
        <v>9.5096000000000004E-4</v>
      </c>
      <c r="C2397" s="15">
        <v>7.5988E-4</v>
      </c>
    </row>
    <row r="2398" spans="1:3" x14ac:dyDescent="0.45">
      <c r="A2398" s="11">
        <v>40.69</v>
      </c>
      <c r="B2398" s="14">
        <v>9.5168E-4</v>
      </c>
      <c r="C2398" s="15">
        <v>7.6053999999999998E-4</v>
      </c>
    </row>
    <row r="2399" spans="1:3" x14ac:dyDescent="0.45">
      <c r="A2399" s="11">
        <v>40.700000000000003</v>
      </c>
      <c r="B2399" s="14">
        <v>9.5239999999999995E-4</v>
      </c>
      <c r="C2399" s="15">
        <v>7.6119999999999996E-4</v>
      </c>
    </row>
    <row r="2400" spans="1:3" x14ac:dyDescent="0.45">
      <c r="A2400" s="11">
        <v>40.71</v>
      </c>
      <c r="B2400" s="14">
        <v>9.5312000000000001E-4</v>
      </c>
      <c r="C2400" s="15">
        <v>7.6185999999999995E-4</v>
      </c>
    </row>
    <row r="2401" spans="1:3" x14ac:dyDescent="0.45">
      <c r="A2401" s="11">
        <v>40.72</v>
      </c>
      <c r="B2401" s="14">
        <v>9.5383999999999996E-4</v>
      </c>
      <c r="C2401" s="15">
        <v>7.6252000000000004E-4</v>
      </c>
    </row>
    <row r="2402" spans="1:3" x14ac:dyDescent="0.45">
      <c r="A2402" s="11">
        <v>40.729999999999997</v>
      </c>
      <c r="B2402" s="14">
        <v>9.5456000000000002E-4</v>
      </c>
      <c r="C2402" s="15">
        <v>7.6318000000000002E-4</v>
      </c>
    </row>
    <row r="2403" spans="1:3" x14ac:dyDescent="0.45">
      <c r="A2403" s="11">
        <v>40.74</v>
      </c>
      <c r="B2403" s="14">
        <v>9.5527999999999997E-4</v>
      </c>
      <c r="C2403" s="15">
        <v>7.6384000000000001E-4</v>
      </c>
    </row>
    <row r="2404" spans="1:3" x14ac:dyDescent="0.45">
      <c r="A2404" s="11">
        <v>40.75</v>
      </c>
      <c r="B2404" s="14">
        <v>9.5600000000000004E-4</v>
      </c>
      <c r="C2404" s="15">
        <v>7.6449999999999999E-4</v>
      </c>
    </row>
    <row r="2405" spans="1:3" x14ac:dyDescent="0.45">
      <c r="A2405" s="11">
        <v>40.76</v>
      </c>
      <c r="B2405" s="14">
        <v>9.5671999999999999E-4</v>
      </c>
      <c r="C2405" s="15">
        <v>7.6515999999999997E-4</v>
      </c>
    </row>
    <row r="2406" spans="1:3" x14ac:dyDescent="0.45">
      <c r="A2406" s="11">
        <v>40.770000000000003</v>
      </c>
      <c r="B2406" s="14">
        <v>9.5744000000000005E-4</v>
      </c>
      <c r="C2406" s="15">
        <v>7.6581999999999996E-4</v>
      </c>
    </row>
    <row r="2407" spans="1:3" x14ac:dyDescent="0.45">
      <c r="A2407" s="11">
        <v>40.78</v>
      </c>
      <c r="B2407" s="14">
        <v>9.5816E-4</v>
      </c>
      <c r="C2407" s="15">
        <v>7.6648000000000005E-4</v>
      </c>
    </row>
    <row r="2408" spans="1:3" x14ac:dyDescent="0.45">
      <c r="A2408" s="11">
        <v>40.79</v>
      </c>
      <c r="B2408" s="14">
        <v>9.5887999999999995E-4</v>
      </c>
      <c r="C2408" s="15">
        <v>7.6714000000000003E-4</v>
      </c>
    </row>
    <row r="2409" spans="1:3" x14ac:dyDescent="0.45">
      <c r="A2409" s="11">
        <v>40.799999999999997</v>
      </c>
      <c r="B2409" s="14">
        <v>9.5960000000000001E-4</v>
      </c>
      <c r="C2409" s="15">
        <v>7.6780000000000001E-4</v>
      </c>
    </row>
    <row r="2410" spans="1:3" x14ac:dyDescent="0.45">
      <c r="A2410" s="11">
        <v>40.81</v>
      </c>
      <c r="B2410" s="14">
        <v>9.6031999999999997E-4</v>
      </c>
      <c r="C2410" s="15">
        <v>7.6846E-4</v>
      </c>
    </row>
    <row r="2411" spans="1:3" x14ac:dyDescent="0.45">
      <c r="A2411" s="11">
        <v>40.82</v>
      </c>
      <c r="B2411" s="14">
        <v>9.6104000000000003E-4</v>
      </c>
      <c r="C2411" s="15">
        <v>7.6911999999999998E-4</v>
      </c>
    </row>
    <row r="2412" spans="1:3" x14ac:dyDescent="0.45">
      <c r="A2412" s="11">
        <v>40.83</v>
      </c>
      <c r="B2412" s="14">
        <v>9.6175999999999998E-4</v>
      </c>
      <c r="C2412" s="15">
        <v>7.6977999999999997E-4</v>
      </c>
    </row>
    <row r="2413" spans="1:3" x14ac:dyDescent="0.45">
      <c r="A2413" s="11">
        <v>40.840000000000003</v>
      </c>
      <c r="B2413" s="14">
        <v>9.6248000000000004E-4</v>
      </c>
      <c r="C2413" s="15">
        <v>7.7043999999999995E-4</v>
      </c>
    </row>
    <row r="2414" spans="1:3" x14ac:dyDescent="0.45">
      <c r="A2414" s="11">
        <v>40.85</v>
      </c>
      <c r="B2414" s="14">
        <v>9.6319999999999999E-4</v>
      </c>
      <c r="C2414" s="15">
        <v>7.7110000000000004E-4</v>
      </c>
    </row>
    <row r="2415" spans="1:3" x14ac:dyDescent="0.45">
      <c r="A2415" s="11">
        <v>40.86</v>
      </c>
      <c r="B2415" s="14">
        <v>9.6391999999999995E-4</v>
      </c>
      <c r="C2415" s="15">
        <v>7.7176000000000002E-4</v>
      </c>
    </row>
    <row r="2416" spans="1:3" x14ac:dyDescent="0.45">
      <c r="A2416" s="11">
        <v>40.869999999999997</v>
      </c>
      <c r="B2416" s="14">
        <v>9.6464000000000001E-4</v>
      </c>
      <c r="C2416" s="15">
        <v>7.7242000000000001E-4</v>
      </c>
    </row>
    <row r="2417" spans="1:3" x14ac:dyDescent="0.45">
      <c r="A2417" s="11">
        <v>40.880000000000003</v>
      </c>
      <c r="B2417" s="14">
        <v>9.6535999999999996E-4</v>
      </c>
      <c r="C2417" s="15">
        <v>7.7307999999999999E-4</v>
      </c>
    </row>
    <row r="2418" spans="1:3" x14ac:dyDescent="0.45">
      <c r="A2418" s="11">
        <v>40.89</v>
      </c>
      <c r="B2418" s="14">
        <v>9.6608000000000002E-4</v>
      </c>
      <c r="C2418" s="15">
        <v>7.7373999999999997E-4</v>
      </c>
    </row>
    <row r="2419" spans="1:3" x14ac:dyDescent="0.45">
      <c r="A2419" s="11">
        <v>40.9</v>
      </c>
      <c r="B2419" s="14">
        <v>9.6679999999999997E-4</v>
      </c>
      <c r="C2419" s="15">
        <v>7.7439999999999996E-4</v>
      </c>
    </row>
    <row r="2420" spans="1:3" x14ac:dyDescent="0.45">
      <c r="A2420" s="11">
        <v>40.909999999999997</v>
      </c>
      <c r="B2420" s="14">
        <v>9.6752000000000003E-4</v>
      </c>
      <c r="C2420" s="15">
        <v>7.7506000000000005E-4</v>
      </c>
    </row>
    <row r="2421" spans="1:3" x14ac:dyDescent="0.45">
      <c r="A2421" s="11">
        <v>40.92</v>
      </c>
      <c r="B2421" s="14">
        <v>9.6823999999999999E-4</v>
      </c>
      <c r="C2421" s="15">
        <v>7.7572000000000003E-4</v>
      </c>
    </row>
    <row r="2422" spans="1:3" x14ac:dyDescent="0.45">
      <c r="A2422" s="11">
        <v>40.93</v>
      </c>
      <c r="B2422" s="14">
        <v>9.6896000000000005E-4</v>
      </c>
      <c r="C2422" s="15">
        <v>7.7638000000000002E-4</v>
      </c>
    </row>
    <row r="2423" spans="1:3" x14ac:dyDescent="0.45">
      <c r="A2423" s="11">
        <v>40.94</v>
      </c>
      <c r="B2423" s="14">
        <v>9.6968E-4</v>
      </c>
      <c r="C2423" s="15">
        <v>7.7704E-4</v>
      </c>
    </row>
    <row r="2424" spans="1:3" x14ac:dyDescent="0.45">
      <c r="A2424" s="11">
        <v>40.950000000000003</v>
      </c>
      <c r="B2424" s="14">
        <v>9.7039999999999995E-4</v>
      </c>
      <c r="C2424" s="15">
        <v>7.7769999999999998E-4</v>
      </c>
    </row>
    <row r="2425" spans="1:3" x14ac:dyDescent="0.45">
      <c r="A2425" s="11">
        <v>40.96</v>
      </c>
      <c r="B2425" s="14">
        <v>9.7112000000000001E-4</v>
      </c>
      <c r="C2425" s="15">
        <v>7.7835999999999997E-4</v>
      </c>
    </row>
    <row r="2426" spans="1:3" x14ac:dyDescent="0.45">
      <c r="A2426" s="11">
        <v>40.97</v>
      </c>
      <c r="B2426" s="14">
        <v>9.7183999999999997E-4</v>
      </c>
      <c r="C2426" s="15">
        <v>7.7901999999999995E-4</v>
      </c>
    </row>
    <row r="2427" spans="1:3" x14ac:dyDescent="0.45">
      <c r="A2427" s="11">
        <v>40.98</v>
      </c>
      <c r="B2427" s="14">
        <v>9.7256000000000003E-4</v>
      </c>
      <c r="C2427" s="15">
        <v>7.7968000000000004E-4</v>
      </c>
    </row>
    <row r="2428" spans="1:3" x14ac:dyDescent="0.45">
      <c r="A2428" s="11">
        <v>40.99</v>
      </c>
      <c r="B2428" s="14">
        <v>9.7327999999999998E-4</v>
      </c>
      <c r="C2428" s="15">
        <v>7.8034000000000003E-4</v>
      </c>
    </row>
    <row r="2429" spans="1:3" x14ac:dyDescent="0.45">
      <c r="A2429" s="11">
        <v>41</v>
      </c>
      <c r="B2429" s="14">
        <v>9.7400000000000004E-4</v>
      </c>
      <c r="C2429" s="15">
        <v>7.8100000000000001E-4</v>
      </c>
    </row>
    <row r="2430" spans="1:3" x14ac:dyDescent="0.45">
      <c r="A2430" s="11">
        <v>41.01</v>
      </c>
      <c r="B2430" s="14">
        <v>9.7482999999999999E-4</v>
      </c>
      <c r="C2430" s="15">
        <v>7.8171999999999996E-4</v>
      </c>
    </row>
    <row r="2431" spans="1:3" x14ac:dyDescent="0.45">
      <c r="A2431" s="11">
        <v>41.02</v>
      </c>
      <c r="B2431" s="14">
        <v>9.7566000000000005E-4</v>
      </c>
      <c r="C2431" s="15">
        <v>7.8244000000000002E-4</v>
      </c>
    </row>
    <row r="2432" spans="1:3" x14ac:dyDescent="0.45">
      <c r="A2432" s="11">
        <v>41.03</v>
      </c>
      <c r="B2432" s="14">
        <v>9.7649E-4</v>
      </c>
      <c r="C2432" s="15">
        <v>7.8315999999999998E-4</v>
      </c>
    </row>
    <row r="2433" spans="1:3" x14ac:dyDescent="0.45">
      <c r="A2433" s="11">
        <v>41.04</v>
      </c>
      <c r="B2433" s="14">
        <v>9.7732000000000006E-4</v>
      </c>
      <c r="C2433" s="15">
        <v>7.8388000000000004E-4</v>
      </c>
    </row>
    <row r="2434" spans="1:3" x14ac:dyDescent="0.45">
      <c r="A2434" s="11">
        <v>41.05</v>
      </c>
      <c r="B2434" s="14">
        <v>9.781499999999999E-4</v>
      </c>
      <c r="C2434" s="15">
        <v>7.8459999999999999E-4</v>
      </c>
    </row>
    <row r="2435" spans="1:3" x14ac:dyDescent="0.45">
      <c r="A2435" s="11">
        <v>41.06</v>
      </c>
      <c r="B2435" s="14">
        <v>9.7897999999999995E-4</v>
      </c>
      <c r="C2435" s="15">
        <v>7.8532000000000005E-4</v>
      </c>
    </row>
    <row r="2436" spans="1:3" x14ac:dyDescent="0.45">
      <c r="A2436" s="11">
        <v>41.07</v>
      </c>
      <c r="B2436" s="14">
        <v>9.7981000000000001E-4</v>
      </c>
      <c r="C2436" s="15">
        <v>7.8604E-4</v>
      </c>
    </row>
    <row r="2437" spans="1:3" x14ac:dyDescent="0.45">
      <c r="A2437" s="11">
        <v>41.08</v>
      </c>
      <c r="B2437" s="14">
        <v>9.8064000000000007E-4</v>
      </c>
      <c r="C2437" s="15">
        <v>7.8675999999999996E-4</v>
      </c>
    </row>
    <row r="2438" spans="1:3" x14ac:dyDescent="0.45">
      <c r="A2438" s="11">
        <v>41.09</v>
      </c>
      <c r="B2438" s="14">
        <v>9.8146999999999991E-4</v>
      </c>
      <c r="C2438" s="15">
        <v>7.8748000000000002E-4</v>
      </c>
    </row>
    <row r="2439" spans="1:3" x14ac:dyDescent="0.45">
      <c r="A2439" s="11">
        <v>41.1</v>
      </c>
      <c r="B2439" s="14">
        <v>9.8229999999999997E-4</v>
      </c>
      <c r="C2439" s="15">
        <v>7.8819999999999997E-4</v>
      </c>
    </row>
    <row r="2440" spans="1:3" x14ac:dyDescent="0.45">
      <c r="A2440" s="11">
        <v>41.11</v>
      </c>
      <c r="B2440" s="14">
        <v>9.8313000000000003E-4</v>
      </c>
      <c r="C2440" s="15">
        <v>7.8892000000000003E-4</v>
      </c>
    </row>
    <row r="2441" spans="1:3" x14ac:dyDescent="0.45">
      <c r="A2441" s="11">
        <v>41.12</v>
      </c>
      <c r="B2441" s="14">
        <v>9.8396000000000009E-4</v>
      </c>
      <c r="C2441" s="15">
        <v>7.8963999999999998E-4</v>
      </c>
    </row>
    <row r="2442" spans="1:3" x14ac:dyDescent="0.45">
      <c r="A2442" s="11">
        <v>41.13</v>
      </c>
      <c r="B2442" s="14">
        <v>9.8478999999999993E-4</v>
      </c>
      <c r="C2442" s="15">
        <v>7.9036000000000004E-4</v>
      </c>
    </row>
    <row r="2443" spans="1:3" x14ac:dyDescent="0.45">
      <c r="A2443" s="11">
        <v>41.14</v>
      </c>
      <c r="B2443" s="14">
        <v>9.8561999999999999E-4</v>
      </c>
      <c r="C2443" s="15">
        <v>7.9107999999999999E-4</v>
      </c>
    </row>
    <row r="2444" spans="1:3" x14ac:dyDescent="0.45">
      <c r="A2444" s="11">
        <v>41.15</v>
      </c>
      <c r="B2444" s="14">
        <v>9.8645000000000004E-4</v>
      </c>
      <c r="C2444" s="15">
        <v>7.9179999999999995E-4</v>
      </c>
    </row>
    <row r="2445" spans="1:3" x14ac:dyDescent="0.45">
      <c r="A2445" s="11">
        <v>41.16</v>
      </c>
      <c r="B2445" s="14">
        <v>9.872800000000001E-4</v>
      </c>
      <c r="C2445" s="15">
        <v>7.9252000000000001E-4</v>
      </c>
    </row>
    <row r="2446" spans="1:3" x14ac:dyDescent="0.45">
      <c r="A2446" s="11">
        <v>41.17</v>
      </c>
      <c r="B2446" s="14">
        <v>9.8810999999999994E-4</v>
      </c>
      <c r="C2446" s="15">
        <v>7.9323999999999996E-4</v>
      </c>
    </row>
    <row r="2447" spans="1:3" x14ac:dyDescent="0.45">
      <c r="A2447" s="11">
        <v>41.18</v>
      </c>
      <c r="B2447" s="14">
        <v>9.8894E-4</v>
      </c>
      <c r="C2447" s="15">
        <v>7.9396000000000002E-4</v>
      </c>
    </row>
    <row r="2448" spans="1:3" x14ac:dyDescent="0.45">
      <c r="A2448" s="11">
        <v>41.19</v>
      </c>
      <c r="B2448" s="14">
        <v>9.8977000000000006E-4</v>
      </c>
      <c r="C2448" s="15">
        <v>7.9467999999999997E-4</v>
      </c>
    </row>
    <row r="2449" spans="1:3" x14ac:dyDescent="0.45">
      <c r="A2449" s="11">
        <v>41.2</v>
      </c>
      <c r="B2449" s="14">
        <v>9.905999999999999E-4</v>
      </c>
      <c r="C2449" s="15">
        <v>7.9540000000000003E-4</v>
      </c>
    </row>
    <row r="2450" spans="1:3" x14ac:dyDescent="0.45">
      <c r="A2450" s="11">
        <v>41.21</v>
      </c>
      <c r="B2450" s="14">
        <v>9.9142999999999996E-4</v>
      </c>
      <c r="C2450" s="15">
        <v>7.9611999999999999E-4</v>
      </c>
    </row>
    <row r="2451" spans="1:3" x14ac:dyDescent="0.45">
      <c r="A2451" s="11">
        <v>41.22</v>
      </c>
      <c r="B2451" s="14">
        <v>9.9226000000000002E-4</v>
      </c>
      <c r="C2451" s="15">
        <v>7.9684000000000005E-4</v>
      </c>
    </row>
    <row r="2452" spans="1:3" x14ac:dyDescent="0.45">
      <c r="A2452" s="11">
        <v>41.23</v>
      </c>
      <c r="B2452" s="14">
        <v>9.9309000000000008E-4</v>
      </c>
      <c r="C2452" s="15">
        <v>7.9756E-4</v>
      </c>
    </row>
    <row r="2453" spans="1:3" x14ac:dyDescent="0.45">
      <c r="A2453" s="11">
        <v>41.24</v>
      </c>
      <c r="B2453" s="14">
        <v>9.9391999999999992E-4</v>
      </c>
      <c r="C2453" s="15">
        <v>7.9827999999999995E-4</v>
      </c>
    </row>
    <row r="2454" spans="1:3" x14ac:dyDescent="0.45">
      <c r="A2454" s="11">
        <v>41.25</v>
      </c>
      <c r="B2454" s="14">
        <v>9.9474999999999997E-4</v>
      </c>
      <c r="C2454" s="15">
        <v>7.9900000000000001E-4</v>
      </c>
    </row>
    <row r="2455" spans="1:3" x14ac:dyDescent="0.45">
      <c r="A2455" s="11">
        <v>41.26</v>
      </c>
      <c r="B2455" s="14">
        <v>9.9558000000000003E-4</v>
      </c>
      <c r="C2455" s="15">
        <v>7.9971999999999997E-4</v>
      </c>
    </row>
    <row r="2456" spans="1:3" x14ac:dyDescent="0.45">
      <c r="A2456" s="11">
        <v>41.27</v>
      </c>
      <c r="B2456" s="14">
        <v>9.9641000000000009E-4</v>
      </c>
      <c r="C2456" s="15">
        <v>8.0044000000000003E-4</v>
      </c>
    </row>
    <row r="2457" spans="1:3" x14ac:dyDescent="0.45">
      <c r="A2457" s="11">
        <v>41.28</v>
      </c>
      <c r="B2457" s="14">
        <v>9.9723999999999993E-4</v>
      </c>
      <c r="C2457" s="15">
        <v>8.0115999999999998E-4</v>
      </c>
    </row>
    <row r="2458" spans="1:3" x14ac:dyDescent="0.45">
      <c r="A2458" s="11">
        <v>41.29</v>
      </c>
      <c r="B2458" s="14">
        <v>9.9806999999999999E-4</v>
      </c>
      <c r="C2458" s="15">
        <v>8.0188000000000004E-4</v>
      </c>
    </row>
    <row r="2459" spans="1:3" x14ac:dyDescent="0.45">
      <c r="A2459" s="11">
        <v>41.3</v>
      </c>
      <c r="B2459" s="14">
        <v>9.9890000000000005E-4</v>
      </c>
      <c r="C2459" s="15">
        <v>8.0259999999999999E-4</v>
      </c>
    </row>
    <row r="2460" spans="1:3" x14ac:dyDescent="0.45">
      <c r="A2460" s="11">
        <v>41.31</v>
      </c>
      <c r="B2460" s="14">
        <v>9.9973000000000011E-4</v>
      </c>
      <c r="C2460" s="15">
        <v>8.0332000000000005E-4</v>
      </c>
    </row>
    <row r="2461" spans="1:3" x14ac:dyDescent="0.45">
      <c r="A2461" s="11">
        <v>41.32</v>
      </c>
      <c r="B2461" s="14">
        <v>1.0005599999999999E-3</v>
      </c>
      <c r="C2461" s="15">
        <v>8.0404000000000001E-4</v>
      </c>
    </row>
    <row r="2462" spans="1:3" x14ac:dyDescent="0.45">
      <c r="A2462" s="11">
        <v>41.33</v>
      </c>
      <c r="B2462" s="14">
        <v>1.00139E-3</v>
      </c>
      <c r="C2462" s="15">
        <v>8.0475999999999996E-4</v>
      </c>
    </row>
    <row r="2463" spans="1:3" x14ac:dyDescent="0.45">
      <c r="A2463" s="11">
        <v>41.34</v>
      </c>
      <c r="B2463" s="14">
        <v>1.0022200000000001E-3</v>
      </c>
      <c r="C2463" s="15">
        <v>8.0548000000000002E-4</v>
      </c>
    </row>
    <row r="2464" spans="1:3" x14ac:dyDescent="0.45">
      <c r="A2464" s="11">
        <v>41.35</v>
      </c>
      <c r="B2464" s="14">
        <v>1.0030499999999999E-3</v>
      </c>
      <c r="C2464" s="15">
        <v>8.0619999999999997E-4</v>
      </c>
    </row>
    <row r="2465" spans="1:3" x14ac:dyDescent="0.45">
      <c r="A2465" s="11">
        <v>41.36</v>
      </c>
      <c r="B2465" s="14">
        <v>1.00388E-3</v>
      </c>
      <c r="C2465" s="15">
        <v>8.0692000000000003E-4</v>
      </c>
    </row>
    <row r="2466" spans="1:3" x14ac:dyDescent="0.45">
      <c r="A2466" s="11">
        <v>41.37</v>
      </c>
      <c r="B2466" s="14">
        <v>1.00471E-3</v>
      </c>
      <c r="C2466" s="15">
        <v>8.0763999999999999E-4</v>
      </c>
    </row>
    <row r="2467" spans="1:3" x14ac:dyDescent="0.45">
      <c r="A2467" s="11">
        <v>41.38</v>
      </c>
      <c r="B2467" s="14">
        <v>1.0055400000000001E-3</v>
      </c>
      <c r="C2467" s="15">
        <v>8.0836000000000005E-4</v>
      </c>
    </row>
    <row r="2468" spans="1:3" x14ac:dyDescent="0.45">
      <c r="A2468" s="11">
        <v>41.39</v>
      </c>
      <c r="B2468" s="14">
        <v>1.0063699999999999E-3</v>
      </c>
      <c r="C2468" s="15">
        <v>8.0908E-4</v>
      </c>
    </row>
    <row r="2469" spans="1:3" x14ac:dyDescent="0.45">
      <c r="A2469" s="11">
        <v>41.4</v>
      </c>
      <c r="B2469" s="14">
        <v>1.0072E-3</v>
      </c>
      <c r="C2469" s="15">
        <v>8.0979999999999995E-4</v>
      </c>
    </row>
    <row r="2470" spans="1:3" x14ac:dyDescent="0.45">
      <c r="A2470" s="11">
        <v>41.41</v>
      </c>
      <c r="B2470" s="14">
        <v>1.00803E-3</v>
      </c>
      <c r="C2470" s="15">
        <v>8.1052000000000001E-4</v>
      </c>
    </row>
    <row r="2471" spans="1:3" x14ac:dyDescent="0.45">
      <c r="A2471" s="11">
        <v>41.42</v>
      </c>
      <c r="B2471" s="14">
        <v>1.0088600000000001E-3</v>
      </c>
      <c r="C2471" s="15">
        <v>8.1123999999999996E-4</v>
      </c>
    </row>
    <row r="2472" spans="1:3" x14ac:dyDescent="0.45">
      <c r="A2472" s="11">
        <v>41.43</v>
      </c>
      <c r="B2472" s="14">
        <v>1.0096899999999999E-3</v>
      </c>
      <c r="C2472" s="15">
        <v>8.1196000000000003E-4</v>
      </c>
    </row>
    <row r="2473" spans="1:3" x14ac:dyDescent="0.45">
      <c r="A2473" s="11">
        <v>41.44</v>
      </c>
      <c r="B2473" s="14">
        <v>1.01052E-3</v>
      </c>
      <c r="C2473" s="15">
        <v>8.1267999999999998E-4</v>
      </c>
    </row>
    <row r="2474" spans="1:3" x14ac:dyDescent="0.45">
      <c r="A2474" s="11">
        <v>41.45</v>
      </c>
      <c r="B2474" s="14">
        <v>1.0113500000000001E-3</v>
      </c>
      <c r="C2474" s="15">
        <v>8.1340000000000004E-4</v>
      </c>
    </row>
    <row r="2475" spans="1:3" x14ac:dyDescent="0.45">
      <c r="A2475" s="11">
        <v>41.46</v>
      </c>
      <c r="B2475" s="14">
        <v>1.0121799999999999E-3</v>
      </c>
      <c r="C2475" s="15">
        <v>8.1411999999999999E-4</v>
      </c>
    </row>
    <row r="2476" spans="1:3" x14ac:dyDescent="0.45">
      <c r="A2476" s="11">
        <v>41.47</v>
      </c>
      <c r="B2476" s="14">
        <v>1.01301E-3</v>
      </c>
      <c r="C2476" s="15">
        <v>8.1484000000000005E-4</v>
      </c>
    </row>
    <row r="2477" spans="1:3" x14ac:dyDescent="0.45">
      <c r="A2477" s="11">
        <v>41.48</v>
      </c>
      <c r="B2477" s="14">
        <v>1.01384E-3</v>
      </c>
      <c r="C2477" s="15">
        <v>8.1556E-4</v>
      </c>
    </row>
    <row r="2478" spans="1:3" x14ac:dyDescent="0.45">
      <c r="A2478" s="11">
        <v>41.49</v>
      </c>
      <c r="B2478" s="14">
        <v>1.0146700000000001E-3</v>
      </c>
      <c r="C2478" s="15">
        <v>8.1627999999999996E-4</v>
      </c>
    </row>
    <row r="2479" spans="1:3" x14ac:dyDescent="0.45">
      <c r="A2479" s="11">
        <v>41.5</v>
      </c>
      <c r="B2479" s="14">
        <v>1.0154999999999999E-3</v>
      </c>
      <c r="C2479" s="15">
        <v>8.1700000000000002E-4</v>
      </c>
    </row>
    <row r="2480" spans="1:3" x14ac:dyDescent="0.45">
      <c r="A2480" s="11">
        <v>41.51</v>
      </c>
      <c r="B2480" s="14">
        <v>1.01633E-3</v>
      </c>
      <c r="C2480" s="15">
        <v>8.1771999999999997E-4</v>
      </c>
    </row>
    <row r="2481" spans="1:3" x14ac:dyDescent="0.45">
      <c r="A2481" s="11">
        <v>41.52</v>
      </c>
      <c r="B2481" s="14">
        <v>1.01716E-3</v>
      </c>
      <c r="C2481" s="15">
        <v>8.1844000000000003E-4</v>
      </c>
    </row>
    <row r="2482" spans="1:3" x14ac:dyDescent="0.45">
      <c r="A2482" s="11">
        <v>41.53</v>
      </c>
      <c r="B2482" s="14">
        <v>1.0179900000000001E-3</v>
      </c>
      <c r="C2482" s="15">
        <v>8.1915999999999998E-4</v>
      </c>
    </row>
    <row r="2483" spans="1:3" x14ac:dyDescent="0.45">
      <c r="A2483" s="11">
        <v>41.54</v>
      </c>
      <c r="B2483" s="14">
        <v>1.0188199999999999E-3</v>
      </c>
      <c r="C2483" s="15">
        <v>8.1988000000000004E-4</v>
      </c>
    </row>
    <row r="2484" spans="1:3" x14ac:dyDescent="0.45">
      <c r="A2484" s="11">
        <v>41.55</v>
      </c>
      <c r="B2484" s="14">
        <v>1.01965E-3</v>
      </c>
      <c r="C2484" s="15">
        <v>8.206E-4</v>
      </c>
    </row>
    <row r="2485" spans="1:3" x14ac:dyDescent="0.45">
      <c r="A2485" s="11">
        <v>41.56</v>
      </c>
      <c r="B2485" s="14">
        <v>1.02048E-3</v>
      </c>
      <c r="C2485" s="15">
        <v>8.2131999999999995E-4</v>
      </c>
    </row>
    <row r="2486" spans="1:3" x14ac:dyDescent="0.45">
      <c r="A2486" s="11">
        <v>41.57</v>
      </c>
      <c r="B2486" s="14">
        <v>1.0213100000000001E-3</v>
      </c>
      <c r="C2486" s="15">
        <v>8.2204000000000001E-4</v>
      </c>
    </row>
    <row r="2487" spans="1:3" x14ac:dyDescent="0.45">
      <c r="A2487" s="11">
        <v>41.58</v>
      </c>
      <c r="B2487" s="14">
        <v>1.0221399999999999E-3</v>
      </c>
      <c r="C2487" s="15">
        <v>8.2275999999999996E-4</v>
      </c>
    </row>
    <row r="2488" spans="1:3" x14ac:dyDescent="0.45">
      <c r="A2488" s="11">
        <v>41.59</v>
      </c>
      <c r="B2488" s="14">
        <v>1.02297E-3</v>
      </c>
      <c r="C2488" s="15">
        <v>8.2348000000000002E-4</v>
      </c>
    </row>
    <row r="2489" spans="1:3" x14ac:dyDescent="0.45">
      <c r="A2489" s="11">
        <v>41.6</v>
      </c>
      <c r="B2489" s="14">
        <v>1.0238000000000001E-3</v>
      </c>
      <c r="C2489" s="15">
        <v>8.2419999999999998E-4</v>
      </c>
    </row>
    <row r="2490" spans="1:3" x14ac:dyDescent="0.45">
      <c r="A2490" s="11">
        <v>41.61</v>
      </c>
      <c r="B2490" s="14">
        <v>1.0246299999999999E-3</v>
      </c>
      <c r="C2490" s="15">
        <v>8.2492000000000004E-4</v>
      </c>
    </row>
    <row r="2491" spans="1:3" x14ac:dyDescent="0.45">
      <c r="A2491" s="11">
        <v>41.62</v>
      </c>
      <c r="B2491" s="14">
        <v>1.02546E-3</v>
      </c>
      <c r="C2491" s="15">
        <v>8.2563999999999999E-4</v>
      </c>
    </row>
    <row r="2492" spans="1:3" x14ac:dyDescent="0.45">
      <c r="A2492" s="11">
        <v>41.63</v>
      </c>
      <c r="B2492" s="14">
        <v>1.02629E-3</v>
      </c>
      <c r="C2492" s="15">
        <v>8.2636000000000005E-4</v>
      </c>
    </row>
    <row r="2493" spans="1:3" x14ac:dyDescent="0.45">
      <c r="A2493" s="11">
        <v>41.64</v>
      </c>
      <c r="B2493" s="14">
        <v>1.0271200000000001E-3</v>
      </c>
      <c r="C2493" s="15">
        <v>8.2708E-4</v>
      </c>
    </row>
    <row r="2494" spans="1:3" x14ac:dyDescent="0.45">
      <c r="A2494" s="11">
        <v>41.65</v>
      </c>
      <c r="B2494" s="14">
        <v>1.0279499999999999E-3</v>
      </c>
      <c r="C2494" s="15">
        <v>8.2779999999999996E-4</v>
      </c>
    </row>
    <row r="2495" spans="1:3" x14ac:dyDescent="0.45">
      <c r="A2495" s="11">
        <v>41.66</v>
      </c>
      <c r="B2495" s="14">
        <v>1.02878E-3</v>
      </c>
      <c r="C2495" s="15">
        <v>8.2852000000000002E-4</v>
      </c>
    </row>
    <row r="2496" spans="1:3" x14ac:dyDescent="0.45">
      <c r="A2496" s="11">
        <v>41.67</v>
      </c>
      <c r="B2496" s="14">
        <v>1.02961E-3</v>
      </c>
      <c r="C2496" s="15">
        <v>8.2923999999999997E-4</v>
      </c>
    </row>
    <row r="2497" spans="1:3" x14ac:dyDescent="0.45">
      <c r="A2497" s="11">
        <v>41.68</v>
      </c>
      <c r="B2497" s="14">
        <v>1.0304400000000001E-3</v>
      </c>
      <c r="C2497" s="15">
        <v>8.2996000000000003E-4</v>
      </c>
    </row>
    <row r="2498" spans="1:3" x14ac:dyDescent="0.45">
      <c r="A2498" s="11">
        <v>41.69</v>
      </c>
      <c r="B2498" s="14">
        <v>1.0312699999999999E-3</v>
      </c>
      <c r="C2498" s="15">
        <v>8.3067999999999998E-4</v>
      </c>
    </row>
    <row r="2499" spans="1:3" x14ac:dyDescent="0.45">
      <c r="A2499" s="11">
        <v>41.7</v>
      </c>
      <c r="B2499" s="14">
        <v>1.0321E-3</v>
      </c>
      <c r="C2499" s="15">
        <v>8.3140000000000004E-4</v>
      </c>
    </row>
    <row r="2500" spans="1:3" x14ac:dyDescent="0.45">
      <c r="A2500" s="11">
        <v>41.71</v>
      </c>
      <c r="B2500" s="14">
        <v>1.03293E-3</v>
      </c>
      <c r="C2500" s="15">
        <v>8.3212E-4</v>
      </c>
    </row>
    <row r="2501" spans="1:3" x14ac:dyDescent="0.45">
      <c r="A2501" s="11">
        <v>41.72</v>
      </c>
      <c r="B2501" s="14">
        <v>1.0337600000000001E-3</v>
      </c>
      <c r="C2501" s="15">
        <v>8.3283999999999995E-4</v>
      </c>
    </row>
    <row r="2502" spans="1:3" x14ac:dyDescent="0.45">
      <c r="A2502" s="11">
        <v>41.73</v>
      </c>
      <c r="B2502" s="14">
        <v>1.0345899999999999E-3</v>
      </c>
      <c r="C2502" s="15">
        <v>8.3356000000000001E-4</v>
      </c>
    </row>
    <row r="2503" spans="1:3" x14ac:dyDescent="0.45">
      <c r="A2503" s="11">
        <v>41.74</v>
      </c>
      <c r="B2503" s="14">
        <v>1.03542E-3</v>
      </c>
      <c r="C2503" s="15">
        <v>8.3427999999999996E-4</v>
      </c>
    </row>
    <row r="2504" spans="1:3" x14ac:dyDescent="0.45">
      <c r="A2504" s="11">
        <v>41.75</v>
      </c>
      <c r="B2504" s="14">
        <v>1.0362500000000001E-3</v>
      </c>
      <c r="C2504" s="15">
        <v>8.3500000000000002E-4</v>
      </c>
    </row>
    <row r="2505" spans="1:3" x14ac:dyDescent="0.45">
      <c r="A2505" s="11">
        <v>41.76</v>
      </c>
      <c r="B2505" s="14">
        <v>1.0370799999999999E-3</v>
      </c>
      <c r="C2505" s="15">
        <v>8.3571999999999997E-4</v>
      </c>
    </row>
    <row r="2506" spans="1:3" x14ac:dyDescent="0.45">
      <c r="A2506" s="11">
        <v>41.77</v>
      </c>
      <c r="B2506" s="14">
        <v>1.03791E-3</v>
      </c>
      <c r="C2506" s="15">
        <v>8.3644000000000004E-4</v>
      </c>
    </row>
    <row r="2507" spans="1:3" x14ac:dyDescent="0.45">
      <c r="A2507" s="11">
        <v>41.78</v>
      </c>
      <c r="B2507" s="14">
        <v>1.03874E-3</v>
      </c>
      <c r="C2507" s="15">
        <v>8.3715999999999999E-4</v>
      </c>
    </row>
    <row r="2508" spans="1:3" x14ac:dyDescent="0.45">
      <c r="A2508" s="11">
        <v>41.79</v>
      </c>
      <c r="B2508" s="14">
        <v>1.0395700000000001E-3</v>
      </c>
      <c r="C2508" s="15">
        <v>8.3788000000000005E-4</v>
      </c>
    </row>
    <row r="2509" spans="1:3" x14ac:dyDescent="0.45">
      <c r="A2509" s="11">
        <v>41.8</v>
      </c>
      <c r="B2509" s="14">
        <v>1.0403999999999999E-3</v>
      </c>
      <c r="C2509" s="15">
        <v>8.386E-4</v>
      </c>
    </row>
    <row r="2510" spans="1:3" x14ac:dyDescent="0.45">
      <c r="A2510" s="11">
        <v>41.81</v>
      </c>
      <c r="B2510" s="14">
        <v>1.04123E-3</v>
      </c>
      <c r="C2510" s="15">
        <v>8.3931999999999995E-4</v>
      </c>
    </row>
    <row r="2511" spans="1:3" x14ac:dyDescent="0.45">
      <c r="A2511" s="11">
        <v>41.82</v>
      </c>
      <c r="B2511" s="14">
        <v>1.04206E-3</v>
      </c>
      <c r="C2511" s="15">
        <v>8.4004000000000001E-4</v>
      </c>
    </row>
    <row r="2512" spans="1:3" x14ac:dyDescent="0.45">
      <c r="A2512" s="11">
        <v>41.83</v>
      </c>
      <c r="B2512" s="14">
        <v>1.0428900000000001E-3</v>
      </c>
      <c r="C2512" s="15">
        <v>8.4075999999999997E-4</v>
      </c>
    </row>
    <row r="2513" spans="1:3" x14ac:dyDescent="0.45">
      <c r="A2513" s="11">
        <v>41.84</v>
      </c>
      <c r="B2513" s="14">
        <v>1.0437199999999999E-3</v>
      </c>
      <c r="C2513" s="15">
        <v>8.4148000000000003E-4</v>
      </c>
    </row>
    <row r="2514" spans="1:3" x14ac:dyDescent="0.45">
      <c r="A2514" s="11">
        <v>41.85</v>
      </c>
      <c r="B2514" s="14">
        <v>1.04455E-3</v>
      </c>
      <c r="C2514" s="15">
        <v>8.4219999999999998E-4</v>
      </c>
    </row>
    <row r="2515" spans="1:3" x14ac:dyDescent="0.45">
      <c r="A2515" s="11">
        <v>41.86</v>
      </c>
      <c r="B2515" s="14">
        <v>1.0453800000000001E-3</v>
      </c>
      <c r="C2515" s="15">
        <v>8.4292000000000004E-4</v>
      </c>
    </row>
    <row r="2516" spans="1:3" x14ac:dyDescent="0.45">
      <c r="A2516" s="11">
        <v>41.87</v>
      </c>
      <c r="B2516" s="14">
        <v>1.0462099999999999E-3</v>
      </c>
      <c r="C2516" s="15">
        <v>8.4363999999999999E-4</v>
      </c>
    </row>
    <row r="2517" spans="1:3" x14ac:dyDescent="0.45">
      <c r="A2517" s="11">
        <v>41.88</v>
      </c>
      <c r="B2517" s="14">
        <v>1.0470399999999999E-3</v>
      </c>
      <c r="C2517" s="15">
        <v>8.4436000000000005E-4</v>
      </c>
    </row>
    <row r="2518" spans="1:3" x14ac:dyDescent="0.45">
      <c r="A2518" s="11">
        <v>41.89</v>
      </c>
      <c r="B2518" s="14">
        <v>1.04787E-3</v>
      </c>
      <c r="C2518" s="15">
        <v>8.4508000000000001E-4</v>
      </c>
    </row>
    <row r="2519" spans="1:3" x14ac:dyDescent="0.45">
      <c r="A2519" s="11">
        <v>41.9</v>
      </c>
      <c r="B2519" s="14">
        <v>1.0487000000000001E-3</v>
      </c>
      <c r="C2519" s="15">
        <v>8.4579999999999996E-4</v>
      </c>
    </row>
    <row r="2520" spans="1:3" x14ac:dyDescent="0.45">
      <c r="A2520" s="11">
        <v>41.91</v>
      </c>
      <c r="B2520" s="14">
        <v>1.0495299999999999E-3</v>
      </c>
      <c r="C2520" s="15">
        <v>8.4652000000000002E-4</v>
      </c>
    </row>
    <row r="2521" spans="1:3" x14ac:dyDescent="0.45">
      <c r="A2521" s="11">
        <v>41.92</v>
      </c>
      <c r="B2521" s="14">
        <v>1.05036E-3</v>
      </c>
      <c r="C2521" s="15">
        <v>8.4723999999999997E-4</v>
      </c>
    </row>
    <row r="2522" spans="1:3" x14ac:dyDescent="0.45">
      <c r="A2522" s="11">
        <v>41.93</v>
      </c>
      <c r="B2522" s="14">
        <v>1.05119E-3</v>
      </c>
      <c r="C2522" s="15">
        <v>8.4796000000000003E-4</v>
      </c>
    </row>
    <row r="2523" spans="1:3" x14ac:dyDescent="0.45">
      <c r="A2523" s="11">
        <v>41.94</v>
      </c>
      <c r="B2523" s="14">
        <v>1.0520200000000001E-3</v>
      </c>
      <c r="C2523" s="15">
        <v>8.4867999999999999E-4</v>
      </c>
    </row>
    <row r="2524" spans="1:3" x14ac:dyDescent="0.45">
      <c r="A2524" s="11">
        <v>41.95</v>
      </c>
      <c r="B2524" s="14">
        <v>1.0528499999999999E-3</v>
      </c>
      <c r="C2524" s="15">
        <v>8.4940000000000005E-4</v>
      </c>
    </row>
    <row r="2525" spans="1:3" x14ac:dyDescent="0.45">
      <c r="A2525" s="11">
        <v>41.96</v>
      </c>
      <c r="B2525" s="14">
        <v>1.05368E-3</v>
      </c>
      <c r="C2525" s="15">
        <v>8.5012E-4</v>
      </c>
    </row>
    <row r="2526" spans="1:3" x14ac:dyDescent="0.45">
      <c r="A2526" s="11">
        <v>41.97</v>
      </c>
      <c r="B2526" s="14">
        <v>1.05451E-3</v>
      </c>
      <c r="C2526" s="15">
        <v>8.5083999999999995E-4</v>
      </c>
    </row>
    <row r="2527" spans="1:3" x14ac:dyDescent="0.45">
      <c r="A2527" s="11">
        <v>41.98</v>
      </c>
      <c r="B2527" s="14">
        <v>1.0553400000000001E-3</v>
      </c>
      <c r="C2527" s="15">
        <v>8.5156000000000001E-4</v>
      </c>
    </row>
    <row r="2528" spans="1:3" x14ac:dyDescent="0.45">
      <c r="A2528" s="11">
        <v>41.99</v>
      </c>
      <c r="B2528" s="14">
        <v>1.0561699999999999E-3</v>
      </c>
      <c r="C2528" s="15">
        <v>8.5227999999999996E-4</v>
      </c>
    </row>
    <row r="2529" spans="1:3" x14ac:dyDescent="0.45">
      <c r="A2529" s="11">
        <v>42</v>
      </c>
      <c r="B2529" s="14">
        <v>1.057E-3</v>
      </c>
      <c r="C2529" s="15">
        <v>8.5300000000000003E-4</v>
      </c>
    </row>
    <row r="2530" spans="1:3" x14ac:dyDescent="0.45">
      <c r="A2530" s="11">
        <v>42.01</v>
      </c>
      <c r="B2530" s="14">
        <v>1.0579700000000001E-3</v>
      </c>
      <c r="C2530" s="15">
        <v>8.5380999999999999E-4</v>
      </c>
    </row>
    <row r="2531" spans="1:3" x14ac:dyDescent="0.45">
      <c r="A2531" s="11">
        <v>42.02</v>
      </c>
      <c r="B2531" s="14">
        <v>1.05894E-3</v>
      </c>
      <c r="C2531" s="15">
        <v>8.5462000000000005E-4</v>
      </c>
    </row>
    <row r="2532" spans="1:3" x14ac:dyDescent="0.45">
      <c r="A2532" s="11">
        <v>42.03</v>
      </c>
      <c r="B2532" s="14">
        <v>1.0599100000000001E-3</v>
      </c>
      <c r="C2532" s="15">
        <v>8.5543000000000001E-4</v>
      </c>
    </row>
    <row r="2533" spans="1:3" x14ac:dyDescent="0.45">
      <c r="A2533" s="11">
        <v>42.04</v>
      </c>
      <c r="B2533" s="14">
        <v>1.0608799999999999E-3</v>
      </c>
      <c r="C2533" s="15">
        <v>8.5623999999999997E-4</v>
      </c>
    </row>
    <row r="2534" spans="1:3" x14ac:dyDescent="0.45">
      <c r="A2534" s="11">
        <v>42.05</v>
      </c>
      <c r="B2534" s="14">
        <v>1.06185E-3</v>
      </c>
      <c r="C2534" s="15">
        <v>8.5705000000000004E-4</v>
      </c>
    </row>
    <row r="2535" spans="1:3" x14ac:dyDescent="0.45">
      <c r="A2535" s="11">
        <v>42.06</v>
      </c>
      <c r="B2535" s="14">
        <v>1.0628199999999999E-3</v>
      </c>
      <c r="C2535" s="15">
        <v>8.5786E-4</v>
      </c>
    </row>
    <row r="2536" spans="1:3" x14ac:dyDescent="0.45">
      <c r="A2536" s="11">
        <v>42.07</v>
      </c>
      <c r="B2536" s="14">
        <v>1.06379E-3</v>
      </c>
      <c r="C2536" s="15">
        <v>8.5866999999999996E-4</v>
      </c>
    </row>
    <row r="2537" spans="1:3" x14ac:dyDescent="0.45">
      <c r="A2537" s="11">
        <v>42.08</v>
      </c>
      <c r="B2537" s="14">
        <v>1.0647600000000001E-3</v>
      </c>
      <c r="C2537" s="15">
        <v>8.5948000000000003E-4</v>
      </c>
    </row>
    <row r="2538" spans="1:3" x14ac:dyDescent="0.45">
      <c r="A2538" s="11">
        <v>42.09</v>
      </c>
      <c r="B2538" s="14">
        <v>1.06573E-3</v>
      </c>
      <c r="C2538" s="15">
        <v>8.6028999999999999E-4</v>
      </c>
    </row>
    <row r="2539" spans="1:3" x14ac:dyDescent="0.45">
      <c r="A2539" s="11">
        <v>42.1</v>
      </c>
      <c r="B2539" s="14">
        <v>1.0667000000000001E-3</v>
      </c>
      <c r="C2539" s="15">
        <v>8.6109999999999995E-4</v>
      </c>
    </row>
    <row r="2540" spans="1:3" x14ac:dyDescent="0.45">
      <c r="A2540" s="11">
        <v>42.11</v>
      </c>
      <c r="B2540" s="14">
        <v>1.0676699999999999E-3</v>
      </c>
      <c r="C2540" s="15">
        <v>8.6191000000000002E-4</v>
      </c>
    </row>
    <row r="2541" spans="1:3" x14ac:dyDescent="0.45">
      <c r="A2541" s="11">
        <v>42.12</v>
      </c>
      <c r="B2541" s="14">
        <v>1.06864E-3</v>
      </c>
      <c r="C2541" s="15">
        <v>8.6271999999999998E-4</v>
      </c>
    </row>
    <row r="2542" spans="1:3" x14ac:dyDescent="0.45">
      <c r="A2542" s="11">
        <v>42.13</v>
      </c>
      <c r="B2542" s="14">
        <v>1.0696099999999999E-3</v>
      </c>
      <c r="C2542" s="15">
        <v>8.6353000000000005E-4</v>
      </c>
    </row>
    <row r="2543" spans="1:3" x14ac:dyDescent="0.45">
      <c r="A2543" s="11">
        <v>42.14</v>
      </c>
      <c r="B2543" s="14">
        <v>1.07058E-3</v>
      </c>
      <c r="C2543" s="15">
        <v>8.6434000000000001E-4</v>
      </c>
    </row>
    <row r="2544" spans="1:3" x14ac:dyDescent="0.45">
      <c r="A2544" s="11">
        <v>42.15</v>
      </c>
      <c r="B2544" s="14">
        <v>1.0715500000000001E-3</v>
      </c>
      <c r="C2544" s="15">
        <v>8.6514999999999997E-4</v>
      </c>
    </row>
    <row r="2545" spans="1:3" x14ac:dyDescent="0.45">
      <c r="A2545" s="11">
        <v>42.16</v>
      </c>
      <c r="B2545" s="14">
        <v>1.07252E-3</v>
      </c>
      <c r="C2545" s="15">
        <v>8.6596000000000004E-4</v>
      </c>
    </row>
    <row r="2546" spans="1:3" x14ac:dyDescent="0.45">
      <c r="A2546" s="11">
        <v>42.17</v>
      </c>
      <c r="B2546" s="14">
        <v>1.0734900000000001E-3</v>
      </c>
      <c r="C2546" s="15">
        <v>8.6677E-4</v>
      </c>
    </row>
    <row r="2547" spans="1:3" x14ac:dyDescent="0.45">
      <c r="A2547" s="11">
        <v>42.18</v>
      </c>
      <c r="B2547" s="14">
        <v>1.07446E-3</v>
      </c>
      <c r="C2547" s="15">
        <v>8.6757999999999996E-4</v>
      </c>
    </row>
    <row r="2548" spans="1:3" x14ac:dyDescent="0.45">
      <c r="A2548" s="11">
        <v>42.19</v>
      </c>
      <c r="B2548" s="14">
        <v>1.07543E-3</v>
      </c>
      <c r="C2548" s="15">
        <v>8.6839000000000003E-4</v>
      </c>
    </row>
    <row r="2549" spans="1:3" x14ac:dyDescent="0.45">
      <c r="A2549" s="11">
        <v>42.2</v>
      </c>
      <c r="B2549" s="14">
        <v>1.0763999999999999E-3</v>
      </c>
      <c r="C2549" s="15">
        <v>8.6919999999999999E-4</v>
      </c>
    </row>
    <row r="2550" spans="1:3" x14ac:dyDescent="0.45">
      <c r="A2550" s="11">
        <v>42.21</v>
      </c>
      <c r="B2550" s="14">
        <v>1.07737E-3</v>
      </c>
      <c r="C2550" s="15">
        <v>8.7001000000000005E-4</v>
      </c>
    </row>
    <row r="2551" spans="1:3" x14ac:dyDescent="0.45">
      <c r="A2551" s="11">
        <v>42.22</v>
      </c>
      <c r="B2551" s="14">
        <v>1.0783399999999999E-3</v>
      </c>
      <c r="C2551" s="15">
        <v>8.7082000000000001E-4</v>
      </c>
    </row>
    <row r="2552" spans="1:3" x14ac:dyDescent="0.45">
      <c r="A2552" s="11">
        <v>42.23</v>
      </c>
      <c r="B2552" s="14">
        <v>1.07931E-3</v>
      </c>
      <c r="C2552" s="15">
        <v>8.7162999999999997E-4</v>
      </c>
    </row>
    <row r="2553" spans="1:3" x14ac:dyDescent="0.45">
      <c r="A2553" s="11">
        <v>42.24</v>
      </c>
      <c r="B2553" s="14">
        <v>1.0802800000000001E-3</v>
      </c>
      <c r="C2553" s="15">
        <v>8.7244000000000004E-4</v>
      </c>
    </row>
    <row r="2554" spans="1:3" x14ac:dyDescent="0.45">
      <c r="A2554" s="11">
        <v>42.25</v>
      </c>
      <c r="B2554" s="14">
        <v>1.08125E-3</v>
      </c>
      <c r="C2554" s="15">
        <v>8.7325E-4</v>
      </c>
    </row>
    <row r="2555" spans="1:3" x14ac:dyDescent="0.45">
      <c r="A2555" s="11">
        <v>42.26</v>
      </c>
      <c r="B2555" s="14">
        <v>1.0822200000000001E-3</v>
      </c>
      <c r="C2555" s="15">
        <v>8.7405999999999996E-4</v>
      </c>
    </row>
    <row r="2556" spans="1:3" x14ac:dyDescent="0.45">
      <c r="A2556" s="11">
        <v>42.27</v>
      </c>
      <c r="B2556" s="14">
        <v>1.0831899999999999E-3</v>
      </c>
      <c r="C2556" s="15">
        <v>8.7487000000000003E-4</v>
      </c>
    </row>
    <row r="2557" spans="1:3" x14ac:dyDescent="0.45">
      <c r="A2557" s="11">
        <v>42.28</v>
      </c>
      <c r="B2557" s="14">
        <v>1.08416E-3</v>
      </c>
      <c r="C2557" s="15">
        <v>8.7567999999999999E-4</v>
      </c>
    </row>
    <row r="2558" spans="1:3" x14ac:dyDescent="0.45">
      <c r="A2558" s="11">
        <v>42.29</v>
      </c>
      <c r="B2558" s="14">
        <v>1.0851299999999999E-3</v>
      </c>
      <c r="C2558" s="15">
        <v>8.7648999999999995E-4</v>
      </c>
    </row>
    <row r="2559" spans="1:3" x14ac:dyDescent="0.45">
      <c r="A2559" s="11">
        <v>42.3</v>
      </c>
      <c r="B2559" s="14">
        <v>1.0861E-3</v>
      </c>
      <c r="C2559" s="15">
        <v>8.7730000000000002E-4</v>
      </c>
    </row>
    <row r="2560" spans="1:3" x14ac:dyDescent="0.45">
      <c r="A2560" s="11">
        <v>42.31</v>
      </c>
      <c r="B2560" s="14">
        <v>1.0870700000000001E-3</v>
      </c>
      <c r="C2560" s="15">
        <v>8.7810999999999998E-4</v>
      </c>
    </row>
    <row r="2561" spans="1:3" x14ac:dyDescent="0.45">
      <c r="A2561" s="11">
        <v>42.32</v>
      </c>
      <c r="B2561" s="14">
        <v>1.08804E-3</v>
      </c>
      <c r="C2561" s="15">
        <v>8.7892000000000005E-4</v>
      </c>
    </row>
    <row r="2562" spans="1:3" x14ac:dyDescent="0.45">
      <c r="A2562" s="11">
        <v>42.33</v>
      </c>
      <c r="B2562" s="14">
        <v>1.0890100000000001E-3</v>
      </c>
      <c r="C2562" s="15">
        <v>8.7973000000000001E-4</v>
      </c>
    </row>
    <row r="2563" spans="1:3" x14ac:dyDescent="0.45">
      <c r="A2563" s="11">
        <v>42.34</v>
      </c>
      <c r="B2563" s="14">
        <v>1.0899799999999999E-3</v>
      </c>
      <c r="C2563" s="15">
        <v>8.8053999999999997E-4</v>
      </c>
    </row>
    <row r="2564" spans="1:3" x14ac:dyDescent="0.45">
      <c r="A2564" s="11">
        <v>42.35</v>
      </c>
      <c r="B2564" s="14">
        <v>1.09095E-3</v>
      </c>
      <c r="C2564" s="15">
        <v>8.8135000000000004E-4</v>
      </c>
    </row>
    <row r="2565" spans="1:3" x14ac:dyDescent="0.45">
      <c r="A2565" s="11">
        <v>42.36</v>
      </c>
      <c r="B2565" s="14">
        <v>1.0919199999999999E-3</v>
      </c>
      <c r="C2565" s="15">
        <v>8.8216E-4</v>
      </c>
    </row>
    <row r="2566" spans="1:3" x14ac:dyDescent="0.45">
      <c r="A2566" s="11">
        <v>42.37</v>
      </c>
      <c r="B2566" s="14">
        <v>1.09289E-3</v>
      </c>
      <c r="C2566" s="15">
        <v>8.8296999999999996E-4</v>
      </c>
    </row>
    <row r="2567" spans="1:3" x14ac:dyDescent="0.45">
      <c r="A2567" s="11">
        <v>42.38</v>
      </c>
      <c r="B2567" s="14">
        <v>1.0938600000000001E-3</v>
      </c>
      <c r="C2567" s="15">
        <v>8.8378000000000003E-4</v>
      </c>
    </row>
    <row r="2568" spans="1:3" x14ac:dyDescent="0.45">
      <c r="A2568" s="11">
        <v>42.39</v>
      </c>
      <c r="B2568" s="14">
        <v>1.09483E-3</v>
      </c>
      <c r="C2568" s="15">
        <v>8.8458999999999999E-4</v>
      </c>
    </row>
    <row r="2569" spans="1:3" x14ac:dyDescent="0.45">
      <c r="A2569" s="11">
        <v>42.4</v>
      </c>
      <c r="B2569" s="14">
        <v>1.0958000000000001E-3</v>
      </c>
      <c r="C2569" s="15">
        <v>8.8540000000000005E-4</v>
      </c>
    </row>
    <row r="2570" spans="1:3" x14ac:dyDescent="0.45">
      <c r="A2570" s="11">
        <v>42.41</v>
      </c>
      <c r="B2570" s="14">
        <v>1.0967699999999999E-3</v>
      </c>
      <c r="C2570" s="15">
        <v>8.8621000000000001E-4</v>
      </c>
    </row>
    <row r="2571" spans="1:3" x14ac:dyDescent="0.45">
      <c r="A2571" s="11">
        <v>42.42</v>
      </c>
      <c r="B2571" s="14">
        <v>1.09774E-3</v>
      </c>
      <c r="C2571" s="15">
        <v>8.8701999999999997E-4</v>
      </c>
    </row>
    <row r="2572" spans="1:3" x14ac:dyDescent="0.45">
      <c r="A2572" s="11">
        <v>42.43</v>
      </c>
      <c r="B2572" s="14">
        <v>1.0987099999999999E-3</v>
      </c>
      <c r="C2572" s="15">
        <v>8.8783000000000004E-4</v>
      </c>
    </row>
    <row r="2573" spans="1:3" x14ac:dyDescent="0.45">
      <c r="A2573" s="11">
        <v>42.44</v>
      </c>
      <c r="B2573" s="14">
        <v>1.09968E-3</v>
      </c>
      <c r="C2573" s="15">
        <v>8.8864E-4</v>
      </c>
    </row>
    <row r="2574" spans="1:3" x14ac:dyDescent="0.45">
      <c r="A2574" s="11">
        <v>42.45</v>
      </c>
      <c r="B2574" s="14">
        <v>1.1006499999999999E-3</v>
      </c>
      <c r="C2574" s="15">
        <v>8.8944999999999996E-4</v>
      </c>
    </row>
    <row r="2575" spans="1:3" x14ac:dyDescent="0.45">
      <c r="A2575" s="11">
        <v>42.46</v>
      </c>
      <c r="B2575" s="14">
        <v>1.10162E-3</v>
      </c>
      <c r="C2575" s="15">
        <v>8.9026000000000003E-4</v>
      </c>
    </row>
    <row r="2576" spans="1:3" x14ac:dyDescent="0.45">
      <c r="A2576" s="11">
        <v>42.47</v>
      </c>
      <c r="B2576" s="14">
        <v>1.1025900000000001E-3</v>
      </c>
      <c r="C2576" s="15">
        <v>8.9106999999999999E-4</v>
      </c>
    </row>
    <row r="2577" spans="1:3" x14ac:dyDescent="0.45">
      <c r="A2577" s="11">
        <v>42.48</v>
      </c>
      <c r="B2577" s="14">
        <v>1.10356E-3</v>
      </c>
      <c r="C2577" s="15">
        <v>8.9187999999999995E-4</v>
      </c>
    </row>
    <row r="2578" spans="1:3" x14ac:dyDescent="0.45">
      <c r="A2578" s="11">
        <v>42.49</v>
      </c>
      <c r="B2578" s="14">
        <v>1.1045300000000001E-3</v>
      </c>
      <c r="C2578" s="15">
        <v>8.9269000000000002E-4</v>
      </c>
    </row>
    <row r="2579" spans="1:3" x14ac:dyDescent="0.45">
      <c r="A2579" s="11">
        <v>42.5</v>
      </c>
      <c r="B2579" s="14">
        <v>1.1054999999999999E-3</v>
      </c>
      <c r="C2579" s="15">
        <v>8.9349999999999998E-4</v>
      </c>
    </row>
    <row r="2580" spans="1:3" x14ac:dyDescent="0.45">
      <c r="A2580" s="11">
        <v>42.51</v>
      </c>
      <c r="B2580" s="14">
        <v>1.10647E-3</v>
      </c>
      <c r="C2580" s="15">
        <v>8.9431000000000005E-4</v>
      </c>
    </row>
    <row r="2581" spans="1:3" x14ac:dyDescent="0.45">
      <c r="A2581" s="11">
        <v>42.52</v>
      </c>
      <c r="B2581" s="14">
        <v>1.1074399999999999E-3</v>
      </c>
      <c r="C2581" s="15">
        <v>8.9512000000000001E-4</v>
      </c>
    </row>
    <row r="2582" spans="1:3" x14ac:dyDescent="0.45">
      <c r="A2582" s="11">
        <v>42.53</v>
      </c>
      <c r="B2582" s="14">
        <v>1.10841E-3</v>
      </c>
      <c r="C2582" s="15">
        <v>8.9592999999999997E-4</v>
      </c>
    </row>
    <row r="2583" spans="1:3" x14ac:dyDescent="0.45">
      <c r="A2583" s="11">
        <v>42.54</v>
      </c>
      <c r="B2583" s="14">
        <v>1.1093800000000001E-3</v>
      </c>
      <c r="C2583" s="15">
        <v>8.9674000000000004E-4</v>
      </c>
    </row>
    <row r="2584" spans="1:3" x14ac:dyDescent="0.45">
      <c r="A2584" s="11">
        <v>42.55</v>
      </c>
      <c r="B2584" s="14">
        <v>1.11035E-3</v>
      </c>
      <c r="C2584" s="15">
        <v>8.9755E-4</v>
      </c>
    </row>
    <row r="2585" spans="1:3" x14ac:dyDescent="0.45">
      <c r="A2585" s="11">
        <v>42.56</v>
      </c>
      <c r="B2585" s="14">
        <v>1.1113200000000001E-3</v>
      </c>
      <c r="C2585" s="15">
        <v>8.9835999999999996E-4</v>
      </c>
    </row>
    <row r="2586" spans="1:3" x14ac:dyDescent="0.45">
      <c r="A2586" s="11">
        <v>42.57</v>
      </c>
      <c r="B2586" s="14">
        <v>1.1122899999999999E-3</v>
      </c>
      <c r="C2586" s="15">
        <v>8.9917000000000003E-4</v>
      </c>
    </row>
    <row r="2587" spans="1:3" x14ac:dyDescent="0.45">
      <c r="A2587" s="11">
        <v>42.58</v>
      </c>
      <c r="B2587" s="14">
        <v>1.11326E-3</v>
      </c>
      <c r="C2587" s="15">
        <v>8.9997999999999999E-4</v>
      </c>
    </row>
    <row r="2588" spans="1:3" x14ac:dyDescent="0.45">
      <c r="A2588" s="11">
        <v>42.59</v>
      </c>
      <c r="B2588" s="14">
        <v>1.1142299999999999E-3</v>
      </c>
      <c r="C2588" s="15">
        <v>9.0079000000000005E-4</v>
      </c>
    </row>
    <row r="2589" spans="1:3" x14ac:dyDescent="0.45">
      <c r="A2589" s="11">
        <v>42.6</v>
      </c>
      <c r="B2589" s="14">
        <v>1.1152E-3</v>
      </c>
      <c r="C2589" s="15">
        <v>9.0160000000000001E-4</v>
      </c>
    </row>
    <row r="2590" spans="1:3" x14ac:dyDescent="0.45">
      <c r="A2590" s="11">
        <v>42.61</v>
      </c>
      <c r="B2590" s="14">
        <v>1.1161700000000001E-3</v>
      </c>
      <c r="C2590" s="15">
        <v>9.0240999999999997E-4</v>
      </c>
    </row>
    <row r="2591" spans="1:3" x14ac:dyDescent="0.45">
      <c r="A2591" s="11">
        <v>42.62</v>
      </c>
      <c r="B2591" s="14">
        <v>1.11714E-3</v>
      </c>
      <c r="C2591" s="15">
        <v>9.0322000000000004E-4</v>
      </c>
    </row>
    <row r="2592" spans="1:3" x14ac:dyDescent="0.45">
      <c r="A2592" s="11">
        <v>42.63</v>
      </c>
      <c r="B2592" s="14">
        <v>1.1181100000000001E-3</v>
      </c>
      <c r="C2592" s="15">
        <v>9.0403E-4</v>
      </c>
    </row>
    <row r="2593" spans="1:3" x14ac:dyDescent="0.45">
      <c r="A2593" s="11">
        <v>42.64</v>
      </c>
      <c r="B2593" s="14">
        <v>1.1190799999999999E-3</v>
      </c>
      <c r="C2593" s="15">
        <v>9.0483999999999996E-4</v>
      </c>
    </row>
    <row r="2594" spans="1:3" x14ac:dyDescent="0.45">
      <c r="A2594" s="11">
        <v>42.65</v>
      </c>
      <c r="B2594" s="14">
        <v>1.12005E-3</v>
      </c>
      <c r="C2594" s="15">
        <v>9.0565000000000003E-4</v>
      </c>
    </row>
    <row r="2595" spans="1:3" x14ac:dyDescent="0.45">
      <c r="A2595" s="11">
        <v>42.66</v>
      </c>
      <c r="B2595" s="14">
        <v>1.1210199999999999E-3</v>
      </c>
      <c r="C2595" s="15">
        <v>9.0645999999999999E-4</v>
      </c>
    </row>
    <row r="2596" spans="1:3" x14ac:dyDescent="0.45">
      <c r="A2596" s="11">
        <v>42.67</v>
      </c>
      <c r="B2596" s="14">
        <v>1.12199E-3</v>
      </c>
      <c r="C2596" s="15">
        <v>9.0726999999999995E-4</v>
      </c>
    </row>
    <row r="2597" spans="1:3" x14ac:dyDescent="0.45">
      <c r="A2597" s="11">
        <v>42.68</v>
      </c>
      <c r="B2597" s="14">
        <v>1.1229600000000001E-3</v>
      </c>
      <c r="C2597" s="15">
        <v>9.0808000000000002E-4</v>
      </c>
    </row>
    <row r="2598" spans="1:3" x14ac:dyDescent="0.45">
      <c r="A2598" s="11">
        <v>42.69</v>
      </c>
      <c r="B2598" s="14">
        <v>1.12393E-3</v>
      </c>
      <c r="C2598" s="15">
        <v>9.0888999999999998E-4</v>
      </c>
    </row>
    <row r="2599" spans="1:3" x14ac:dyDescent="0.45">
      <c r="A2599" s="11">
        <v>42.7</v>
      </c>
      <c r="B2599" s="14">
        <v>1.1249000000000001E-3</v>
      </c>
      <c r="C2599" s="15">
        <v>9.0970000000000005E-4</v>
      </c>
    </row>
    <row r="2600" spans="1:3" x14ac:dyDescent="0.45">
      <c r="A2600" s="11">
        <v>42.71</v>
      </c>
      <c r="B2600" s="14">
        <v>1.12587E-3</v>
      </c>
      <c r="C2600" s="15">
        <v>9.1051000000000001E-4</v>
      </c>
    </row>
    <row r="2601" spans="1:3" x14ac:dyDescent="0.45">
      <c r="A2601" s="11">
        <v>42.72</v>
      </c>
      <c r="B2601" s="14">
        <v>1.12684E-3</v>
      </c>
      <c r="C2601" s="15">
        <v>9.1131999999999997E-4</v>
      </c>
    </row>
    <row r="2602" spans="1:3" x14ac:dyDescent="0.45">
      <c r="A2602" s="11">
        <v>42.73</v>
      </c>
      <c r="B2602" s="14">
        <v>1.1278099999999999E-3</v>
      </c>
      <c r="C2602" s="15">
        <v>9.1213000000000004E-4</v>
      </c>
    </row>
    <row r="2603" spans="1:3" x14ac:dyDescent="0.45">
      <c r="A2603" s="11">
        <v>42.74</v>
      </c>
      <c r="B2603" s="14">
        <v>1.12878E-3</v>
      </c>
      <c r="C2603" s="15">
        <v>9.1294E-4</v>
      </c>
    </row>
    <row r="2604" spans="1:3" x14ac:dyDescent="0.45">
      <c r="A2604" s="11">
        <v>42.75</v>
      </c>
      <c r="B2604" s="14">
        <v>1.1297499999999999E-3</v>
      </c>
      <c r="C2604" s="15">
        <v>9.1374999999999996E-4</v>
      </c>
    </row>
    <row r="2605" spans="1:3" x14ac:dyDescent="0.45">
      <c r="A2605" s="11">
        <v>42.76</v>
      </c>
      <c r="B2605" s="14">
        <v>1.13072E-3</v>
      </c>
      <c r="C2605" s="15">
        <v>9.1456000000000003E-4</v>
      </c>
    </row>
    <row r="2606" spans="1:3" x14ac:dyDescent="0.45">
      <c r="A2606" s="11">
        <v>42.77</v>
      </c>
      <c r="B2606" s="14">
        <v>1.1316900000000001E-3</v>
      </c>
      <c r="C2606" s="15">
        <v>9.1536999999999999E-4</v>
      </c>
    </row>
    <row r="2607" spans="1:3" x14ac:dyDescent="0.45">
      <c r="A2607" s="11">
        <v>42.78</v>
      </c>
      <c r="B2607" s="14">
        <v>1.13266E-3</v>
      </c>
      <c r="C2607" s="15">
        <v>9.1617999999999995E-4</v>
      </c>
    </row>
    <row r="2608" spans="1:3" x14ac:dyDescent="0.45">
      <c r="A2608" s="11">
        <v>42.79</v>
      </c>
      <c r="B2608" s="14">
        <v>1.1336300000000001E-3</v>
      </c>
      <c r="C2608" s="15">
        <v>9.1699000000000001E-4</v>
      </c>
    </row>
    <row r="2609" spans="1:3" x14ac:dyDescent="0.45">
      <c r="A2609" s="11">
        <v>42.8</v>
      </c>
      <c r="B2609" s="14">
        <v>1.1345999999999999E-3</v>
      </c>
      <c r="C2609" s="15">
        <v>9.1779999999999997E-4</v>
      </c>
    </row>
    <row r="2610" spans="1:3" x14ac:dyDescent="0.45">
      <c r="A2610" s="11">
        <v>42.81</v>
      </c>
      <c r="B2610" s="14">
        <v>1.13557E-3</v>
      </c>
      <c r="C2610" s="15">
        <v>9.1861000000000004E-4</v>
      </c>
    </row>
    <row r="2611" spans="1:3" x14ac:dyDescent="0.45">
      <c r="A2611" s="11">
        <v>42.82</v>
      </c>
      <c r="B2611" s="14">
        <v>1.1365399999999999E-3</v>
      </c>
      <c r="C2611" s="15">
        <v>9.1942E-4</v>
      </c>
    </row>
    <row r="2612" spans="1:3" x14ac:dyDescent="0.45">
      <c r="A2612" s="11">
        <v>42.83</v>
      </c>
      <c r="B2612" s="14">
        <v>1.13751E-3</v>
      </c>
      <c r="C2612" s="15">
        <v>9.2022999999999996E-4</v>
      </c>
    </row>
    <row r="2613" spans="1:3" x14ac:dyDescent="0.45">
      <c r="A2613" s="11">
        <v>42.84</v>
      </c>
      <c r="B2613" s="14">
        <v>1.1384800000000001E-3</v>
      </c>
      <c r="C2613" s="15">
        <v>9.2104000000000003E-4</v>
      </c>
    </row>
    <row r="2614" spans="1:3" x14ac:dyDescent="0.45">
      <c r="A2614" s="11">
        <v>42.85</v>
      </c>
      <c r="B2614" s="14">
        <v>1.13945E-3</v>
      </c>
      <c r="C2614" s="15">
        <v>9.2184999999999999E-4</v>
      </c>
    </row>
    <row r="2615" spans="1:3" x14ac:dyDescent="0.45">
      <c r="A2615" s="11">
        <v>42.86</v>
      </c>
      <c r="B2615" s="14">
        <v>1.1404200000000001E-3</v>
      </c>
      <c r="C2615" s="15">
        <v>9.2265999999999995E-4</v>
      </c>
    </row>
    <row r="2616" spans="1:3" x14ac:dyDescent="0.45">
      <c r="A2616" s="11">
        <v>42.87</v>
      </c>
      <c r="B2616" s="14">
        <v>1.1413899999999999E-3</v>
      </c>
      <c r="C2616" s="15">
        <v>9.2347000000000002E-4</v>
      </c>
    </row>
    <row r="2617" spans="1:3" x14ac:dyDescent="0.45">
      <c r="A2617" s="11">
        <v>42.88</v>
      </c>
      <c r="B2617" s="14">
        <v>1.14236E-3</v>
      </c>
      <c r="C2617" s="15">
        <v>9.2427999999999998E-4</v>
      </c>
    </row>
    <row r="2618" spans="1:3" x14ac:dyDescent="0.45">
      <c r="A2618" s="11">
        <v>42.89</v>
      </c>
      <c r="B2618" s="14">
        <v>1.1433299999999999E-3</v>
      </c>
      <c r="C2618" s="15">
        <v>9.2509000000000005E-4</v>
      </c>
    </row>
    <row r="2619" spans="1:3" x14ac:dyDescent="0.45">
      <c r="A2619" s="11">
        <v>42.9</v>
      </c>
      <c r="B2619" s="14">
        <v>1.1443E-3</v>
      </c>
      <c r="C2619" s="15">
        <v>9.2590000000000001E-4</v>
      </c>
    </row>
    <row r="2620" spans="1:3" x14ac:dyDescent="0.45">
      <c r="A2620" s="11">
        <v>42.91</v>
      </c>
      <c r="B2620" s="14">
        <v>1.1452700000000001E-3</v>
      </c>
      <c r="C2620" s="15">
        <v>9.2670999999999997E-4</v>
      </c>
    </row>
    <row r="2621" spans="1:3" x14ac:dyDescent="0.45">
      <c r="A2621" s="11">
        <v>42.92</v>
      </c>
      <c r="B2621" s="14">
        <v>1.14624E-3</v>
      </c>
      <c r="C2621" s="15">
        <v>9.2752000000000004E-4</v>
      </c>
    </row>
    <row r="2622" spans="1:3" x14ac:dyDescent="0.45">
      <c r="A2622" s="11">
        <v>42.93</v>
      </c>
      <c r="B2622" s="14">
        <v>1.1472100000000001E-3</v>
      </c>
      <c r="C2622" s="15">
        <v>9.2833E-4</v>
      </c>
    </row>
    <row r="2623" spans="1:3" x14ac:dyDescent="0.45">
      <c r="A2623" s="11">
        <v>42.94</v>
      </c>
      <c r="B2623" s="14">
        <v>1.1481799999999999E-3</v>
      </c>
      <c r="C2623" s="15">
        <v>9.2913999999999996E-4</v>
      </c>
    </row>
    <row r="2624" spans="1:3" x14ac:dyDescent="0.45">
      <c r="A2624" s="11">
        <v>42.95</v>
      </c>
      <c r="B2624" s="14">
        <v>1.14915E-3</v>
      </c>
      <c r="C2624" s="15">
        <v>9.2995000000000003E-4</v>
      </c>
    </row>
    <row r="2625" spans="1:3" x14ac:dyDescent="0.45">
      <c r="A2625" s="11">
        <v>42.96</v>
      </c>
      <c r="B2625" s="14">
        <v>1.1501199999999999E-3</v>
      </c>
      <c r="C2625" s="15">
        <v>9.3075999999999999E-4</v>
      </c>
    </row>
    <row r="2626" spans="1:3" x14ac:dyDescent="0.45">
      <c r="A2626" s="11">
        <v>42.97</v>
      </c>
      <c r="B2626" s="14">
        <v>1.15109E-3</v>
      </c>
      <c r="C2626" s="15">
        <v>9.3156999999999995E-4</v>
      </c>
    </row>
    <row r="2627" spans="1:3" x14ac:dyDescent="0.45">
      <c r="A2627" s="11">
        <v>42.98</v>
      </c>
      <c r="B2627" s="14">
        <v>1.1520600000000001E-3</v>
      </c>
      <c r="C2627" s="15">
        <v>9.3238000000000001E-4</v>
      </c>
    </row>
    <row r="2628" spans="1:3" x14ac:dyDescent="0.45">
      <c r="A2628" s="11">
        <v>42.99</v>
      </c>
      <c r="B2628" s="14">
        <v>1.15303E-3</v>
      </c>
      <c r="C2628" s="15">
        <v>9.3318999999999997E-4</v>
      </c>
    </row>
    <row r="2629" spans="1:3" x14ac:dyDescent="0.45">
      <c r="A2629" s="11">
        <v>43</v>
      </c>
      <c r="B2629" s="14">
        <v>1.1540000000000001E-3</v>
      </c>
      <c r="C2629" s="15">
        <v>9.3400000000000004E-4</v>
      </c>
    </row>
    <row r="2630" spans="1:3" x14ac:dyDescent="0.45">
      <c r="A2630" s="11">
        <v>43.01</v>
      </c>
      <c r="B2630" s="14">
        <v>1.15511E-3</v>
      </c>
      <c r="C2630" s="15">
        <v>9.3488000000000002E-4</v>
      </c>
    </row>
    <row r="2631" spans="1:3" x14ac:dyDescent="0.45">
      <c r="A2631" s="11">
        <v>43.02</v>
      </c>
      <c r="B2631" s="14">
        <v>1.1562199999999999E-3</v>
      </c>
      <c r="C2631" s="15">
        <v>9.3576E-4</v>
      </c>
    </row>
    <row r="2632" spans="1:3" x14ac:dyDescent="0.45">
      <c r="A2632" s="11">
        <v>43.03</v>
      </c>
      <c r="B2632" s="14">
        <v>1.15733E-3</v>
      </c>
      <c r="C2632" s="15">
        <v>9.3663999999999998E-4</v>
      </c>
    </row>
    <row r="2633" spans="1:3" x14ac:dyDescent="0.45">
      <c r="A2633" s="11">
        <v>43.04</v>
      </c>
      <c r="B2633" s="14">
        <v>1.1584399999999999E-3</v>
      </c>
      <c r="C2633" s="15">
        <v>9.3751999999999995E-4</v>
      </c>
    </row>
    <row r="2634" spans="1:3" x14ac:dyDescent="0.45">
      <c r="A2634" s="11">
        <v>43.05</v>
      </c>
      <c r="B2634" s="14">
        <v>1.1595500000000001E-3</v>
      </c>
      <c r="C2634" s="15">
        <v>9.3840000000000004E-4</v>
      </c>
    </row>
    <row r="2635" spans="1:3" x14ac:dyDescent="0.45">
      <c r="A2635" s="11">
        <v>43.06</v>
      </c>
      <c r="B2635" s="14">
        <v>1.16066E-3</v>
      </c>
      <c r="C2635" s="15">
        <v>9.3928000000000002E-4</v>
      </c>
    </row>
    <row r="2636" spans="1:3" x14ac:dyDescent="0.45">
      <c r="A2636" s="11">
        <v>43.07</v>
      </c>
      <c r="B2636" s="14">
        <v>1.1617699999999999E-3</v>
      </c>
      <c r="C2636" s="15">
        <v>9.4016E-4</v>
      </c>
    </row>
    <row r="2637" spans="1:3" x14ac:dyDescent="0.45">
      <c r="A2637" s="11">
        <v>43.08</v>
      </c>
      <c r="B2637" s="14">
        <v>1.16288E-3</v>
      </c>
      <c r="C2637" s="15">
        <v>9.4103999999999998E-4</v>
      </c>
    </row>
    <row r="2638" spans="1:3" x14ac:dyDescent="0.45">
      <c r="A2638" s="11">
        <v>43.09</v>
      </c>
      <c r="B2638" s="14">
        <v>1.1639899999999999E-3</v>
      </c>
      <c r="C2638" s="15">
        <v>9.4191999999999995E-4</v>
      </c>
    </row>
    <row r="2639" spans="1:3" x14ac:dyDescent="0.45">
      <c r="A2639" s="11">
        <v>43.1</v>
      </c>
      <c r="B2639" s="14">
        <v>1.1651000000000001E-3</v>
      </c>
      <c r="C2639" s="15">
        <v>9.4280000000000004E-4</v>
      </c>
    </row>
    <row r="2640" spans="1:3" x14ac:dyDescent="0.45">
      <c r="A2640" s="11">
        <v>43.11</v>
      </c>
      <c r="B2640" s="14">
        <v>1.16621E-3</v>
      </c>
      <c r="C2640" s="15">
        <v>9.4368000000000002E-4</v>
      </c>
    </row>
    <row r="2641" spans="1:3" x14ac:dyDescent="0.45">
      <c r="A2641" s="11">
        <v>43.12</v>
      </c>
      <c r="B2641" s="14">
        <v>1.1673199999999999E-3</v>
      </c>
      <c r="C2641" s="15">
        <v>9.4456E-4</v>
      </c>
    </row>
    <row r="2642" spans="1:3" x14ac:dyDescent="0.45">
      <c r="A2642" s="11">
        <v>43.13</v>
      </c>
      <c r="B2642" s="14">
        <v>1.16843E-3</v>
      </c>
      <c r="C2642" s="15">
        <v>9.4543999999999997E-4</v>
      </c>
    </row>
    <row r="2643" spans="1:3" x14ac:dyDescent="0.45">
      <c r="A2643" s="11">
        <v>43.14</v>
      </c>
      <c r="B2643" s="14">
        <v>1.1695399999999999E-3</v>
      </c>
      <c r="C2643" s="15">
        <v>9.4631999999999995E-4</v>
      </c>
    </row>
    <row r="2644" spans="1:3" x14ac:dyDescent="0.45">
      <c r="A2644" s="11">
        <v>43.15</v>
      </c>
      <c r="B2644" s="14">
        <v>1.1706500000000001E-3</v>
      </c>
      <c r="C2644" s="15">
        <v>9.4720000000000004E-4</v>
      </c>
    </row>
    <row r="2645" spans="1:3" x14ac:dyDescent="0.45">
      <c r="A2645" s="11">
        <v>43.16</v>
      </c>
      <c r="B2645" s="14">
        <v>1.17176E-3</v>
      </c>
      <c r="C2645" s="15">
        <v>9.4808000000000002E-4</v>
      </c>
    </row>
    <row r="2646" spans="1:3" x14ac:dyDescent="0.45">
      <c r="A2646" s="11">
        <v>43.17</v>
      </c>
      <c r="B2646" s="14">
        <v>1.1728699999999999E-3</v>
      </c>
      <c r="C2646" s="15">
        <v>9.4895999999999999E-4</v>
      </c>
    </row>
    <row r="2647" spans="1:3" x14ac:dyDescent="0.45">
      <c r="A2647" s="11">
        <v>43.18</v>
      </c>
      <c r="B2647" s="14">
        <v>1.17398E-3</v>
      </c>
      <c r="C2647" s="15">
        <v>9.4983999999999997E-4</v>
      </c>
    </row>
    <row r="2648" spans="1:3" x14ac:dyDescent="0.45">
      <c r="A2648" s="11">
        <v>43.19</v>
      </c>
      <c r="B2648" s="14">
        <v>1.1750899999999999E-3</v>
      </c>
      <c r="C2648" s="15">
        <v>9.5071999999999995E-4</v>
      </c>
    </row>
    <row r="2649" spans="1:3" x14ac:dyDescent="0.45">
      <c r="A2649" s="11">
        <v>43.2</v>
      </c>
      <c r="B2649" s="14">
        <v>1.1762000000000001E-3</v>
      </c>
      <c r="C2649" s="15">
        <v>9.5160000000000004E-4</v>
      </c>
    </row>
    <row r="2650" spans="1:3" x14ac:dyDescent="0.45">
      <c r="A2650" s="11">
        <v>43.21</v>
      </c>
      <c r="B2650" s="14">
        <v>1.17731E-3</v>
      </c>
      <c r="C2650" s="15">
        <v>9.5248000000000002E-4</v>
      </c>
    </row>
    <row r="2651" spans="1:3" x14ac:dyDescent="0.45">
      <c r="A2651" s="11">
        <v>43.22</v>
      </c>
      <c r="B2651" s="14">
        <v>1.1784199999999999E-3</v>
      </c>
      <c r="C2651" s="15">
        <v>9.5335999999999999E-4</v>
      </c>
    </row>
    <row r="2652" spans="1:3" x14ac:dyDescent="0.45">
      <c r="A2652" s="11">
        <v>43.23</v>
      </c>
      <c r="B2652" s="14">
        <v>1.17953E-3</v>
      </c>
      <c r="C2652" s="15">
        <v>9.5423999999999997E-4</v>
      </c>
    </row>
    <row r="2653" spans="1:3" x14ac:dyDescent="0.45">
      <c r="A2653" s="11">
        <v>43.24</v>
      </c>
      <c r="B2653" s="14">
        <v>1.1806399999999999E-3</v>
      </c>
      <c r="C2653" s="15">
        <v>9.5511999999999995E-4</v>
      </c>
    </row>
    <row r="2654" spans="1:3" x14ac:dyDescent="0.45">
      <c r="A2654" s="11">
        <v>43.25</v>
      </c>
      <c r="B2654" s="14">
        <v>1.1817500000000001E-3</v>
      </c>
      <c r="C2654" s="15">
        <v>9.5600000000000004E-4</v>
      </c>
    </row>
    <row r="2655" spans="1:3" x14ac:dyDescent="0.45">
      <c r="A2655" s="11">
        <v>43.26</v>
      </c>
      <c r="B2655" s="14">
        <v>1.18286E-3</v>
      </c>
      <c r="C2655" s="15">
        <v>9.5688000000000001E-4</v>
      </c>
    </row>
    <row r="2656" spans="1:3" x14ac:dyDescent="0.45">
      <c r="A2656" s="11">
        <v>43.27</v>
      </c>
      <c r="B2656" s="14">
        <v>1.1839699999999999E-3</v>
      </c>
      <c r="C2656" s="15">
        <v>9.5775999999999999E-4</v>
      </c>
    </row>
    <row r="2657" spans="1:3" x14ac:dyDescent="0.45">
      <c r="A2657" s="11">
        <v>43.28</v>
      </c>
      <c r="B2657" s="14">
        <v>1.18508E-3</v>
      </c>
      <c r="C2657" s="15">
        <v>9.5863999999999997E-4</v>
      </c>
    </row>
    <row r="2658" spans="1:3" x14ac:dyDescent="0.45">
      <c r="A2658" s="11">
        <v>43.29</v>
      </c>
      <c r="B2658" s="14">
        <v>1.1861899999999999E-3</v>
      </c>
      <c r="C2658" s="15">
        <v>9.5951999999999995E-4</v>
      </c>
    </row>
    <row r="2659" spans="1:3" x14ac:dyDescent="0.45">
      <c r="A2659" s="11">
        <v>43.3</v>
      </c>
      <c r="B2659" s="14">
        <v>1.1873000000000001E-3</v>
      </c>
      <c r="C2659" s="15">
        <v>9.6040000000000003E-4</v>
      </c>
    </row>
    <row r="2660" spans="1:3" x14ac:dyDescent="0.45">
      <c r="A2660" s="11">
        <v>43.31</v>
      </c>
      <c r="B2660" s="14">
        <v>1.18841E-3</v>
      </c>
      <c r="C2660" s="15">
        <v>9.6128000000000001E-4</v>
      </c>
    </row>
    <row r="2661" spans="1:3" x14ac:dyDescent="0.45">
      <c r="A2661" s="11">
        <v>43.32</v>
      </c>
      <c r="B2661" s="14">
        <v>1.1895199999999999E-3</v>
      </c>
      <c r="C2661" s="15">
        <v>9.6215999999999999E-4</v>
      </c>
    </row>
    <row r="2662" spans="1:3" x14ac:dyDescent="0.45">
      <c r="A2662" s="11">
        <v>43.33</v>
      </c>
      <c r="B2662" s="14">
        <v>1.19063E-3</v>
      </c>
      <c r="C2662" s="15">
        <v>9.6303999999999997E-4</v>
      </c>
    </row>
    <row r="2663" spans="1:3" x14ac:dyDescent="0.45">
      <c r="A2663" s="11">
        <v>43.34</v>
      </c>
      <c r="B2663" s="14">
        <v>1.1917399999999999E-3</v>
      </c>
      <c r="C2663" s="15">
        <v>9.6391999999999995E-4</v>
      </c>
    </row>
    <row r="2664" spans="1:3" x14ac:dyDescent="0.45">
      <c r="A2664" s="11">
        <v>43.35</v>
      </c>
      <c r="B2664" s="14">
        <v>1.1928500000000001E-3</v>
      </c>
      <c r="C2664" s="15">
        <v>9.6480000000000003E-4</v>
      </c>
    </row>
    <row r="2665" spans="1:3" x14ac:dyDescent="0.45">
      <c r="A2665" s="11">
        <v>43.36</v>
      </c>
      <c r="B2665" s="14">
        <v>1.19396E-3</v>
      </c>
      <c r="C2665" s="15">
        <v>9.6568000000000001E-4</v>
      </c>
    </row>
    <row r="2666" spans="1:3" x14ac:dyDescent="0.45">
      <c r="A2666" s="11">
        <v>43.37</v>
      </c>
      <c r="B2666" s="14">
        <v>1.1950699999999999E-3</v>
      </c>
      <c r="C2666" s="15">
        <v>9.6655999999999999E-4</v>
      </c>
    </row>
    <row r="2667" spans="1:3" x14ac:dyDescent="0.45">
      <c r="A2667" s="11">
        <v>43.38</v>
      </c>
      <c r="B2667" s="14">
        <v>1.19618E-3</v>
      </c>
      <c r="C2667" s="15">
        <v>9.6743999999999997E-4</v>
      </c>
    </row>
    <row r="2668" spans="1:3" x14ac:dyDescent="0.45">
      <c r="A2668" s="11">
        <v>43.39</v>
      </c>
      <c r="B2668" s="14">
        <v>1.1972899999999999E-3</v>
      </c>
      <c r="C2668" s="15">
        <v>9.6832000000000005E-4</v>
      </c>
    </row>
    <row r="2669" spans="1:3" x14ac:dyDescent="0.45">
      <c r="A2669" s="11">
        <v>43.4</v>
      </c>
      <c r="B2669" s="14">
        <v>1.1984000000000001E-3</v>
      </c>
      <c r="C2669" s="15">
        <v>9.6920000000000003E-4</v>
      </c>
    </row>
    <row r="2670" spans="1:3" x14ac:dyDescent="0.45">
      <c r="A2670" s="11">
        <v>43.41</v>
      </c>
      <c r="B2670" s="14">
        <v>1.19951E-3</v>
      </c>
      <c r="C2670" s="15">
        <v>9.7008000000000001E-4</v>
      </c>
    </row>
    <row r="2671" spans="1:3" x14ac:dyDescent="0.45">
      <c r="A2671" s="11">
        <v>43.42</v>
      </c>
      <c r="B2671" s="14">
        <v>1.2006199999999999E-3</v>
      </c>
      <c r="C2671" s="15">
        <v>9.7095999999999999E-4</v>
      </c>
    </row>
    <row r="2672" spans="1:3" x14ac:dyDescent="0.45">
      <c r="A2672" s="11">
        <v>43.43</v>
      </c>
      <c r="B2672" s="14">
        <v>1.20173E-3</v>
      </c>
      <c r="C2672" s="15">
        <v>9.7183999999999997E-4</v>
      </c>
    </row>
    <row r="2673" spans="1:3" x14ac:dyDescent="0.45">
      <c r="A2673" s="11">
        <v>43.44</v>
      </c>
      <c r="B2673" s="14">
        <v>1.2028399999999999E-3</v>
      </c>
      <c r="C2673" s="15">
        <v>9.7272000000000005E-4</v>
      </c>
    </row>
    <row r="2674" spans="1:3" x14ac:dyDescent="0.45">
      <c r="A2674" s="11">
        <v>43.45</v>
      </c>
      <c r="B2674" s="14">
        <v>1.2039500000000001E-3</v>
      </c>
      <c r="C2674" s="15">
        <v>9.7360000000000003E-4</v>
      </c>
    </row>
    <row r="2675" spans="1:3" x14ac:dyDescent="0.45">
      <c r="A2675" s="11">
        <v>43.46</v>
      </c>
      <c r="B2675" s="14">
        <v>1.20506E-3</v>
      </c>
      <c r="C2675" s="15">
        <v>9.7448000000000001E-4</v>
      </c>
    </row>
    <row r="2676" spans="1:3" x14ac:dyDescent="0.45">
      <c r="A2676" s="11">
        <v>43.47</v>
      </c>
      <c r="B2676" s="14">
        <v>1.2061699999999999E-3</v>
      </c>
      <c r="C2676" s="15">
        <v>9.7535999999999999E-4</v>
      </c>
    </row>
    <row r="2677" spans="1:3" x14ac:dyDescent="0.45">
      <c r="A2677" s="11">
        <v>43.48</v>
      </c>
      <c r="B2677" s="14">
        <v>1.20728E-3</v>
      </c>
      <c r="C2677" s="15">
        <v>9.7623999999999996E-4</v>
      </c>
    </row>
    <row r="2678" spans="1:3" x14ac:dyDescent="0.45">
      <c r="A2678" s="11">
        <v>43.49</v>
      </c>
      <c r="B2678" s="14">
        <v>1.2083899999999999E-3</v>
      </c>
      <c r="C2678" s="15">
        <v>9.7711999999999994E-4</v>
      </c>
    </row>
    <row r="2679" spans="1:3" x14ac:dyDescent="0.45">
      <c r="A2679" s="11">
        <v>43.5</v>
      </c>
      <c r="B2679" s="14">
        <v>1.2095000000000001E-3</v>
      </c>
      <c r="C2679" s="15">
        <v>9.7799999999999992E-4</v>
      </c>
    </row>
    <row r="2680" spans="1:3" x14ac:dyDescent="0.45">
      <c r="A2680" s="11">
        <v>43.51</v>
      </c>
      <c r="B2680" s="14">
        <v>1.21061E-3</v>
      </c>
      <c r="C2680" s="15">
        <v>9.788799999999999E-4</v>
      </c>
    </row>
    <row r="2681" spans="1:3" x14ac:dyDescent="0.45">
      <c r="A2681" s="11">
        <v>43.52</v>
      </c>
      <c r="B2681" s="14">
        <v>1.2117199999999999E-3</v>
      </c>
      <c r="C2681" s="15">
        <v>9.7976000000000009E-4</v>
      </c>
    </row>
    <row r="2682" spans="1:3" x14ac:dyDescent="0.45">
      <c r="A2682" s="11">
        <v>43.53</v>
      </c>
      <c r="B2682" s="14">
        <v>1.21283E-3</v>
      </c>
      <c r="C2682" s="15">
        <v>9.8064000000000007E-4</v>
      </c>
    </row>
    <row r="2683" spans="1:3" x14ac:dyDescent="0.45">
      <c r="A2683" s="11">
        <v>43.54</v>
      </c>
      <c r="B2683" s="14">
        <v>1.2139399999999999E-3</v>
      </c>
      <c r="C2683" s="15">
        <v>9.8152000000000005E-4</v>
      </c>
    </row>
    <row r="2684" spans="1:3" x14ac:dyDescent="0.45">
      <c r="A2684" s="11">
        <v>43.55</v>
      </c>
      <c r="B2684" s="14">
        <v>1.2150500000000001E-3</v>
      </c>
      <c r="C2684" s="15">
        <v>9.8240000000000003E-4</v>
      </c>
    </row>
    <row r="2685" spans="1:3" x14ac:dyDescent="0.45">
      <c r="A2685" s="11">
        <v>43.56</v>
      </c>
      <c r="B2685" s="14">
        <v>1.21616E-3</v>
      </c>
      <c r="C2685" s="15">
        <v>9.8328E-4</v>
      </c>
    </row>
    <row r="2686" spans="1:3" x14ac:dyDescent="0.45">
      <c r="A2686" s="11">
        <v>43.57</v>
      </c>
      <c r="B2686" s="14">
        <v>1.2172699999999999E-3</v>
      </c>
      <c r="C2686" s="15">
        <v>9.8415999999999998E-4</v>
      </c>
    </row>
    <row r="2687" spans="1:3" x14ac:dyDescent="0.45">
      <c r="A2687" s="11">
        <v>43.58</v>
      </c>
      <c r="B2687" s="14">
        <v>1.21838E-3</v>
      </c>
      <c r="C2687" s="15">
        <v>9.8503999999999996E-4</v>
      </c>
    </row>
    <row r="2688" spans="1:3" x14ac:dyDescent="0.45">
      <c r="A2688" s="11">
        <v>43.59</v>
      </c>
      <c r="B2688" s="14">
        <v>1.2194899999999999E-3</v>
      </c>
      <c r="C2688" s="15">
        <v>9.8591999999999994E-4</v>
      </c>
    </row>
    <row r="2689" spans="1:3" x14ac:dyDescent="0.45">
      <c r="A2689" s="11">
        <v>43.6</v>
      </c>
      <c r="B2689" s="14">
        <v>1.2206000000000001E-3</v>
      </c>
      <c r="C2689" s="15">
        <v>9.8679999999999992E-4</v>
      </c>
    </row>
    <row r="2690" spans="1:3" x14ac:dyDescent="0.45">
      <c r="A2690" s="11">
        <v>43.61</v>
      </c>
      <c r="B2690" s="14">
        <v>1.22171E-3</v>
      </c>
      <c r="C2690" s="15">
        <v>9.8767999999999989E-4</v>
      </c>
    </row>
    <row r="2691" spans="1:3" x14ac:dyDescent="0.45">
      <c r="A2691" s="11">
        <v>43.62</v>
      </c>
      <c r="B2691" s="14">
        <v>1.2228199999999999E-3</v>
      </c>
      <c r="C2691" s="15">
        <v>9.8856000000000009E-4</v>
      </c>
    </row>
    <row r="2692" spans="1:3" x14ac:dyDescent="0.45">
      <c r="A2692" s="11">
        <v>43.63</v>
      </c>
      <c r="B2692" s="14">
        <v>1.22393E-3</v>
      </c>
      <c r="C2692" s="15">
        <v>9.8944000000000007E-4</v>
      </c>
    </row>
    <row r="2693" spans="1:3" x14ac:dyDescent="0.45">
      <c r="A2693" s="11">
        <v>43.64</v>
      </c>
      <c r="B2693" s="14">
        <v>1.2250399999999999E-3</v>
      </c>
      <c r="C2693" s="15">
        <v>9.9032000000000005E-4</v>
      </c>
    </row>
    <row r="2694" spans="1:3" x14ac:dyDescent="0.45">
      <c r="A2694" s="11">
        <v>43.65</v>
      </c>
      <c r="B2694" s="14">
        <v>1.2261500000000001E-3</v>
      </c>
      <c r="C2694" s="15">
        <v>9.9120000000000002E-4</v>
      </c>
    </row>
    <row r="2695" spans="1:3" x14ac:dyDescent="0.45">
      <c r="A2695" s="11">
        <v>43.66</v>
      </c>
      <c r="B2695" s="14">
        <v>1.22726E-3</v>
      </c>
      <c r="C2695" s="15">
        <v>9.9208E-4</v>
      </c>
    </row>
    <row r="2696" spans="1:3" x14ac:dyDescent="0.45">
      <c r="A2696" s="11">
        <v>43.67</v>
      </c>
      <c r="B2696" s="14">
        <v>1.2283699999999999E-3</v>
      </c>
      <c r="C2696" s="15">
        <v>9.9295999999999998E-4</v>
      </c>
    </row>
    <row r="2697" spans="1:3" x14ac:dyDescent="0.45">
      <c r="A2697" s="11">
        <v>43.68</v>
      </c>
      <c r="B2697" s="14">
        <v>1.22948E-3</v>
      </c>
      <c r="C2697" s="15">
        <v>9.9383999999999996E-4</v>
      </c>
    </row>
    <row r="2698" spans="1:3" x14ac:dyDescent="0.45">
      <c r="A2698" s="11">
        <v>43.69</v>
      </c>
      <c r="B2698" s="14">
        <v>1.2305899999999999E-3</v>
      </c>
      <c r="C2698" s="15">
        <v>9.9471999999999994E-4</v>
      </c>
    </row>
    <row r="2699" spans="1:3" x14ac:dyDescent="0.45">
      <c r="A2699" s="11">
        <v>43.7</v>
      </c>
      <c r="B2699" s="14">
        <v>1.2317000000000001E-3</v>
      </c>
      <c r="C2699" s="15">
        <v>9.9559999999999991E-4</v>
      </c>
    </row>
    <row r="2700" spans="1:3" x14ac:dyDescent="0.45">
      <c r="A2700" s="11">
        <v>43.71</v>
      </c>
      <c r="B2700" s="14">
        <v>1.23281E-3</v>
      </c>
      <c r="C2700" s="15">
        <v>9.9647999999999989E-4</v>
      </c>
    </row>
    <row r="2701" spans="1:3" x14ac:dyDescent="0.45">
      <c r="A2701" s="11">
        <v>43.72</v>
      </c>
      <c r="B2701" s="14">
        <v>1.2339199999999999E-3</v>
      </c>
      <c r="C2701" s="15">
        <v>9.9736000000000009E-4</v>
      </c>
    </row>
    <row r="2702" spans="1:3" x14ac:dyDescent="0.45">
      <c r="A2702" s="11">
        <v>43.73</v>
      </c>
      <c r="B2702" s="14">
        <v>1.23503E-3</v>
      </c>
      <c r="C2702" s="15">
        <v>9.9824000000000006E-4</v>
      </c>
    </row>
    <row r="2703" spans="1:3" x14ac:dyDescent="0.45">
      <c r="A2703" s="11">
        <v>43.74</v>
      </c>
      <c r="B2703" s="14">
        <v>1.2361399999999999E-3</v>
      </c>
      <c r="C2703" s="15">
        <v>9.9912000000000004E-4</v>
      </c>
    </row>
    <row r="2704" spans="1:3" x14ac:dyDescent="0.45">
      <c r="A2704" s="11">
        <v>43.75</v>
      </c>
      <c r="B2704" s="14">
        <v>1.2372500000000001E-3</v>
      </c>
      <c r="C2704" s="15">
        <v>1E-3</v>
      </c>
    </row>
    <row r="2705" spans="1:3" x14ac:dyDescent="0.45">
      <c r="A2705" s="11">
        <v>43.76</v>
      </c>
      <c r="B2705" s="14">
        <v>1.23836E-3</v>
      </c>
      <c r="C2705" s="15">
        <v>1.00088E-3</v>
      </c>
    </row>
    <row r="2706" spans="1:3" x14ac:dyDescent="0.45">
      <c r="A2706" s="11">
        <v>43.77</v>
      </c>
      <c r="B2706" s="14">
        <v>1.2394699999999999E-3</v>
      </c>
      <c r="C2706" s="15">
        <v>1.00176E-3</v>
      </c>
    </row>
    <row r="2707" spans="1:3" x14ac:dyDescent="0.45">
      <c r="A2707" s="11">
        <v>43.78</v>
      </c>
      <c r="B2707" s="14">
        <v>1.24058E-3</v>
      </c>
      <c r="C2707" s="15">
        <v>1.00264E-3</v>
      </c>
    </row>
    <row r="2708" spans="1:3" x14ac:dyDescent="0.45">
      <c r="A2708" s="11">
        <v>43.79</v>
      </c>
      <c r="B2708" s="14">
        <v>1.2416899999999999E-3</v>
      </c>
      <c r="C2708" s="15">
        <v>1.0035199999999999E-3</v>
      </c>
    </row>
    <row r="2709" spans="1:3" x14ac:dyDescent="0.45">
      <c r="A2709" s="11">
        <v>43.8</v>
      </c>
      <c r="B2709" s="14">
        <v>1.2428000000000001E-3</v>
      </c>
      <c r="C2709" s="15">
        <v>1.0043999999999999E-3</v>
      </c>
    </row>
    <row r="2710" spans="1:3" x14ac:dyDescent="0.45">
      <c r="A2710" s="11">
        <v>43.81</v>
      </c>
      <c r="B2710" s="14">
        <v>1.24391E-3</v>
      </c>
      <c r="C2710" s="15">
        <v>1.0052800000000001E-3</v>
      </c>
    </row>
    <row r="2711" spans="1:3" x14ac:dyDescent="0.45">
      <c r="A2711" s="11">
        <v>43.82</v>
      </c>
      <c r="B2711" s="14">
        <v>1.2450199999999999E-3</v>
      </c>
      <c r="C2711" s="15">
        <v>1.0061600000000001E-3</v>
      </c>
    </row>
    <row r="2712" spans="1:3" x14ac:dyDescent="0.45">
      <c r="A2712" s="11">
        <v>43.83</v>
      </c>
      <c r="B2712" s="14">
        <v>1.24613E-3</v>
      </c>
      <c r="C2712" s="15">
        <v>1.0070400000000001E-3</v>
      </c>
    </row>
    <row r="2713" spans="1:3" x14ac:dyDescent="0.45">
      <c r="A2713" s="11">
        <v>43.84</v>
      </c>
      <c r="B2713" s="14">
        <v>1.2472399999999999E-3</v>
      </c>
      <c r="C2713" s="15">
        <v>1.00792E-3</v>
      </c>
    </row>
    <row r="2714" spans="1:3" x14ac:dyDescent="0.45">
      <c r="A2714" s="11">
        <v>43.85</v>
      </c>
      <c r="B2714" s="14">
        <v>1.2483500000000001E-3</v>
      </c>
      <c r="C2714" s="15">
        <v>1.0088E-3</v>
      </c>
    </row>
    <row r="2715" spans="1:3" x14ac:dyDescent="0.45">
      <c r="A2715" s="11">
        <v>43.86</v>
      </c>
      <c r="B2715" s="14">
        <v>1.24946E-3</v>
      </c>
      <c r="C2715" s="15">
        <v>1.00968E-3</v>
      </c>
    </row>
    <row r="2716" spans="1:3" x14ac:dyDescent="0.45">
      <c r="A2716" s="11">
        <v>43.87</v>
      </c>
      <c r="B2716" s="14">
        <v>1.2505699999999999E-3</v>
      </c>
      <c r="C2716" s="15">
        <v>1.01056E-3</v>
      </c>
    </row>
    <row r="2717" spans="1:3" x14ac:dyDescent="0.45">
      <c r="A2717" s="11">
        <v>43.88</v>
      </c>
      <c r="B2717" s="14">
        <v>1.25168E-3</v>
      </c>
      <c r="C2717" s="15">
        <v>1.01144E-3</v>
      </c>
    </row>
    <row r="2718" spans="1:3" x14ac:dyDescent="0.45">
      <c r="A2718" s="11">
        <v>43.89</v>
      </c>
      <c r="B2718" s="14">
        <v>1.2527899999999999E-3</v>
      </c>
      <c r="C2718" s="15">
        <v>1.0123199999999999E-3</v>
      </c>
    </row>
    <row r="2719" spans="1:3" x14ac:dyDescent="0.45">
      <c r="A2719" s="11">
        <v>43.9</v>
      </c>
      <c r="B2719" s="14">
        <v>1.2539000000000001E-3</v>
      </c>
      <c r="C2719" s="15">
        <v>1.0131999999999999E-3</v>
      </c>
    </row>
    <row r="2720" spans="1:3" x14ac:dyDescent="0.45">
      <c r="A2720" s="11">
        <v>43.91</v>
      </c>
      <c r="B2720" s="14">
        <v>1.25501E-3</v>
      </c>
      <c r="C2720" s="15">
        <v>1.0140800000000001E-3</v>
      </c>
    </row>
    <row r="2721" spans="1:3" x14ac:dyDescent="0.45">
      <c r="A2721" s="11">
        <v>43.92</v>
      </c>
      <c r="B2721" s="14">
        <v>1.2561199999999999E-3</v>
      </c>
      <c r="C2721" s="15">
        <v>1.0149600000000001E-3</v>
      </c>
    </row>
    <row r="2722" spans="1:3" x14ac:dyDescent="0.45">
      <c r="A2722" s="11">
        <v>43.93</v>
      </c>
      <c r="B2722" s="14">
        <v>1.25723E-3</v>
      </c>
      <c r="C2722" s="15">
        <v>1.0158400000000001E-3</v>
      </c>
    </row>
    <row r="2723" spans="1:3" x14ac:dyDescent="0.45">
      <c r="A2723" s="11">
        <v>43.94</v>
      </c>
      <c r="B2723" s="14">
        <v>1.2583399999999999E-3</v>
      </c>
      <c r="C2723" s="15">
        <v>1.01672E-3</v>
      </c>
    </row>
    <row r="2724" spans="1:3" x14ac:dyDescent="0.45">
      <c r="A2724" s="11">
        <v>43.95</v>
      </c>
      <c r="B2724" s="14">
        <v>1.2594500000000001E-3</v>
      </c>
      <c r="C2724" s="15">
        <v>1.0176E-3</v>
      </c>
    </row>
    <row r="2725" spans="1:3" x14ac:dyDescent="0.45">
      <c r="A2725" s="11">
        <v>43.96</v>
      </c>
      <c r="B2725" s="14">
        <v>1.26056E-3</v>
      </c>
      <c r="C2725" s="15">
        <v>1.01848E-3</v>
      </c>
    </row>
    <row r="2726" spans="1:3" x14ac:dyDescent="0.45">
      <c r="A2726" s="11">
        <v>43.97</v>
      </c>
      <c r="B2726" s="14">
        <v>1.2616699999999999E-3</v>
      </c>
      <c r="C2726" s="15">
        <v>1.01936E-3</v>
      </c>
    </row>
    <row r="2727" spans="1:3" x14ac:dyDescent="0.45">
      <c r="A2727" s="11">
        <v>43.98</v>
      </c>
      <c r="B2727" s="14">
        <v>1.26278E-3</v>
      </c>
      <c r="C2727" s="15">
        <v>1.0202399999999999E-3</v>
      </c>
    </row>
    <row r="2728" spans="1:3" x14ac:dyDescent="0.45">
      <c r="A2728" s="11">
        <v>43.99</v>
      </c>
      <c r="B2728" s="14">
        <v>1.2638899999999999E-3</v>
      </c>
      <c r="C2728" s="15">
        <v>1.0211199999999999E-3</v>
      </c>
    </row>
    <row r="2729" spans="1:3" x14ac:dyDescent="0.45">
      <c r="A2729" s="11">
        <v>44</v>
      </c>
      <c r="B2729" s="14">
        <v>1.2650000000000001E-3</v>
      </c>
      <c r="C2729" s="15">
        <v>1.0219999999999999E-3</v>
      </c>
    </row>
    <row r="2730" spans="1:3" x14ac:dyDescent="0.45">
      <c r="A2730" s="11">
        <v>44.01</v>
      </c>
      <c r="B2730" s="14">
        <v>1.26629E-3</v>
      </c>
      <c r="C2730" s="15">
        <v>1.0229900000000001E-3</v>
      </c>
    </row>
    <row r="2731" spans="1:3" x14ac:dyDescent="0.45">
      <c r="A2731" s="11">
        <v>44.02</v>
      </c>
      <c r="B2731" s="14">
        <v>1.2675799999999999E-3</v>
      </c>
      <c r="C2731" s="15">
        <v>1.0239800000000001E-3</v>
      </c>
    </row>
    <row r="2732" spans="1:3" x14ac:dyDescent="0.45">
      <c r="A2732" s="11">
        <v>44.03</v>
      </c>
      <c r="B2732" s="14">
        <v>1.2688700000000001E-3</v>
      </c>
      <c r="C2732" s="15">
        <v>1.02497E-3</v>
      </c>
    </row>
    <row r="2733" spans="1:3" x14ac:dyDescent="0.45">
      <c r="A2733" s="11">
        <v>44.04</v>
      </c>
      <c r="B2733" s="14">
        <v>1.27016E-3</v>
      </c>
      <c r="C2733" s="15">
        <v>1.02596E-3</v>
      </c>
    </row>
    <row r="2734" spans="1:3" x14ac:dyDescent="0.45">
      <c r="A2734" s="11">
        <v>44.05</v>
      </c>
      <c r="B2734" s="14">
        <v>1.2714499999999999E-3</v>
      </c>
      <c r="C2734" s="15">
        <v>1.02695E-3</v>
      </c>
    </row>
    <row r="2735" spans="1:3" x14ac:dyDescent="0.45">
      <c r="A2735" s="11">
        <v>44.06</v>
      </c>
      <c r="B2735" s="14">
        <v>1.2727400000000001E-3</v>
      </c>
      <c r="C2735" s="15">
        <v>1.02794E-3</v>
      </c>
    </row>
    <row r="2736" spans="1:3" x14ac:dyDescent="0.45">
      <c r="A2736" s="11">
        <v>44.07</v>
      </c>
      <c r="B2736" s="14">
        <v>1.27403E-3</v>
      </c>
      <c r="C2736" s="15">
        <v>1.0289299999999999E-3</v>
      </c>
    </row>
    <row r="2737" spans="1:3" x14ac:dyDescent="0.45">
      <c r="A2737" s="11">
        <v>44.08</v>
      </c>
      <c r="B2737" s="14">
        <v>1.2753199999999999E-3</v>
      </c>
      <c r="C2737" s="15">
        <v>1.0299199999999999E-3</v>
      </c>
    </row>
    <row r="2738" spans="1:3" x14ac:dyDescent="0.45">
      <c r="A2738" s="11">
        <v>44.09</v>
      </c>
      <c r="B2738" s="14">
        <v>1.2766100000000001E-3</v>
      </c>
      <c r="C2738" s="15">
        <v>1.0309099999999999E-3</v>
      </c>
    </row>
    <row r="2739" spans="1:3" x14ac:dyDescent="0.45">
      <c r="A2739" s="11">
        <v>44.1</v>
      </c>
      <c r="B2739" s="14">
        <v>1.2779E-3</v>
      </c>
      <c r="C2739" s="15">
        <v>1.0319000000000001E-3</v>
      </c>
    </row>
    <row r="2740" spans="1:3" x14ac:dyDescent="0.45">
      <c r="A2740" s="11">
        <v>44.11</v>
      </c>
      <c r="B2740" s="14">
        <v>1.2791899999999999E-3</v>
      </c>
      <c r="C2740" s="15">
        <v>1.0328900000000001E-3</v>
      </c>
    </row>
    <row r="2741" spans="1:3" x14ac:dyDescent="0.45">
      <c r="A2741" s="11">
        <v>44.12</v>
      </c>
      <c r="B2741" s="14">
        <v>1.2804800000000001E-3</v>
      </c>
      <c r="C2741" s="15">
        <v>1.03388E-3</v>
      </c>
    </row>
    <row r="2742" spans="1:3" x14ac:dyDescent="0.45">
      <c r="A2742" s="11">
        <v>44.13</v>
      </c>
      <c r="B2742" s="14">
        <v>1.28177E-3</v>
      </c>
      <c r="C2742" s="15">
        <v>1.03487E-3</v>
      </c>
    </row>
    <row r="2743" spans="1:3" x14ac:dyDescent="0.45">
      <c r="A2743" s="11">
        <v>44.14</v>
      </c>
      <c r="B2743" s="14">
        <v>1.2830599999999999E-3</v>
      </c>
      <c r="C2743" s="15">
        <v>1.03586E-3</v>
      </c>
    </row>
    <row r="2744" spans="1:3" x14ac:dyDescent="0.45">
      <c r="A2744" s="11">
        <v>44.15</v>
      </c>
      <c r="B2744" s="14">
        <v>1.2843500000000001E-3</v>
      </c>
      <c r="C2744" s="15">
        <v>1.03685E-3</v>
      </c>
    </row>
    <row r="2745" spans="1:3" x14ac:dyDescent="0.45">
      <c r="A2745" s="11">
        <v>44.16</v>
      </c>
      <c r="B2745" s="14">
        <v>1.28564E-3</v>
      </c>
      <c r="C2745" s="15">
        <v>1.0378399999999999E-3</v>
      </c>
    </row>
    <row r="2746" spans="1:3" x14ac:dyDescent="0.45">
      <c r="A2746" s="11">
        <v>44.17</v>
      </c>
      <c r="B2746" s="14">
        <v>1.2869299999999999E-3</v>
      </c>
      <c r="C2746" s="15">
        <v>1.0388299999999999E-3</v>
      </c>
    </row>
    <row r="2747" spans="1:3" x14ac:dyDescent="0.45">
      <c r="A2747" s="11">
        <v>44.18</v>
      </c>
      <c r="B2747" s="14">
        <v>1.2882200000000001E-3</v>
      </c>
      <c r="C2747" s="15">
        <v>1.0398199999999999E-3</v>
      </c>
    </row>
    <row r="2748" spans="1:3" x14ac:dyDescent="0.45">
      <c r="A2748" s="11">
        <v>44.19</v>
      </c>
      <c r="B2748" s="14">
        <v>1.28951E-3</v>
      </c>
      <c r="C2748" s="15">
        <v>1.0408100000000001E-3</v>
      </c>
    </row>
    <row r="2749" spans="1:3" x14ac:dyDescent="0.45">
      <c r="A2749" s="11">
        <v>44.2</v>
      </c>
      <c r="B2749" s="14">
        <v>1.2907999999999999E-3</v>
      </c>
      <c r="C2749" s="15">
        <v>1.0418000000000001E-3</v>
      </c>
    </row>
    <row r="2750" spans="1:3" x14ac:dyDescent="0.45">
      <c r="A2750" s="11">
        <v>44.21</v>
      </c>
      <c r="B2750" s="14">
        <v>1.2920900000000001E-3</v>
      </c>
      <c r="C2750" s="15">
        <v>1.04279E-3</v>
      </c>
    </row>
    <row r="2751" spans="1:3" x14ac:dyDescent="0.45">
      <c r="A2751" s="11">
        <v>44.22</v>
      </c>
      <c r="B2751" s="14">
        <v>1.29338E-3</v>
      </c>
      <c r="C2751" s="15">
        <v>1.04378E-3</v>
      </c>
    </row>
    <row r="2752" spans="1:3" x14ac:dyDescent="0.45">
      <c r="A2752" s="11">
        <v>44.23</v>
      </c>
      <c r="B2752" s="14">
        <v>1.2946699999999999E-3</v>
      </c>
      <c r="C2752" s="15">
        <v>1.04477E-3</v>
      </c>
    </row>
    <row r="2753" spans="1:3" x14ac:dyDescent="0.45">
      <c r="A2753" s="11">
        <v>44.24</v>
      </c>
      <c r="B2753" s="14">
        <v>1.2959600000000001E-3</v>
      </c>
      <c r="C2753" s="15">
        <v>1.04576E-3</v>
      </c>
    </row>
    <row r="2754" spans="1:3" x14ac:dyDescent="0.45">
      <c r="A2754" s="11">
        <v>44.25</v>
      </c>
      <c r="B2754" s="14">
        <v>1.29725E-3</v>
      </c>
      <c r="C2754" s="15">
        <v>1.0467499999999999E-3</v>
      </c>
    </row>
    <row r="2755" spans="1:3" x14ac:dyDescent="0.45">
      <c r="A2755" s="11">
        <v>44.26</v>
      </c>
      <c r="B2755" s="14">
        <v>1.2985399999999999E-3</v>
      </c>
      <c r="C2755" s="15">
        <v>1.0477399999999999E-3</v>
      </c>
    </row>
    <row r="2756" spans="1:3" x14ac:dyDescent="0.45">
      <c r="A2756" s="11">
        <v>44.27</v>
      </c>
      <c r="B2756" s="14">
        <v>1.2998300000000001E-3</v>
      </c>
      <c r="C2756" s="15">
        <v>1.0487300000000001E-3</v>
      </c>
    </row>
    <row r="2757" spans="1:3" x14ac:dyDescent="0.45">
      <c r="A2757" s="11">
        <v>44.28</v>
      </c>
      <c r="B2757" s="14">
        <v>1.30112E-3</v>
      </c>
      <c r="C2757" s="15">
        <v>1.0497200000000001E-3</v>
      </c>
    </row>
    <row r="2758" spans="1:3" x14ac:dyDescent="0.45">
      <c r="A2758" s="11">
        <v>44.29</v>
      </c>
      <c r="B2758" s="14">
        <v>1.3024099999999999E-3</v>
      </c>
      <c r="C2758" s="15">
        <v>1.0507100000000001E-3</v>
      </c>
    </row>
    <row r="2759" spans="1:3" x14ac:dyDescent="0.45">
      <c r="A2759" s="11">
        <v>44.3</v>
      </c>
      <c r="B2759" s="14">
        <v>1.3037000000000001E-3</v>
      </c>
      <c r="C2759" s="15">
        <v>1.0517E-3</v>
      </c>
    </row>
    <row r="2760" spans="1:3" x14ac:dyDescent="0.45">
      <c r="A2760" s="11">
        <v>44.31</v>
      </c>
      <c r="B2760" s="14">
        <v>1.30499E-3</v>
      </c>
      <c r="C2760" s="15">
        <v>1.05269E-3</v>
      </c>
    </row>
    <row r="2761" spans="1:3" x14ac:dyDescent="0.45">
      <c r="A2761" s="11">
        <v>44.32</v>
      </c>
      <c r="B2761" s="14">
        <v>1.3062799999999999E-3</v>
      </c>
      <c r="C2761" s="15">
        <v>1.05368E-3</v>
      </c>
    </row>
    <row r="2762" spans="1:3" x14ac:dyDescent="0.45">
      <c r="A2762" s="11">
        <v>44.33</v>
      </c>
      <c r="B2762" s="14">
        <v>1.3075700000000001E-3</v>
      </c>
      <c r="C2762" s="15">
        <v>1.05467E-3</v>
      </c>
    </row>
    <row r="2763" spans="1:3" x14ac:dyDescent="0.45">
      <c r="A2763" s="11">
        <v>44.34</v>
      </c>
      <c r="B2763" s="14">
        <v>1.30886E-3</v>
      </c>
      <c r="C2763" s="15">
        <v>1.0556599999999999E-3</v>
      </c>
    </row>
    <row r="2764" spans="1:3" x14ac:dyDescent="0.45">
      <c r="A2764" s="11">
        <v>44.35</v>
      </c>
      <c r="B2764" s="14">
        <v>1.3101499999999999E-3</v>
      </c>
      <c r="C2764" s="15">
        <v>1.0566499999999999E-3</v>
      </c>
    </row>
    <row r="2765" spans="1:3" x14ac:dyDescent="0.45">
      <c r="A2765" s="11">
        <v>44.36</v>
      </c>
      <c r="B2765" s="14">
        <v>1.3114400000000001E-3</v>
      </c>
      <c r="C2765" s="15">
        <v>1.0576400000000001E-3</v>
      </c>
    </row>
    <row r="2766" spans="1:3" x14ac:dyDescent="0.45">
      <c r="A2766" s="11">
        <v>44.37</v>
      </c>
      <c r="B2766" s="14">
        <v>1.31273E-3</v>
      </c>
      <c r="C2766" s="15">
        <v>1.0586300000000001E-3</v>
      </c>
    </row>
    <row r="2767" spans="1:3" x14ac:dyDescent="0.45">
      <c r="A2767" s="11">
        <v>44.38</v>
      </c>
      <c r="B2767" s="14">
        <v>1.3140199999999999E-3</v>
      </c>
      <c r="C2767" s="15">
        <v>1.05962E-3</v>
      </c>
    </row>
    <row r="2768" spans="1:3" x14ac:dyDescent="0.45">
      <c r="A2768" s="11">
        <v>44.39</v>
      </c>
      <c r="B2768" s="14">
        <v>1.3153100000000001E-3</v>
      </c>
      <c r="C2768" s="15">
        <v>1.06061E-3</v>
      </c>
    </row>
    <row r="2769" spans="1:3" x14ac:dyDescent="0.45">
      <c r="A2769" s="11">
        <v>44.4</v>
      </c>
      <c r="B2769" s="14">
        <v>1.3166E-3</v>
      </c>
      <c r="C2769" s="15">
        <v>1.0616E-3</v>
      </c>
    </row>
    <row r="2770" spans="1:3" x14ac:dyDescent="0.45">
      <c r="A2770" s="11">
        <v>44.41</v>
      </c>
      <c r="B2770" s="14">
        <v>1.3178899999999999E-3</v>
      </c>
      <c r="C2770" s="15">
        <v>1.06259E-3</v>
      </c>
    </row>
    <row r="2771" spans="1:3" x14ac:dyDescent="0.45">
      <c r="A2771" s="11">
        <v>44.42</v>
      </c>
      <c r="B2771" s="14">
        <v>1.3191800000000001E-3</v>
      </c>
      <c r="C2771" s="15">
        <v>1.06358E-3</v>
      </c>
    </row>
    <row r="2772" spans="1:3" x14ac:dyDescent="0.45">
      <c r="A2772" s="11">
        <v>44.43</v>
      </c>
      <c r="B2772" s="14">
        <v>1.32047E-3</v>
      </c>
      <c r="C2772" s="15">
        <v>1.0645699999999999E-3</v>
      </c>
    </row>
    <row r="2773" spans="1:3" x14ac:dyDescent="0.45">
      <c r="A2773" s="11">
        <v>44.44</v>
      </c>
      <c r="B2773" s="14">
        <v>1.3217599999999999E-3</v>
      </c>
      <c r="C2773" s="15">
        <v>1.0655599999999999E-3</v>
      </c>
    </row>
    <row r="2774" spans="1:3" x14ac:dyDescent="0.45">
      <c r="A2774" s="11">
        <v>44.45</v>
      </c>
      <c r="B2774" s="14">
        <v>1.3230500000000001E-3</v>
      </c>
      <c r="C2774" s="15">
        <v>1.0665500000000001E-3</v>
      </c>
    </row>
    <row r="2775" spans="1:3" x14ac:dyDescent="0.45">
      <c r="A2775" s="11">
        <v>44.46</v>
      </c>
      <c r="B2775" s="14">
        <v>1.32434E-3</v>
      </c>
      <c r="C2775" s="15">
        <v>1.0675400000000001E-3</v>
      </c>
    </row>
    <row r="2776" spans="1:3" x14ac:dyDescent="0.45">
      <c r="A2776" s="11">
        <v>44.47</v>
      </c>
      <c r="B2776" s="14">
        <v>1.32563E-3</v>
      </c>
      <c r="C2776" s="15">
        <v>1.06853E-3</v>
      </c>
    </row>
    <row r="2777" spans="1:3" x14ac:dyDescent="0.45">
      <c r="A2777" s="11">
        <v>44.48</v>
      </c>
      <c r="B2777" s="14">
        <v>1.3269200000000001E-3</v>
      </c>
      <c r="C2777" s="15">
        <v>1.06952E-3</v>
      </c>
    </row>
    <row r="2778" spans="1:3" x14ac:dyDescent="0.45">
      <c r="A2778" s="11">
        <v>44.49</v>
      </c>
      <c r="B2778" s="14">
        <v>1.32821E-3</v>
      </c>
      <c r="C2778" s="15">
        <v>1.07051E-3</v>
      </c>
    </row>
    <row r="2779" spans="1:3" x14ac:dyDescent="0.45">
      <c r="A2779" s="11">
        <v>44.5</v>
      </c>
      <c r="B2779" s="14">
        <v>1.3295E-3</v>
      </c>
      <c r="C2779" s="15">
        <v>1.0715E-3</v>
      </c>
    </row>
    <row r="2780" spans="1:3" x14ac:dyDescent="0.45">
      <c r="A2780" s="11">
        <v>44.51</v>
      </c>
      <c r="B2780" s="14">
        <v>1.3307900000000001E-3</v>
      </c>
      <c r="C2780" s="15">
        <v>1.0724899999999999E-3</v>
      </c>
    </row>
    <row r="2781" spans="1:3" x14ac:dyDescent="0.45">
      <c r="A2781" s="11">
        <v>44.52</v>
      </c>
      <c r="B2781" s="14">
        <v>1.33208E-3</v>
      </c>
      <c r="C2781" s="15">
        <v>1.0734799999999999E-3</v>
      </c>
    </row>
    <row r="2782" spans="1:3" x14ac:dyDescent="0.45">
      <c r="A2782" s="11">
        <v>44.53</v>
      </c>
      <c r="B2782" s="14">
        <v>1.33337E-3</v>
      </c>
      <c r="C2782" s="15">
        <v>1.0744699999999999E-3</v>
      </c>
    </row>
    <row r="2783" spans="1:3" x14ac:dyDescent="0.45">
      <c r="A2783" s="11">
        <v>44.54</v>
      </c>
      <c r="B2783" s="14">
        <v>1.3346600000000001E-3</v>
      </c>
      <c r="C2783" s="15">
        <v>1.0754600000000001E-3</v>
      </c>
    </row>
    <row r="2784" spans="1:3" x14ac:dyDescent="0.45">
      <c r="A2784" s="11">
        <v>44.55</v>
      </c>
      <c r="B2784" s="14">
        <v>1.33595E-3</v>
      </c>
      <c r="C2784" s="15">
        <v>1.0764500000000001E-3</v>
      </c>
    </row>
    <row r="2785" spans="1:3" x14ac:dyDescent="0.45">
      <c r="A2785" s="11">
        <v>44.56</v>
      </c>
      <c r="B2785" s="14">
        <v>1.33724E-3</v>
      </c>
      <c r="C2785" s="15">
        <v>1.07744E-3</v>
      </c>
    </row>
    <row r="2786" spans="1:3" x14ac:dyDescent="0.45">
      <c r="A2786" s="11">
        <v>44.57</v>
      </c>
      <c r="B2786" s="14">
        <v>1.3385300000000001E-3</v>
      </c>
      <c r="C2786" s="15">
        <v>1.07843E-3</v>
      </c>
    </row>
    <row r="2787" spans="1:3" x14ac:dyDescent="0.45">
      <c r="A2787" s="11">
        <v>44.58</v>
      </c>
      <c r="B2787" s="14">
        <v>1.33982E-3</v>
      </c>
      <c r="C2787" s="15">
        <v>1.07942E-3</v>
      </c>
    </row>
    <row r="2788" spans="1:3" x14ac:dyDescent="0.45">
      <c r="A2788" s="11">
        <v>44.59</v>
      </c>
      <c r="B2788" s="14">
        <v>1.34111E-3</v>
      </c>
      <c r="C2788" s="15">
        <v>1.08041E-3</v>
      </c>
    </row>
    <row r="2789" spans="1:3" x14ac:dyDescent="0.45">
      <c r="A2789" s="11">
        <v>44.6</v>
      </c>
      <c r="B2789" s="14">
        <v>1.3424000000000001E-3</v>
      </c>
      <c r="C2789" s="15">
        <v>1.0813999999999999E-3</v>
      </c>
    </row>
    <row r="2790" spans="1:3" x14ac:dyDescent="0.45">
      <c r="A2790" s="11">
        <v>44.61</v>
      </c>
      <c r="B2790" s="14">
        <v>1.34369E-3</v>
      </c>
      <c r="C2790" s="15">
        <v>1.0823899999999999E-3</v>
      </c>
    </row>
    <row r="2791" spans="1:3" x14ac:dyDescent="0.45">
      <c r="A2791" s="11">
        <v>44.62</v>
      </c>
      <c r="B2791" s="14">
        <v>1.34498E-3</v>
      </c>
      <c r="C2791" s="15">
        <v>1.0833800000000001E-3</v>
      </c>
    </row>
    <row r="2792" spans="1:3" x14ac:dyDescent="0.45">
      <c r="A2792" s="11">
        <v>44.63</v>
      </c>
      <c r="B2792" s="14">
        <v>1.3462700000000001E-3</v>
      </c>
      <c r="C2792" s="15">
        <v>1.0843700000000001E-3</v>
      </c>
    </row>
    <row r="2793" spans="1:3" x14ac:dyDescent="0.45">
      <c r="A2793" s="11">
        <v>44.64</v>
      </c>
      <c r="B2793" s="14">
        <v>1.34756E-3</v>
      </c>
      <c r="C2793" s="15">
        <v>1.0853600000000001E-3</v>
      </c>
    </row>
    <row r="2794" spans="1:3" x14ac:dyDescent="0.45">
      <c r="A2794" s="11">
        <v>44.65</v>
      </c>
      <c r="B2794" s="14">
        <v>1.34885E-3</v>
      </c>
      <c r="C2794" s="15">
        <v>1.08635E-3</v>
      </c>
    </row>
    <row r="2795" spans="1:3" x14ac:dyDescent="0.45">
      <c r="A2795" s="11">
        <v>44.66</v>
      </c>
      <c r="B2795" s="14">
        <v>1.3501400000000001E-3</v>
      </c>
      <c r="C2795" s="15">
        <v>1.08734E-3</v>
      </c>
    </row>
    <row r="2796" spans="1:3" x14ac:dyDescent="0.45">
      <c r="A2796" s="11">
        <v>44.67</v>
      </c>
      <c r="B2796" s="14">
        <v>1.35143E-3</v>
      </c>
      <c r="C2796" s="15">
        <v>1.08833E-3</v>
      </c>
    </row>
    <row r="2797" spans="1:3" x14ac:dyDescent="0.45">
      <c r="A2797" s="11">
        <v>44.68</v>
      </c>
      <c r="B2797" s="14">
        <v>1.35272E-3</v>
      </c>
      <c r="C2797" s="15">
        <v>1.08932E-3</v>
      </c>
    </row>
    <row r="2798" spans="1:3" x14ac:dyDescent="0.45">
      <c r="A2798" s="11">
        <v>44.69</v>
      </c>
      <c r="B2798" s="14">
        <v>1.3540099999999999E-3</v>
      </c>
      <c r="C2798" s="15">
        <v>1.0903099999999999E-3</v>
      </c>
    </row>
    <row r="2799" spans="1:3" x14ac:dyDescent="0.45">
      <c r="A2799" s="11">
        <v>44.7</v>
      </c>
      <c r="B2799" s="14">
        <v>1.3553E-3</v>
      </c>
      <c r="C2799" s="15">
        <v>1.0912999999999999E-3</v>
      </c>
    </row>
    <row r="2800" spans="1:3" x14ac:dyDescent="0.45">
      <c r="A2800" s="11">
        <v>44.71</v>
      </c>
      <c r="B2800" s="14">
        <v>1.35659E-3</v>
      </c>
      <c r="C2800" s="15">
        <v>1.0922900000000001E-3</v>
      </c>
    </row>
    <row r="2801" spans="1:3" x14ac:dyDescent="0.45">
      <c r="A2801" s="11">
        <v>44.72</v>
      </c>
      <c r="B2801" s="14">
        <v>1.3578799999999999E-3</v>
      </c>
      <c r="C2801" s="15">
        <v>1.0932800000000001E-3</v>
      </c>
    </row>
    <row r="2802" spans="1:3" x14ac:dyDescent="0.45">
      <c r="A2802" s="11">
        <v>44.73</v>
      </c>
      <c r="B2802" s="14">
        <v>1.35917E-3</v>
      </c>
      <c r="C2802" s="15">
        <v>1.0942700000000001E-3</v>
      </c>
    </row>
    <row r="2803" spans="1:3" x14ac:dyDescent="0.45">
      <c r="A2803" s="11">
        <v>44.74</v>
      </c>
      <c r="B2803" s="14">
        <v>1.36046E-3</v>
      </c>
      <c r="C2803" s="15">
        <v>1.09526E-3</v>
      </c>
    </row>
    <row r="2804" spans="1:3" x14ac:dyDescent="0.45">
      <c r="A2804" s="11">
        <v>44.75</v>
      </c>
      <c r="B2804" s="14">
        <v>1.3617499999999999E-3</v>
      </c>
      <c r="C2804" s="15">
        <v>1.09625E-3</v>
      </c>
    </row>
    <row r="2805" spans="1:3" x14ac:dyDescent="0.45">
      <c r="A2805" s="11">
        <v>44.76</v>
      </c>
      <c r="B2805" s="14">
        <v>1.36304E-3</v>
      </c>
      <c r="C2805" s="15">
        <v>1.09724E-3</v>
      </c>
    </row>
    <row r="2806" spans="1:3" x14ac:dyDescent="0.45">
      <c r="A2806" s="11">
        <v>44.77</v>
      </c>
      <c r="B2806" s="14">
        <v>1.36433E-3</v>
      </c>
      <c r="C2806" s="15">
        <v>1.09823E-3</v>
      </c>
    </row>
    <row r="2807" spans="1:3" x14ac:dyDescent="0.45">
      <c r="A2807" s="11">
        <v>44.78</v>
      </c>
      <c r="B2807" s="14">
        <v>1.3656199999999999E-3</v>
      </c>
      <c r="C2807" s="15">
        <v>1.0992199999999999E-3</v>
      </c>
    </row>
    <row r="2808" spans="1:3" x14ac:dyDescent="0.45">
      <c r="A2808" s="11">
        <v>44.79</v>
      </c>
      <c r="B2808" s="14">
        <v>1.36691E-3</v>
      </c>
      <c r="C2808" s="15">
        <v>1.1002099999999999E-3</v>
      </c>
    </row>
    <row r="2809" spans="1:3" x14ac:dyDescent="0.45">
      <c r="A2809" s="11">
        <v>44.8</v>
      </c>
      <c r="B2809" s="14">
        <v>1.3682E-3</v>
      </c>
      <c r="C2809" s="15">
        <v>1.1012000000000001E-3</v>
      </c>
    </row>
    <row r="2810" spans="1:3" x14ac:dyDescent="0.45">
      <c r="A2810" s="11">
        <v>44.81</v>
      </c>
      <c r="B2810" s="14">
        <v>1.3694899999999999E-3</v>
      </c>
      <c r="C2810" s="15">
        <v>1.1021900000000001E-3</v>
      </c>
    </row>
    <row r="2811" spans="1:3" x14ac:dyDescent="0.45">
      <c r="A2811" s="11">
        <v>44.82</v>
      </c>
      <c r="B2811" s="14">
        <v>1.37078E-3</v>
      </c>
      <c r="C2811" s="15">
        <v>1.10318E-3</v>
      </c>
    </row>
    <row r="2812" spans="1:3" x14ac:dyDescent="0.45">
      <c r="A2812" s="11">
        <v>44.83</v>
      </c>
      <c r="B2812" s="14">
        <v>1.37207E-3</v>
      </c>
      <c r="C2812" s="15">
        <v>1.10417E-3</v>
      </c>
    </row>
    <row r="2813" spans="1:3" x14ac:dyDescent="0.45">
      <c r="A2813" s="11">
        <v>44.84</v>
      </c>
      <c r="B2813" s="14">
        <v>1.3733599999999999E-3</v>
      </c>
      <c r="C2813" s="15">
        <v>1.10516E-3</v>
      </c>
    </row>
    <row r="2814" spans="1:3" x14ac:dyDescent="0.45">
      <c r="A2814" s="11">
        <v>44.85</v>
      </c>
      <c r="B2814" s="14">
        <v>1.37465E-3</v>
      </c>
      <c r="C2814" s="15">
        <v>1.10615E-3</v>
      </c>
    </row>
    <row r="2815" spans="1:3" x14ac:dyDescent="0.45">
      <c r="A2815" s="11">
        <v>44.86</v>
      </c>
      <c r="B2815" s="14">
        <v>1.37594E-3</v>
      </c>
      <c r="C2815" s="15">
        <v>1.1071399999999999E-3</v>
      </c>
    </row>
    <row r="2816" spans="1:3" x14ac:dyDescent="0.45">
      <c r="A2816" s="11">
        <v>44.87</v>
      </c>
      <c r="B2816" s="14">
        <v>1.3772299999999999E-3</v>
      </c>
      <c r="C2816" s="15">
        <v>1.1081299999999999E-3</v>
      </c>
    </row>
    <row r="2817" spans="1:3" x14ac:dyDescent="0.45">
      <c r="A2817" s="11">
        <v>44.88</v>
      </c>
      <c r="B2817" s="14">
        <v>1.37852E-3</v>
      </c>
      <c r="C2817" s="15">
        <v>1.1091199999999999E-3</v>
      </c>
    </row>
    <row r="2818" spans="1:3" x14ac:dyDescent="0.45">
      <c r="A2818" s="11">
        <v>44.89</v>
      </c>
      <c r="B2818" s="14">
        <v>1.37981E-3</v>
      </c>
      <c r="C2818" s="15">
        <v>1.1101100000000001E-3</v>
      </c>
    </row>
    <row r="2819" spans="1:3" x14ac:dyDescent="0.45">
      <c r="A2819" s="11">
        <v>44.9</v>
      </c>
      <c r="B2819" s="14">
        <v>1.3810999999999999E-3</v>
      </c>
      <c r="C2819" s="15">
        <v>1.1111000000000001E-3</v>
      </c>
    </row>
    <row r="2820" spans="1:3" x14ac:dyDescent="0.45">
      <c r="A2820" s="11">
        <v>44.91</v>
      </c>
      <c r="B2820" s="14">
        <v>1.3823900000000001E-3</v>
      </c>
      <c r="C2820" s="15">
        <v>1.11209E-3</v>
      </c>
    </row>
    <row r="2821" spans="1:3" x14ac:dyDescent="0.45">
      <c r="A2821" s="11">
        <v>44.92</v>
      </c>
      <c r="B2821" s="14">
        <v>1.38368E-3</v>
      </c>
      <c r="C2821" s="15">
        <v>1.11308E-3</v>
      </c>
    </row>
    <row r="2822" spans="1:3" x14ac:dyDescent="0.45">
      <c r="A2822" s="11">
        <v>44.93</v>
      </c>
      <c r="B2822" s="14">
        <v>1.3849699999999999E-3</v>
      </c>
      <c r="C2822" s="15">
        <v>1.11407E-3</v>
      </c>
    </row>
    <row r="2823" spans="1:3" x14ac:dyDescent="0.45">
      <c r="A2823" s="11">
        <v>44.94</v>
      </c>
      <c r="B2823" s="14">
        <v>1.3862600000000001E-3</v>
      </c>
      <c r="C2823" s="15">
        <v>1.11506E-3</v>
      </c>
    </row>
    <row r="2824" spans="1:3" x14ac:dyDescent="0.45">
      <c r="A2824" s="11">
        <v>44.95</v>
      </c>
      <c r="B2824" s="14">
        <v>1.38755E-3</v>
      </c>
      <c r="C2824" s="15">
        <v>1.1160499999999999E-3</v>
      </c>
    </row>
    <row r="2825" spans="1:3" x14ac:dyDescent="0.45">
      <c r="A2825" s="11">
        <v>44.96</v>
      </c>
      <c r="B2825" s="14">
        <v>1.3888399999999999E-3</v>
      </c>
      <c r="C2825" s="15">
        <v>1.1170399999999999E-3</v>
      </c>
    </row>
    <row r="2826" spans="1:3" x14ac:dyDescent="0.45">
      <c r="A2826" s="11">
        <v>44.97</v>
      </c>
      <c r="B2826" s="14">
        <v>1.3901300000000001E-3</v>
      </c>
      <c r="C2826" s="15">
        <v>1.1180299999999999E-3</v>
      </c>
    </row>
    <row r="2827" spans="1:3" x14ac:dyDescent="0.45">
      <c r="A2827" s="11">
        <v>44.98</v>
      </c>
      <c r="B2827" s="14">
        <v>1.39142E-3</v>
      </c>
      <c r="C2827" s="15">
        <v>1.1190200000000001E-3</v>
      </c>
    </row>
    <row r="2828" spans="1:3" x14ac:dyDescent="0.45">
      <c r="A2828" s="11">
        <v>44.99</v>
      </c>
      <c r="B2828" s="14">
        <v>1.3927099999999999E-3</v>
      </c>
      <c r="C2828" s="15">
        <v>1.1200100000000001E-3</v>
      </c>
    </row>
    <row r="2829" spans="1:3" x14ac:dyDescent="0.45">
      <c r="A2829" s="11">
        <v>45</v>
      </c>
      <c r="B2829" s="14">
        <v>1.3940000000000001E-3</v>
      </c>
      <c r="C2829" s="15">
        <v>1.121E-3</v>
      </c>
    </row>
    <row r="2830" spans="1:3" x14ac:dyDescent="0.45">
      <c r="A2830" s="11">
        <v>45.01</v>
      </c>
      <c r="B2830" s="14">
        <v>1.39547E-3</v>
      </c>
      <c r="C2830" s="15">
        <v>1.1220900000000001E-3</v>
      </c>
    </row>
    <row r="2831" spans="1:3" x14ac:dyDescent="0.45">
      <c r="A2831" s="11">
        <v>45.02</v>
      </c>
      <c r="B2831" s="14">
        <v>1.3969399999999999E-3</v>
      </c>
      <c r="C2831" s="15">
        <v>1.1231800000000001E-3</v>
      </c>
    </row>
    <row r="2832" spans="1:3" x14ac:dyDescent="0.45">
      <c r="A2832" s="11">
        <v>45.03</v>
      </c>
      <c r="B2832" s="14">
        <v>1.3984100000000001E-3</v>
      </c>
      <c r="C2832" s="15">
        <v>1.1242699999999999E-3</v>
      </c>
    </row>
    <row r="2833" spans="1:3" x14ac:dyDescent="0.45">
      <c r="A2833" s="11">
        <v>45.04</v>
      </c>
      <c r="B2833" s="14">
        <v>1.39988E-3</v>
      </c>
      <c r="C2833" s="15">
        <v>1.1253599999999999E-3</v>
      </c>
    </row>
    <row r="2834" spans="1:3" x14ac:dyDescent="0.45">
      <c r="A2834" s="11">
        <v>45.05</v>
      </c>
      <c r="B2834" s="14">
        <v>1.40135E-3</v>
      </c>
      <c r="C2834" s="15">
        <v>1.12645E-3</v>
      </c>
    </row>
    <row r="2835" spans="1:3" x14ac:dyDescent="0.45">
      <c r="A2835" s="11">
        <v>45.06</v>
      </c>
      <c r="B2835" s="14">
        <v>1.4028199999999999E-3</v>
      </c>
      <c r="C2835" s="15">
        <v>1.12754E-3</v>
      </c>
    </row>
    <row r="2836" spans="1:3" x14ac:dyDescent="0.45">
      <c r="A2836" s="11">
        <v>45.07</v>
      </c>
      <c r="B2836" s="14">
        <v>1.4042900000000001E-3</v>
      </c>
      <c r="C2836" s="15">
        <v>1.12863E-3</v>
      </c>
    </row>
    <row r="2837" spans="1:3" x14ac:dyDescent="0.45">
      <c r="A2837" s="11">
        <v>45.08</v>
      </c>
      <c r="B2837" s="14">
        <v>1.40576E-3</v>
      </c>
      <c r="C2837" s="15">
        <v>1.1297200000000001E-3</v>
      </c>
    </row>
    <row r="2838" spans="1:3" x14ac:dyDescent="0.45">
      <c r="A2838" s="11">
        <v>45.09</v>
      </c>
      <c r="B2838" s="14">
        <v>1.40723E-3</v>
      </c>
      <c r="C2838" s="15">
        <v>1.1308100000000001E-3</v>
      </c>
    </row>
    <row r="2839" spans="1:3" x14ac:dyDescent="0.45">
      <c r="A2839" s="11">
        <v>45.1</v>
      </c>
      <c r="B2839" s="14">
        <v>1.4086999999999999E-3</v>
      </c>
      <c r="C2839" s="15">
        <v>1.1318999999999999E-3</v>
      </c>
    </row>
    <row r="2840" spans="1:3" x14ac:dyDescent="0.45">
      <c r="A2840" s="11">
        <v>45.11</v>
      </c>
      <c r="B2840" s="14">
        <v>1.4101700000000001E-3</v>
      </c>
      <c r="C2840" s="15">
        <v>1.13299E-3</v>
      </c>
    </row>
    <row r="2841" spans="1:3" x14ac:dyDescent="0.45">
      <c r="A2841" s="11">
        <v>45.12</v>
      </c>
      <c r="B2841" s="14">
        <v>1.41164E-3</v>
      </c>
      <c r="C2841" s="15">
        <v>1.13408E-3</v>
      </c>
    </row>
    <row r="2842" spans="1:3" x14ac:dyDescent="0.45">
      <c r="A2842" s="11">
        <v>45.13</v>
      </c>
      <c r="B2842" s="14">
        <v>1.41311E-3</v>
      </c>
      <c r="C2842" s="15">
        <v>1.13517E-3</v>
      </c>
    </row>
    <row r="2843" spans="1:3" x14ac:dyDescent="0.45">
      <c r="A2843" s="11">
        <v>45.14</v>
      </c>
      <c r="B2843" s="14">
        <v>1.4145799999999999E-3</v>
      </c>
      <c r="C2843" s="15">
        <v>1.13626E-3</v>
      </c>
    </row>
    <row r="2844" spans="1:3" x14ac:dyDescent="0.45">
      <c r="A2844" s="11">
        <v>45.15</v>
      </c>
      <c r="B2844" s="14">
        <v>1.4160500000000001E-3</v>
      </c>
      <c r="C2844" s="15">
        <v>1.1373500000000001E-3</v>
      </c>
    </row>
    <row r="2845" spans="1:3" x14ac:dyDescent="0.45">
      <c r="A2845" s="11">
        <v>45.16</v>
      </c>
      <c r="B2845" s="14">
        <v>1.41752E-3</v>
      </c>
      <c r="C2845" s="15">
        <v>1.1384399999999999E-3</v>
      </c>
    </row>
    <row r="2846" spans="1:3" x14ac:dyDescent="0.45">
      <c r="A2846" s="11">
        <v>45.17</v>
      </c>
      <c r="B2846" s="14">
        <v>1.41899E-3</v>
      </c>
      <c r="C2846" s="15">
        <v>1.1395299999999999E-3</v>
      </c>
    </row>
    <row r="2847" spans="1:3" x14ac:dyDescent="0.45">
      <c r="A2847" s="11">
        <v>45.18</v>
      </c>
      <c r="B2847" s="14">
        <v>1.4204599999999999E-3</v>
      </c>
      <c r="C2847" s="15">
        <v>1.14062E-3</v>
      </c>
    </row>
    <row r="2848" spans="1:3" x14ac:dyDescent="0.45">
      <c r="A2848" s="11">
        <v>45.19</v>
      </c>
      <c r="B2848" s="14">
        <v>1.4219300000000001E-3</v>
      </c>
      <c r="C2848" s="15">
        <v>1.14171E-3</v>
      </c>
    </row>
    <row r="2849" spans="1:3" x14ac:dyDescent="0.45">
      <c r="A2849" s="11">
        <v>45.2</v>
      </c>
      <c r="B2849" s="14">
        <v>1.4234E-3</v>
      </c>
      <c r="C2849" s="15">
        <v>1.1428E-3</v>
      </c>
    </row>
    <row r="2850" spans="1:3" x14ac:dyDescent="0.45">
      <c r="A2850" s="11">
        <v>45.21</v>
      </c>
      <c r="B2850" s="14">
        <v>1.42487E-3</v>
      </c>
      <c r="C2850" s="15">
        <v>1.1438900000000001E-3</v>
      </c>
    </row>
    <row r="2851" spans="1:3" x14ac:dyDescent="0.45">
      <c r="A2851" s="11">
        <v>45.22</v>
      </c>
      <c r="B2851" s="14">
        <v>1.4263399999999999E-3</v>
      </c>
      <c r="C2851" s="15">
        <v>1.1449800000000001E-3</v>
      </c>
    </row>
    <row r="2852" spans="1:3" x14ac:dyDescent="0.45">
      <c r="A2852" s="11">
        <v>45.23</v>
      </c>
      <c r="B2852" s="14">
        <v>1.4278100000000001E-3</v>
      </c>
      <c r="C2852" s="15">
        <v>1.1460699999999999E-3</v>
      </c>
    </row>
    <row r="2853" spans="1:3" x14ac:dyDescent="0.45">
      <c r="A2853" s="11">
        <v>45.24</v>
      </c>
      <c r="B2853" s="14">
        <v>1.42928E-3</v>
      </c>
      <c r="C2853" s="15">
        <v>1.1471599999999999E-3</v>
      </c>
    </row>
    <row r="2854" spans="1:3" x14ac:dyDescent="0.45">
      <c r="A2854" s="11">
        <v>45.25</v>
      </c>
      <c r="B2854" s="14">
        <v>1.4307499999999999E-3</v>
      </c>
      <c r="C2854" s="15">
        <v>1.14825E-3</v>
      </c>
    </row>
    <row r="2855" spans="1:3" x14ac:dyDescent="0.45">
      <c r="A2855" s="11">
        <v>45.26</v>
      </c>
      <c r="B2855" s="14">
        <v>1.4322200000000001E-3</v>
      </c>
      <c r="C2855" s="15">
        <v>1.14934E-3</v>
      </c>
    </row>
    <row r="2856" spans="1:3" x14ac:dyDescent="0.45">
      <c r="A2856" s="11">
        <v>45.27</v>
      </c>
      <c r="B2856" s="14">
        <v>1.4336900000000001E-3</v>
      </c>
      <c r="C2856" s="15">
        <v>1.15043E-3</v>
      </c>
    </row>
    <row r="2857" spans="1:3" x14ac:dyDescent="0.45">
      <c r="A2857" s="11">
        <v>45.28</v>
      </c>
      <c r="B2857" s="14">
        <v>1.43516E-3</v>
      </c>
      <c r="C2857" s="15">
        <v>1.1515200000000001E-3</v>
      </c>
    </row>
    <row r="2858" spans="1:3" x14ac:dyDescent="0.45">
      <c r="A2858" s="11">
        <v>45.29</v>
      </c>
      <c r="B2858" s="14">
        <v>1.4366299999999999E-3</v>
      </c>
      <c r="C2858" s="15">
        <v>1.1526100000000001E-3</v>
      </c>
    </row>
    <row r="2859" spans="1:3" x14ac:dyDescent="0.45">
      <c r="A2859" s="11">
        <v>45.3</v>
      </c>
      <c r="B2859" s="14">
        <v>1.4381000000000001E-3</v>
      </c>
      <c r="C2859" s="15">
        <v>1.1536999999999999E-3</v>
      </c>
    </row>
    <row r="2860" spans="1:3" x14ac:dyDescent="0.45">
      <c r="A2860" s="11">
        <v>45.31</v>
      </c>
      <c r="B2860" s="14">
        <v>1.43957E-3</v>
      </c>
      <c r="C2860" s="15">
        <v>1.1547899999999999E-3</v>
      </c>
    </row>
    <row r="2861" spans="1:3" x14ac:dyDescent="0.45">
      <c r="A2861" s="11">
        <v>45.32</v>
      </c>
      <c r="B2861" s="14">
        <v>1.44104E-3</v>
      </c>
      <c r="C2861" s="15">
        <v>1.15588E-3</v>
      </c>
    </row>
    <row r="2862" spans="1:3" x14ac:dyDescent="0.45">
      <c r="A2862" s="11">
        <v>45.33</v>
      </c>
      <c r="B2862" s="14">
        <v>1.4425099999999999E-3</v>
      </c>
      <c r="C2862" s="15">
        <v>1.15697E-3</v>
      </c>
    </row>
    <row r="2863" spans="1:3" x14ac:dyDescent="0.45">
      <c r="A2863" s="11">
        <v>45.34</v>
      </c>
      <c r="B2863" s="14">
        <v>1.4439800000000001E-3</v>
      </c>
      <c r="C2863" s="15">
        <v>1.15806E-3</v>
      </c>
    </row>
    <row r="2864" spans="1:3" x14ac:dyDescent="0.45">
      <c r="A2864" s="11">
        <v>45.35</v>
      </c>
      <c r="B2864" s="14">
        <v>1.44545E-3</v>
      </c>
      <c r="C2864" s="15">
        <v>1.1591500000000001E-3</v>
      </c>
    </row>
    <row r="2865" spans="1:3" x14ac:dyDescent="0.45">
      <c r="A2865" s="11">
        <v>45.36</v>
      </c>
      <c r="B2865" s="14">
        <v>1.44692E-3</v>
      </c>
      <c r="C2865" s="15">
        <v>1.1602400000000001E-3</v>
      </c>
    </row>
    <row r="2866" spans="1:3" x14ac:dyDescent="0.45">
      <c r="A2866" s="11">
        <v>45.37</v>
      </c>
      <c r="B2866" s="14">
        <v>1.4483899999999999E-3</v>
      </c>
      <c r="C2866" s="15">
        <v>1.1613299999999999E-3</v>
      </c>
    </row>
    <row r="2867" spans="1:3" x14ac:dyDescent="0.45">
      <c r="A2867" s="11">
        <v>45.38</v>
      </c>
      <c r="B2867" s="14">
        <v>1.4498600000000001E-3</v>
      </c>
      <c r="C2867" s="15">
        <v>1.1624199999999999E-3</v>
      </c>
    </row>
    <row r="2868" spans="1:3" x14ac:dyDescent="0.45">
      <c r="A2868" s="11">
        <v>45.39</v>
      </c>
      <c r="B2868" s="14">
        <v>1.45133E-3</v>
      </c>
      <c r="C2868" s="15">
        <v>1.16351E-3</v>
      </c>
    </row>
    <row r="2869" spans="1:3" x14ac:dyDescent="0.45">
      <c r="A2869" s="11">
        <v>45.4</v>
      </c>
      <c r="B2869" s="14">
        <v>1.4528E-3</v>
      </c>
      <c r="C2869" s="15">
        <v>1.1646E-3</v>
      </c>
    </row>
    <row r="2870" spans="1:3" x14ac:dyDescent="0.45">
      <c r="A2870" s="11">
        <v>45.41</v>
      </c>
      <c r="B2870" s="14">
        <v>1.4542699999999999E-3</v>
      </c>
      <c r="C2870" s="15">
        <v>1.16569E-3</v>
      </c>
    </row>
    <row r="2871" spans="1:3" x14ac:dyDescent="0.45">
      <c r="A2871" s="11">
        <v>45.42</v>
      </c>
      <c r="B2871" s="14">
        <v>1.4557400000000001E-3</v>
      </c>
      <c r="C2871" s="15">
        <v>1.1667800000000001E-3</v>
      </c>
    </row>
    <row r="2872" spans="1:3" x14ac:dyDescent="0.45">
      <c r="A2872" s="11">
        <v>45.43</v>
      </c>
      <c r="B2872" s="14">
        <v>1.45721E-3</v>
      </c>
      <c r="C2872" s="15">
        <v>1.1678700000000001E-3</v>
      </c>
    </row>
    <row r="2873" spans="1:3" x14ac:dyDescent="0.45">
      <c r="A2873" s="11">
        <v>45.44</v>
      </c>
      <c r="B2873" s="14">
        <v>1.45868E-3</v>
      </c>
      <c r="C2873" s="15">
        <v>1.1689599999999999E-3</v>
      </c>
    </row>
    <row r="2874" spans="1:3" x14ac:dyDescent="0.45">
      <c r="A2874" s="11">
        <v>45.45</v>
      </c>
      <c r="B2874" s="14">
        <v>1.4601499999999999E-3</v>
      </c>
      <c r="C2874" s="15">
        <v>1.17005E-3</v>
      </c>
    </row>
    <row r="2875" spans="1:3" x14ac:dyDescent="0.45">
      <c r="A2875" s="11">
        <v>45.46</v>
      </c>
      <c r="B2875" s="14">
        <v>1.4616200000000001E-3</v>
      </c>
      <c r="C2875" s="15">
        <v>1.17114E-3</v>
      </c>
    </row>
    <row r="2876" spans="1:3" x14ac:dyDescent="0.45">
      <c r="A2876" s="11">
        <v>45.47</v>
      </c>
      <c r="B2876" s="14">
        <v>1.46309E-3</v>
      </c>
      <c r="C2876" s="15">
        <v>1.17223E-3</v>
      </c>
    </row>
    <row r="2877" spans="1:3" x14ac:dyDescent="0.45">
      <c r="A2877" s="11">
        <v>45.48</v>
      </c>
      <c r="B2877" s="14">
        <v>1.46456E-3</v>
      </c>
      <c r="C2877" s="15">
        <v>1.17332E-3</v>
      </c>
    </row>
    <row r="2878" spans="1:3" x14ac:dyDescent="0.45">
      <c r="A2878" s="11">
        <v>45.49</v>
      </c>
      <c r="B2878" s="14">
        <v>1.4660299999999999E-3</v>
      </c>
      <c r="C2878" s="15">
        <v>1.1744100000000001E-3</v>
      </c>
    </row>
    <row r="2879" spans="1:3" x14ac:dyDescent="0.45">
      <c r="A2879" s="11">
        <v>45.5</v>
      </c>
      <c r="B2879" s="14">
        <v>1.4675000000000001E-3</v>
      </c>
      <c r="C2879" s="15">
        <v>1.1754999999999999E-3</v>
      </c>
    </row>
    <row r="2880" spans="1:3" x14ac:dyDescent="0.45">
      <c r="A2880" s="11">
        <v>45.51</v>
      </c>
      <c r="B2880" s="14">
        <v>1.46897E-3</v>
      </c>
      <c r="C2880" s="15">
        <v>1.1765899999999999E-3</v>
      </c>
    </row>
    <row r="2881" spans="1:3" x14ac:dyDescent="0.45">
      <c r="A2881" s="11">
        <v>45.52</v>
      </c>
      <c r="B2881" s="14">
        <v>1.4704399999999999E-3</v>
      </c>
      <c r="C2881" s="15">
        <v>1.17768E-3</v>
      </c>
    </row>
    <row r="2882" spans="1:3" x14ac:dyDescent="0.45">
      <c r="A2882" s="11">
        <v>45.53</v>
      </c>
      <c r="B2882" s="14">
        <v>1.4719100000000001E-3</v>
      </c>
      <c r="C2882" s="15">
        <v>1.17877E-3</v>
      </c>
    </row>
    <row r="2883" spans="1:3" x14ac:dyDescent="0.45">
      <c r="A2883" s="11">
        <v>45.54</v>
      </c>
      <c r="B2883" s="14">
        <v>1.47338E-3</v>
      </c>
      <c r="C2883" s="15">
        <v>1.17986E-3</v>
      </c>
    </row>
    <row r="2884" spans="1:3" x14ac:dyDescent="0.45">
      <c r="A2884" s="11">
        <v>45.55</v>
      </c>
      <c r="B2884" s="14">
        <v>1.47485E-3</v>
      </c>
      <c r="C2884" s="15">
        <v>1.1809500000000001E-3</v>
      </c>
    </row>
    <row r="2885" spans="1:3" x14ac:dyDescent="0.45">
      <c r="A2885" s="11">
        <v>45.56</v>
      </c>
      <c r="B2885" s="14">
        <v>1.4763199999999999E-3</v>
      </c>
      <c r="C2885" s="15">
        <v>1.1820400000000001E-3</v>
      </c>
    </row>
    <row r="2886" spans="1:3" x14ac:dyDescent="0.45">
      <c r="A2886" s="11">
        <v>45.57</v>
      </c>
      <c r="B2886" s="14">
        <v>1.4777900000000001E-3</v>
      </c>
      <c r="C2886" s="15">
        <v>1.1831299999999999E-3</v>
      </c>
    </row>
    <row r="2887" spans="1:3" x14ac:dyDescent="0.45">
      <c r="A2887" s="11">
        <v>45.58</v>
      </c>
      <c r="B2887" s="14">
        <v>1.47926E-3</v>
      </c>
      <c r="C2887" s="15">
        <v>1.1842199999999999E-3</v>
      </c>
    </row>
    <row r="2888" spans="1:3" x14ac:dyDescent="0.45">
      <c r="A2888" s="11">
        <v>45.59</v>
      </c>
      <c r="B2888" s="14">
        <v>1.48073E-3</v>
      </c>
      <c r="C2888" s="15">
        <v>1.18531E-3</v>
      </c>
    </row>
    <row r="2889" spans="1:3" x14ac:dyDescent="0.45">
      <c r="A2889" s="11">
        <v>45.6</v>
      </c>
      <c r="B2889" s="14">
        <v>1.4821999999999999E-3</v>
      </c>
      <c r="C2889" s="15">
        <v>1.1864E-3</v>
      </c>
    </row>
    <row r="2890" spans="1:3" x14ac:dyDescent="0.45">
      <c r="A2890" s="11">
        <v>45.61</v>
      </c>
      <c r="B2890" s="14">
        <v>1.4836700000000001E-3</v>
      </c>
      <c r="C2890" s="15">
        <v>1.18749E-3</v>
      </c>
    </row>
    <row r="2891" spans="1:3" x14ac:dyDescent="0.45">
      <c r="A2891" s="11">
        <v>45.62</v>
      </c>
      <c r="B2891" s="14">
        <v>1.48514E-3</v>
      </c>
      <c r="C2891" s="15">
        <v>1.1885800000000001E-3</v>
      </c>
    </row>
    <row r="2892" spans="1:3" x14ac:dyDescent="0.45">
      <c r="A2892" s="11">
        <v>45.63</v>
      </c>
      <c r="B2892" s="14">
        <v>1.48661E-3</v>
      </c>
      <c r="C2892" s="15">
        <v>1.1896700000000001E-3</v>
      </c>
    </row>
    <row r="2893" spans="1:3" x14ac:dyDescent="0.45">
      <c r="A2893" s="11">
        <v>45.64</v>
      </c>
      <c r="B2893" s="14">
        <v>1.4880799999999999E-3</v>
      </c>
      <c r="C2893" s="15">
        <v>1.1907599999999999E-3</v>
      </c>
    </row>
    <row r="2894" spans="1:3" x14ac:dyDescent="0.45">
      <c r="A2894" s="11">
        <v>45.65</v>
      </c>
      <c r="B2894" s="14">
        <v>1.4895500000000001E-3</v>
      </c>
      <c r="C2894" s="15">
        <v>1.1918499999999999E-3</v>
      </c>
    </row>
    <row r="2895" spans="1:3" x14ac:dyDescent="0.45">
      <c r="A2895" s="11">
        <v>45.66</v>
      </c>
      <c r="B2895" s="14">
        <v>1.49102E-3</v>
      </c>
      <c r="C2895" s="15">
        <v>1.19294E-3</v>
      </c>
    </row>
    <row r="2896" spans="1:3" x14ac:dyDescent="0.45">
      <c r="A2896" s="11">
        <v>45.67</v>
      </c>
      <c r="B2896" s="14">
        <v>1.49249E-3</v>
      </c>
      <c r="C2896" s="15">
        <v>1.19403E-3</v>
      </c>
    </row>
    <row r="2897" spans="1:3" x14ac:dyDescent="0.45">
      <c r="A2897" s="11">
        <v>45.68</v>
      </c>
      <c r="B2897" s="14">
        <v>1.4939599999999999E-3</v>
      </c>
      <c r="C2897" s="15">
        <v>1.19512E-3</v>
      </c>
    </row>
    <row r="2898" spans="1:3" x14ac:dyDescent="0.45">
      <c r="A2898" s="11">
        <v>45.69</v>
      </c>
      <c r="B2898" s="14">
        <v>1.4954300000000001E-3</v>
      </c>
      <c r="C2898" s="15">
        <v>1.1962100000000001E-3</v>
      </c>
    </row>
    <row r="2899" spans="1:3" x14ac:dyDescent="0.45">
      <c r="A2899" s="11">
        <v>45.7</v>
      </c>
      <c r="B2899" s="14">
        <v>1.4969E-3</v>
      </c>
      <c r="C2899" s="15">
        <v>1.1973000000000001E-3</v>
      </c>
    </row>
    <row r="2900" spans="1:3" x14ac:dyDescent="0.45">
      <c r="A2900" s="11">
        <v>45.71</v>
      </c>
      <c r="B2900" s="14">
        <v>1.49837E-3</v>
      </c>
      <c r="C2900" s="15">
        <v>1.1983899999999999E-3</v>
      </c>
    </row>
    <row r="2901" spans="1:3" x14ac:dyDescent="0.45">
      <c r="A2901" s="11">
        <v>45.72</v>
      </c>
      <c r="B2901" s="14">
        <v>1.4998399999999999E-3</v>
      </c>
      <c r="C2901" s="15">
        <v>1.1994799999999999E-3</v>
      </c>
    </row>
    <row r="2902" spans="1:3" x14ac:dyDescent="0.45">
      <c r="A2902" s="11">
        <v>45.73</v>
      </c>
      <c r="B2902" s="14">
        <v>1.5013100000000001E-3</v>
      </c>
      <c r="C2902" s="15">
        <v>1.20057E-3</v>
      </c>
    </row>
    <row r="2903" spans="1:3" x14ac:dyDescent="0.45">
      <c r="A2903" s="11">
        <v>45.74</v>
      </c>
      <c r="B2903" s="14">
        <v>1.50278E-3</v>
      </c>
      <c r="C2903" s="15">
        <v>1.20166E-3</v>
      </c>
    </row>
    <row r="2904" spans="1:3" x14ac:dyDescent="0.45">
      <c r="A2904" s="11">
        <v>45.75</v>
      </c>
      <c r="B2904" s="14">
        <v>1.5042499999999999E-3</v>
      </c>
      <c r="C2904" s="15">
        <v>1.20275E-3</v>
      </c>
    </row>
    <row r="2905" spans="1:3" x14ac:dyDescent="0.45">
      <c r="A2905" s="11">
        <v>45.76</v>
      </c>
      <c r="B2905" s="14">
        <v>1.5057200000000001E-3</v>
      </c>
      <c r="C2905" s="15">
        <v>1.2038400000000001E-3</v>
      </c>
    </row>
    <row r="2906" spans="1:3" x14ac:dyDescent="0.45">
      <c r="A2906" s="11">
        <v>45.77</v>
      </c>
      <c r="B2906" s="14">
        <v>1.50719E-3</v>
      </c>
      <c r="C2906" s="15">
        <v>1.2049300000000001E-3</v>
      </c>
    </row>
    <row r="2907" spans="1:3" x14ac:dyDescent="0.45">
      <c r="A2907" s="11">
        <v>45.78</v>
      </c>
      <c r="B2907" s="14">
        <v>1.50866E-3</v>
      </c>
      <c r="C2907" s="15">
        <v>1.2060199999999999E-3</v>
      </c>
    </row>
    <row r="2908" spans="1:3" x14ac:dyDescent="0.45">
      <c r="A2908" s="11">
        <v>45.79</v>
      </c>
      <c r="B2908" s="14">
        <v>1.5101299999999999E-3</v>
      </c>
      <c r="C2908" s="15">
        <v>1.20711E-3</v>
      </c>
    </row>
    <row r="2909" spans="1:3" x14ac:dyDescent="0.45">
      <c r="A2909" s="11">
        <v>45.8</v>
      </c>
      <c r="B2909" s="14">
        <v>1.5116000000000001E-3</v>
      </c>
      <c r="C2909" s="15">
        <v>1.2082E-3</v>
      </c>
    </row>
    <row r="2910" spans="1:3" x14ac:dyDescent="0.45">
      <c r="A2910" s="11">
        <v>45.81</v>
      </c>
      <c r="B2910" s="14">
        <v>1.51307E-3</v>
      </c>
      <c r="C2910" s="15">
        <v>1.20929E-3</v>
      </c>
    </row>
    <row r="2911" spans="1:3" x14ac:dyDescent="0.45">
      <c r="A2911" s="11">
        <v>45.82</v>
      </c>
      <c r="B2911" s="14">
        <v>1.51454E-3</v>
      </c>
      <c r="C2911" s="15">
        <v>1.21038E-3</v>
      </c>
    </row>
    <row r="2912" spans="1:3" x14ac:dyDescent="0.45">
      <c r="A2912" s="11">
        <v>45.83</v>
      </c>
      <c r="B2912" s="14">
        <v>1.5160099999999999E-3</v>
      </c>
      <c r="C2912" s="15">
        <v>1.2114700000000001E-3</v>
      </c>
    </row>
    <row r="2913" spans="1:3" x14ac:dyDescent="0.45">
      <c r="A2913" s="11">
        <v>45.84</v>
      </c>
      <c r="B2913" s="14">
        <v>1.5174800000000001E-3</v>
      </c>
      <c r="C2913" s="15">
        <v>1.2125599999999999E-3</v>
      </c>
    </row>
    <row r="2914" spans="1:3" x14ac:dyDescent="0.45">
      <c r="A2914" s="11">
        <v>45.85</v>
      </c>
      <c r="B2914" s="14">
        <v>1.51895E-3</v>
      </c>
      <c r="C2914" s="15">
        <v>1.2136499999999999E-3</v>
      </c>
    </row>
    <row r="2915" spans="1:3" x14ac:dyDescent="0.45">
      <c r="A2915" s="11">
        <v>45.86</v>
      </c>
      <c r="B2915" s="14">
        <v>1.52042E-3</v>
      </c>
      <c r="C2915" s="15">
        <v>1.21474E-3</v>
      </c>
    </row>
    <row r="2916" spans="1:3" x14ac:dyDescent="0.45">
      <c r="A2916" s="11">
        <v>45.87</v>
      </c>
      <c r="B2916" s="14">
        <v>1.5218899999999999E-3</v>
      </c>
      <c r="C2916" s="15">
        <v>1.21583E-3</v>
      </c>
    </row>
    <row r="2917" spans="1:3" x14ac:dyDescent="0.45">
      <c r="A2917" s="11">
        <v>45.88</v>
      </c>
      <c r="B2917" s="14">
        <v>1.5233600000000001E-3</v>
      </c>
      <c r="C2917" s="15">
        <v>1.21692E-3</v>
      </c>
    </row>
    <row r="2918" spans="1:3" x14ac:dyDescent="0.45">
      <c r="A2918" s="11">
        <v>45.89</v>
      </c>
      <c r="B2918" s="14">
        <v>1.52483E-3</v>
      </c>
      <c r="C2918" s="15">
        <v>1.2180100000000001E-3</v>
      </c>
    </row>
    <row r="2919" spans="1:3" x14ac:dyDescent="0.45">
      <c r="A2919" s="11">
        <v>45.9</v>
      </c>
      <c r="B2919" s="14">
        <v>1.5263E-3</v>
      </c>
      <c r="C2919" s="15">
        <v>1.2191000000000001E-3</v>
      </c>
    </row>
    <row r="2920" spans="1:3" x14ac:dyDescent="0.45">
      <c r="A2920" s="11">
        <v>45.91</v>
      </c>
      <c r="B2920" s="14">
        <v>1.5277699999999999E-3</v>
      </c>
      <c r="C2920" s="15">
        <v>1.2201899999999999E-3</v>
      </c>
    </row>
    <row r="2921" spans="1:3" x14ac:dyDescent="0.45">
      <c r="A2921" s="11">
        <v>45.92</v>
      </c>
      <c r="B2921" s="14">
        <v>1.5292400000000001E-3</v>
      </c>
      <c r="C2921" s="15">
        <v>1.2212799999999999E-3</v>
      </c>
    </row>
    <row r="2922" spans="1:3" x14ac:dyDescent="0.45">
      <c r="A2922" s="11">
        <v>45.93</v>
      </c>
      <c r="B2922" s="14">
        <v>1.53071E-3</v>
      </c>
      <c r="C2922" s="15">
        <v>1.22237E-3</v>
      </c>
    </row>
    <row r="2923" spans="1:3" x14ac:dyDescent="0.45">
      <c r="A2923" s="11">
        <v>45.94</v>
      </c>
      <c r="B2923" s="14">
        <v>1.53218E-3</v>
      </c>
      <c r="C2923" s="15">
        <v>1.22346E-3</v>
      </c>
    </row>
    <row r="2924" spans="1:3" x14ac:dyDescent="0.45">
      <c r="A2924" s="11">
        <v>45.95</v>
      </c>
      <c r="B2924" s="14">
        <v>1.5336499999999999E-3</v>
      </c>
      <c r="C2924" s="15">
        <v>1.22455E-3</v>
      </c>
    </row>
    <row r="2925" spans="1:3" x14ac:dyDescent="0.45">
      <c r="A2925" s="11">
        <v>45.96</v>
      </c>
      <c r="B2925" s="14">
        <v>1.5351200000000001E-3</v>
      </c>
      <c r="C2925" s="15">
        <v>1.2256400000000001E-3</v>
      </c>
    </row>
    <row r="2926" spans="1:3" x14ac:dyDescent="0.45">
      <c r="A2926" s="11">
        <v>45.97</v>
      </c>
      <c r="B2926" s="14">
        <v>1.53659E-3</v>
      </c>
      <c r="C2926" s="15">
        <v>1.2267300000000001E-3</v>
      </c>
    </row>
    <row r="2927" spans="1:3" x14ac:dyDescent="0.45">
      <c r="A2927" s="11">
        <v>45.98</v>
      </c>
      <c r="B2927" s="14">
        <v>1.5380599999999999E-3</v>
      </c>
      <c r="C2927" s="15">
        <v>1.2278199999999999E-3</v>
      </c>
    </row>
    <row r="2928" spans="1:3" x14ac:dyDescent="0.45">
      <c r="A2928" s="11">
        <v>45.99</v>
      </c>
      <c r="B2928" s="14">
        <v>1.5395299999999999E-3</v>
      </c>
      <c r="C2928" s="15">
        <v>1.2289099999999999E-3</v>
      </c>
    </row>
    <row r="2929" spans="1:3" x14ac:dyDescent="0.45">
      <c r="A2929" s="11">
        <v>46</v>
      </c>
      <c r="B2929" s="14">
        <v>1.5410000000000001E-3</v>
      </c>
      <c r="C2929" s="15">
        <v>1.23E-3</v>
      </c>
    </row>
    <row r="2930" spans="1:3" x14ac:dyDescent="0.45">
      <c r="A2930" s="11">
        <v>46.01</v>
      </c>
      <c r="B2930" s="14">
        <v>1.54268E-3</v>
      </c>
      <c r="C2930" s="15">
        <v>1.2312099999999999E-3</v>
      </c>
    </row>
    <row r="2931" spans="1:3" x14ac:dyDescent="0.45">
      <c r="A2931" s="11">
        <v>46.02</v>
      </c>
      <c r="B2931" s="14">
        <v>1.54436E-3</v>
      </c>
      <c r="C2931" s="15">
        <v>1.2324199999999999E-3</v>
      </c>
    </row>
    <row r="2932" spans="1:3" x14ac:dyDescent="0.45">
      <c r="A2932" s="11">
        <v>46.03</v>
      </c>
      <c r="B2932" s="14">
        <v>1.54604E-3</v>
      </c>
      <c r="C2932" s="15">
        <v>1.2336300000000001E-3</v>
      </c>
    </row>
    <row r="2933" spans="1:3" x14ac:dyDescent="0.45">
      <c r="A2933" s="11">
        <v>46.04</v>
      </c>
      <c r="B2933" s="14">
        <v>1.54772E-3</v>
      </c>
      <c r="C2933" s="15">
        <v>1.2348400000000001E-3</v>
      </c>
    </row>
    <row r="2934" spans="1:3" x14ac:dyDescent="0.45">
      <c r="A2934" s="11">
        <v>46.05</v>
      </c>
      <c r="B2934" s="14">
        <v>1.5494E-3</v>
      </c>
      <c r="C2934" s="15">
        <v>1.23605E-3</v>
      </c>
    </row>
    <row r="2935" spans="1:3" x14ac:dyDescent="0.45">
      <c r="A2935" s="11">
        <v>46.06</v>
      </c>
      <c r="B2935" s="14">
        <v>1.55108E-3</v>
      </c>
      <c r="C2935" s="15">
        <v>1.23726E-3</v>
      </c>
    </row>
    <row r="2936" spans="1:3" x14ac:dyDescent="0.45">
      <c r="A2936" s="11">
        <v>46.07</v>
      </c>
      <c r="B2936" s="14">
        <v>1.55276E-3</v>
      </c>
      <c r="C2936" s="15">
        <v>1.23847E-3</v>
      </c>
    </row>
    <row r="2937" spans="1:3" x14ac:dyDescent="0.45">
      <c r="A2937" s="11">
        <v>46.08</v>
      </c>
      <c r="B2937" s="14">
        <v>1.55444E-3</v>
      </c>
      <c r="C2937" s="15">
        <v>1.2396799999999999E-3</v>
      </c>
    </row>
    <row r="2938" spans="1:3" x14ac:dyDescent="0.45">
      <c r="A2938" s="11">
        <v>46.09</v>
      </c>
      <c r="B2938" s="14">
        <v>1.55612E-3</v>
      </c>
      <c r="C2938" s="15">
        <v>1.2408899999999999E-3</v>
      </c>
    </row>
    <row r="2939" spans="1:3" x14ac:dyDescent="0.45">
      <c r="A2939" s="11">
        <v>46.1</v>
      </c>
      <c r="B2939" s="14">
        <v>1.5578E-3</v>
      </c>
      <c r="C2939" s="15">
        <v>1.2421000000000001E-3</v>
      </c>
    </row>
    <row r="2940" spans="1:3" x14ac:dyDescent="0.45">
      <c r="A2940" s="11">
        <v>46.11</v>
      </c>
      <c r="B2940" s="14">
        <v>1.55948E-3</v>
      </c>
      <c r="C2940" s="15">
        <v>1.2433100000000001E-3</v>
      </c>
    </row>
    <row r="2941" spans="1:3" x14ac:dyDescent="0.45">
      <c r="A2941" s="11">
        <v>46.12</v>
      </c>
      <c r="B2941" s="14">
        <v>1.56116E-3</v>
      </c>
      <c r="C2941" s="15">
        <v>1.24452E-3</v>
      </c>
    </row>
    <row r="2942" spans="1:3" x14ac:dyDescent="0.45">
      <c r="A2942" s="11">
        <v>46.13</v>
      </c>
      <c r="B2942" s="14">
        <v>1.56284E-3</v>
      </c>
      <c r="C2942" s="15">
        <v>1.24573E-3</v>
      </c>
    </row>
    <row r="2943" spans="1:3" x14ac:dyDescent="0.45">
      <c r="A2943" s="11">
        <v>46.14</v>
      </c>
      <c r="B2943" s="14">
        <v>1.56452E-3</v>
      </c>
      <c r="C2943" s="15">
        <v>1.24694E-3</v>
      </c>
    </row>
    <row r="2944" spans="1:3" x14ac:dyDescent="0.45">
      <c r="A2944" s="11">
        <v>46.15</v>
      </c>
      <c r="B2944" s="14">
        <v>1.5662E-3</v>
      </c>
      <c r="C2944" s="15">
        <v>1.24815E-3</v>
      </c>
    </row>
    <row r="2945" spans="1:3" x14ac:dyDescent="0.45">
      <c r="A2945" s="11">
        <v>46.16</v>
      </c>
      <c r="B2945" s="14">
        <v>1.56788E-3</v>
      </c>
      <c r="C2945" s="15">
        <v>1.2493599999999999E-3</v>
      </c>
    </row>
    <row r="2946" spans="1:3" x14ac:dyDescent="0.45">
      <c r="A2946" s="11">
        <v>46.17</v>
      </c>
      <c r="B2946" s="14">
        <v>1.56956E-3</v>
      </c>
      <c r="C2946" s="15">
        <v>1.2505699999999999E-3</v>
      </c>
    </row>
    <row r="2947" spans="1:3" x14ac:dyDescent="0.45">
      <c r="A2947" s="11">
        <v>46.18</v>
      </c>
      <c r="B2947" s="14">
        <v>1.57124E-3</v>
      </c>
      <c r="C2947" s="15">
        <v>1.2517800000000001E-3</v>
      </c>
    </row>
    <row r="2948" spans="1:3" x14ac:dyDescent="0.45">
      <c r="A2948" s="11">
        <v>46.19</v>
      </c>
      <c r="B2948" s="14">
        <v>1.57292E-3</v>
      </c>
      <c r="C2948" s="15">
        <v>1.25299E-3</v>
      </c>
    </row>
    <row r="2949" spans="1:3" x14ac:dyDescent="0.45">
      <c r="A2949" s="11">
        <v>46.2</v>
      </c>
      <c r="B2949" s="14">
        <v>1.5746E-3</v>
      </c>
      <c r="C2949" s="15">
        <v>1.2542E-3</v>
      </c>
    </row>
    <row r="2950" spans="1:3" x14ac:dyDescent="0.45">
      <c r="A2950" s="11">
        <v>46.21</v>
      </c>
      <c r="B2950" s="14">
        <v>1.57628E-3</v>
      </c>
      <c r="C2950" s="15">
        <v>1.25541E-3</v>
      </c>
    </row>
    <row r="2951" spans="1:3" x14ac:dyDescent="0.45">
      <c r="A2951" s="11">
        <v>46.22</v>
      </c>
      <c r="B2951" s="14">
        <v>1.57796E-3</v>
      </c>
      <c r="C2951" s="15">
        <v>1.25662E-3</v>
      </c>
    </row>
    <row r="2952" spans="1:3" x14ac:dyDescent="0.45">
      <c r="A2952" s="11">
        <v>46.23</v>
      </c>
      <c r="B2952" s="14">
        <v>1.57964E-3</v>
      </c>
      <c r="C2952" s="15">
        <v>1.2578299999999999E-3</v>
      </c>
    </row>
    <row r="2953" spans="1:3" x14ac:dyDescent="0.45">
      <c r="A2953" s="11">
        <v>46.24</v>
      </c>
      <c r="B2953" s="14">
        <v>1.58132E-3</v>
      </c>
      <c r="C2953" s="15">
        <v>1.2590399999999999E-3</v>
      </c>
    </row>
    <row r="2954" spans="1:3" x14ac:dyDescent="0.45">
      <c r="A2954" s="11">
        <v>46.25</v>
      </c>
      <c r="B2954" s="14">
        <v>1.583E-3</v>
      </c>
      <c r="C2954" s="15">
        <v>1.2602500000000001E-3</v>
      </c>
    </row>
    <row r="2955" spans="1:3" x14ac:dyDescent="0.45">
      <c r="A2955" s="11">
        <v>46.26</v>
      </c>
      <c r="B2955" s="14">
        <v>1.58468E-3</v>
      </c>
      <c r="C2955" s="15">
        <v>1.2614600000000001E-3</v>
      </c>
    </row>
    <row r="2956" spans="1:3" x14ac:dyDescent="0.45">
      <c r="A2956" s="11">
        <v>46.27</v>
      </c>
      <c r="B2956" s="14">
        <v>1.58636E-3</v>
      </c>
      <c r="C2956" s="15">
        <v>1.26267E-3</v>
      </c>
    </row>
    <row r="2957" spans="1:3" x14ac:dyDescent="0.45">
      <c r="A2957" s="11">
        <v>46.28</v>
      </c>
      <c r="B2957" s="14">
        <v>1.58804E-3</v>
      </c>
      <c r="C2957" s="15">
        <v>1.26388E-3</v>
      </c>
    </row>
    <row r="2958" spans="1:3" x14ac:dyDescent="0.45">
      <c r="A2958" s="11">
        <v>46.29</v>
      </c>
      <c r="B2958" s="14">
        <v>1.58972E-3</v>
      </c>
      <c r="C2958" s="15">
        <v>1.26509E-3</v>
      </c>
    </row>
    <row r="2959" spans="1:3" x14ac:dyDescent="0.45">
      <c r="A2959" s="11">
        <v>46.3</v>
      </c>
      <c r="B2959" s="14">
        <v>1.5914E-3</v>
      </c>
      <c r="C2959" s="15">
        <v>1.2662999999999999E-3</v>
      </c>
    </row>
    <row r="2960" spans="1:3" x14ac:dyDescent="0.45">
      <c r="A2960" s="11">
        <v>46.31</v>
      </c>
      <c r="B2960" s="14">
        <v>1.59308E-3</v>
      </c>
      <c r="C2960" s="15">
        <v>1.2675099999999999E-3</v>
      </c>
    </row>
    <row r="2961" spans="1:3" x14ac:dyDescent="0.45">
      <c r="A2961" s="11">
        <v>46.32</v>
      </c>
      <c r="B2961" s="14">
        <v>1.59476E-3</v>
      </c>
      <c r="C2961" s="15">
        <v>1.2687200000000001E-3</v>
      </c>
    </row>
    <row r="2962" spans="1:3" x14ac:dyDescent="0.45">
      <c r="A2962" s="11">
        <v>46.33</v>
      </c>
      <c r="B2962" s="14">
        <v>1.59644E-3</v>
      </c>
      <c r="C2962" s="15">
        <v>1.2699300000000001E-3</v>
      </c>
    </row>
    <row r="2963" spans="1:3" x14ac:dyDescent="0.45">
      <c r="A2963" s="11">
        <v>46.34</v>
      </c>
      <c r="B2963" s="14">
        <v>1.59812E-3</v>
      </c>
      <c r="C2963" s="15">
        <v>1.27114E-3</v>
      </c>
    </row>
    <row r="2964" spans="1:3" x14ac:dyDescent="0.45">
      <c r="A2964" s="11">
        <v>46.35</v>
      </c>
      <c r="B2964" s="14">
        <v>1.5998E-3</v>
      </c>
      <c r="C2964" s="15">
        <v>1.27235E-3</v>
      </c>
    </row>
    <row r="2965" spans="1:3" x14ac:dyDescent="0.45">
      <c r="A2965" s="11">
        <v>46.36</v>
      </c>
      <c r="B2965" s="14">
        <v>1.60148E-3</v>
      </c>
      <c r="C2965" s="15">
        <v>1.27356E-3</v>
      </c>
    </row>
    <row r="2966" spans="1:3" x14ac:dyDescent="0.45">
      <c r="A2966" s="11">
        <v>46.37</v>
      </c>
      <c r="B2966" s="14">
        <v>1.60316E-3</v>
      </c>
      <c r="C2966" s="15">
        <v>1.2747699999999999E-3</v>
      </c>
    </row>
    <row r="2967" spans="1:3" x14ac:dyDescent="0.45">
      <c r="A2967" s="11">
        <v>46.38</v>
      </c>
      <c r="B2967" s="14">
        <v>1.60484E-3</v>
      </c>
      <c r="C2967" s="15">
        <v>1.2759799999999999E-3</v>
      </c>
    </row>
    <row r="2968" spans="1:3" x14ac:dyDescent="0.45">
      <c r="A2968" s="11">
        <v>46.39</v>
      </c>
      <c r="B2968" s="14">
        <v>1.60652E-3</v>
      </c>
      <c r="C2968" s="15">
        <v>1.2771900000000001E-3</v>
      </c>
    </row>
    <row r="2969" spans="1:3" x14ac:dyDescent="0.45">
      <c r="A2969" s="11">
        <v>46.4</v>
      </c>
      <c r="B2969" s="14">
        <v>1.6082E-3</v>
      </c>
      <c r="C2969" s="15">
        <v>1.2784000000000001E-3</v>
      </c>
    </row>
    <row r="2970" spans="1:3" x14ac:dyDescent="0.45">
      <c r="A2970" s="11">
        <v>46.41</v>
      </c>
      <c r="B2970" s="14">
        <v>1.6098799999999999E-3</v>
      </c>
      <c r="C2970" s="15">
        <v>1.27961E-3</v>
      </c>
    </row>
    <row r="2971" spans="1:3" x14ac:dyDescent="0.45">
      <c r="A2971" s="11">
        <v>46.42</v>
      </c>
      <c r="B2971" s="14">
        <v>1.6115599999999999E-3</v>
      </c>
      <c r="C2971" s="15">
        <v>1.28082E-3</v>
      </c>
    </row>
    <row r="2972" spans="1:3" x14ac:dyDescent="0.45">
      <c r="A2972" s="11">
        <v>46.43</v>
      </c>
      <c r="B2972" s="14">
        <v>1.6132399999999999E-3</v>
      </c>
      <c r="C2972" s="15">
        <v>1.28203E-3</v>
      </c>
    </row>
    <row r="2973" spans="1:3" x14ac:dyDescent="0.45">
      <c r="A2973" s="11">
        <v>46.44</v>
      </c>
      <c r="B2973" s="14">
        <v>1.6149199999999999E-3</v>
      </c>
      <c r="C2973" s="15">
        <v>1.2832399999999999E-3</v>
      </c>
    </row>
    <row r="2974" spans="1:3" x14ac:dyDescent="0.45">
      <c r="A2974" s="11">
        <v>46.45</v>
      </c>
      <c r="B2974" s="14">
        <v>1.6165999999999999E-3</v>
      </c>
      <c r="C2974" s="15">
        <v>1.2844499999999999E-3</v>
      </c>
    </row>
    <row r="2975" spans="1:3" x14ac:dyDescent="0.45">
      <c r="A2975" s="11">
        <v>46.46</v>
      </c>
      <c r="B2975" s="14">
        <v>1.6182799999999999E-3</v>
      </c>
      <c r="C2975" s="15">
        <v>1.2856600000000001E-3</v>
      </c>
    </row>
    <row r="2976" spans="1:3" x14ac:dyDescent="0.45">
      <c r="A2976" s="11">
        <v>46.47</v>
      </c>
      <c r="B2976" s="14">
        <v>1.6199599999999999E-3</v>
      </c>
      <c r="C2976" s="15">
        <v>1.2868700000000001E-3</v>
      </c>
    </row>
    <row r="2977" spans="1:3" x14ac:dyDescent="0.45">
      <c r="A2977" s="11">
        <v>46.48</v>
      </c>
      <c r="B2977" s="14">
        <v>1.6216399999999999E-3</v>
      </c>
      <c r="C2977" s="15">
        <v>1.28808E-3</v>
      </c>
    </row>
    <row r="2978" spans="1:3" x14ac:dyDescent="0.45">
      <c r="A2978" s="11">
        <v>46.49</v>
      </c>
      <c r="B2978" s="14">
        <v>1.6233199999999999E-3</v>
      </c>
      <c r="C2978" s="15">
        <v>1.28929E-3</v>
      </c>
    </row>
    <row r="2979" spans="1:3" x14ac:dyDescent="0.45">
      <c r="A2979" s="11">
        <v>46.5</v>
      </c>
      <c r="B2979" s="14">
        <v>1.6249999999999999E-3</v>
      </c>
      <c r="C2979" s="15">
        <v>1.2905E-3</v>
      </c>
    </row>
    <row r="2980" spans="1:3" x14ac:dyDescent="0.45">
      <c r="A2980" s="11">
        <v>46.51</v>
      </c>
      <c r="B2980" s="14">
        <v>1.6266799999999999E-3</v>
      </c>
      <c r="C2980" s="15">
        <v>1.29171E-3</v>
      </c>
    </row>
    <row r="2981" spans="1:3" x14ac:dyDescent="0.45">
      <c r="A2981" s="11">
        <v>46.52</v>
      </c>
      <c r="B2981" s="14">
        <v>1.6283599999999999E-3</v>
      </c>
      <c r="C2981" s="15">
        <v>1.2929199999999999E-3</v>
      </c>
    </row>
    <row r="2982" spans="1:3" x14ac:dyDescent="0.45">
      <c r="A2982" s="11">
        <v>46.53</v>
      </c>
      <c r="B2982" s="14">
        <v>1.6300399999999999E-3</v>
      </c>
      <c r="C2982" s="15">
        <v>1.2941300000000001E-3</v>
      </c>
    </row>
    <row r="2983" spans="1:3" x14ac:dyDescent="0.45">
      <c r="A2983" s="11">
        <v>46.54</v>
      </c>
      <c r="B2983" s="14">
        <v>1.6317199999999999E-3</v>
      </c>
      <c r="C2983" s="15">
        <v>1.2953400000000001E-3</v>
      </c>
    </row>
    <row r="2984" spans="1:3" x14ac:dyDescent="0.45">
      <c r="A2984" s="11">
        <v>46.55</v>
      </c>
      <c r="B2984" s="14">
        <v>1.6333999999999999E-3</v>
      </c>
      <c r="C2984" s="15">
        <v>1.29655E-3</v>
      </c>
    </row>
    <row r="2985" spans="1:3" x14ac:dyDescent="0.45">
      <c r="A2985" s="11">
        <v>46.56</v>
      </c>
      <c r="B2985" s="14">
        <v>1.6350799999999999E-3</v>
      </c>
      <c r="C2985" s="15">
        <v>1.29776E-3</v>
      </c>
    </row>
    <row r="2986" spans="1:3" x14ac:dyDescent="0.45">
      <c r="A2986" s="11">
        <v>46.57</v>
      </c>
      <c r="B2986" s="14">
        <v>1.6367599999999999E-3</v>
      </c>
      <c r="C2986" s="15">
        <v>1.29897E-3</v>
      </c>
    </row>
    <row r="2987" spans="1:3" x14ac:dyDescent="0.45">
      <c r="A2987" s="11">
        <v>46.58</v>
      </c>
      <c r="B2987" s="14">
        <v>1.6384399999999999E-3</v>
      </c>
      <c r="C2987" s="15">
        <v>1.30018E-3</v>
      </c>
    </row>
    <row r="2988" spans="1:3" x14ac:dyDescent="0.45">
      <c r="A2988" s="11">
        <v>46.59</v>
      </c>
      <c r="B2988" s="14">
        <v>1.6401199999999999E-3</v>
      </c>
      <c r="C2988" s="15">
        <v>1.3013899999999999E-3</v>
      </c>
    </row>
    <row r="2989" spans="1:3" x14ac:dyDescent="0.45">
      <c r="A2989" s="11">
        <v>46.6</v>
      </c>
      <c r="B2989" s="14">
        <v>1.6417999999999999E-3</v>
      </c>
      <c r="C2989" s="15">
        <v>1.3025999999999999E-3</v>
      </c>
    </row>
    <row r="2990" spans="1:3" x14ac:dyDescent="0.45">
      <c r="A2990" s="11">
        <v>46.61</v>
      </c>
      <c r="B2990" s="14">
        <v>1.6434799999999999E-3</v>
      </c>
      <c r="C2990" s="15">
        <v>1.3038100000000001E-3</v>
      </c>
    </row>
    <row r="2991" spans="1:3" x14ac:dyDescent="0.45">
      <c r="A2991" s="11">
        <v>46.62</v>
      </c>
      <c r="B2991" s="14">
        <v>1.6451599999999999E-3</v>
      </c>
      <c r="C2991" s="15">
        <v>1.3050200000000001E-3</v>
      </c>
    </row>
    <row r="2992" spans="1:3" x14ac:dyDescent="0.45">
      <c r="A2992" s="11">
        <v>46.63</v>
      </c>
      <c r="B2992" s="14">
        <v>1.6468399999999999E-3</v>
      </c>
      <c r="C2992" s="15">
        <v>1.30623E-3</v>
      </c>
    </row>
    <row r="2993" spans="1:3" x14ac:dyDescent="0.45">
      <c r="A2993" s="11">
        <v>46.64</v>
      </c>
      <c r="B2993" s="14">
        <v>1.6485200000000001E-3</v>
      </c>
      <c r="C2993" s="15">
        <v>1.30744E-3</v>
      </c>
    </row>
    <row r="2994" spans="1:3" x14ac:dyDescent="0.45">
      <c r="A2994" s="11">
        <v>46.65</v>
      </c>
      <c r="B2994" s="14">
        <v>1.6502000000000001E-3</v>
      </c>
      <c r="C2994" s="15">
        <v>1.30865E-3</v>
      </c>
    </row>
    <row r="2995" spans="1:3" x14ac:dyDescent="0.45">
      <c r="A2995" s="11">
        <v>46.66</v>
      </c>
      <c r="B2995" s="14">
        <v>1.6518800000000001E-3</v>
      </c>
      <c r="C2995" s="15">
        <v>1.3098599999999999E-3</v>
      </c>
    </row>
    <row r="2996" spans="1:3" x14ac:dyDescent="0.45">
      <c r="A2996" s="11">
        <v>46.67</v>
      </c>
      <c r="B2996" s="14">
        <v>1.6535600000000001E-3</v>
      </c>
      <c r="C2996" s="15">
        <v>1.3110699999999999E-3</v>
      </c>
    </row>
    <row r="2997" spans="1:3" x14ac:dyDescent="0.45">
      <c r="A2997" s="11">
        <v>46.68</v>
      </c>
      <c r="B2997" s="14">
        <v>1.6552400000000001E-3</v>
      </c>
      <c r="C2997" s="15">
        <v>1.3122800000000001E-3</v>
      </c>
    </row>
    <row r="2998" spans="1:3" x14ac:dyDescent="0.45">
      <c r="A2998" s="11">
        <v>46.69</v>
      </c>
      <c r="B2998" s="14">
        <v>1.6569200000000001E-3</v>
      </c>
      <c r="C2998" s="15">
        <v>1.3134900000000001E-3</v>
      </c>
    </row>
    <row r="2999" spans="1:3" x14ac:dyDescent="0.45">
      <c r="A2999" s="11">
        <v>46.7</v>
      </c>
      <c r="B2999" s="14">
        <v>1.6586000000000001E-3</v>
      </c>
      <c r="C2999" s="15">
        <v>1.3147E-3</v>
      </c>
    </row>
    <row r="3000" spans="1:3" x14ac:dyDescent="0.45">
      <c r="A3000" s="11">
        <v>46.71</v>
      </c>
      <c r="B3000" s="14">
        <v>1.6602800000000001E-3</v>
      </c>
      <c r="C3000" s="15">
        <v>1.31591E-3</v>
      </c>
    </row>
    <row r="3001" spans="1:3" x14ac:dyDescent="0.45">
      <c r="A3001" s="11">
        <v>46.72</v>
      </c>
      <c r="B3001" s="14">
        <v>1.6619600000000001E-3</v>
      </c>
      <c r="C3001" s="15">
        <v>1.31712E-3</v>
      </c>
    </row>
    <row r="3002" spans="1:3" x14ac:dyDescent="0.45">
      <c r="A3002" s="11">
        <v>46.73</v>
      </c>
      <c r="B3002" s="14">
        <v>1.6636400000000001E-3</v>
      </c>
      <c r="C3002" s="15">
        <v>1.3183299999999999E-3</v>
      </c>
    </row>
    <row r="3003" spans="1:3" x14ac:dyDescent="0.45">
      <c r="A3003" s="11">
        <v>46.74</v>
      </c>
      <c r="B3003" s="14">
        <v>1.6653200000000001E-3</v>
      </c>
      <c r="C3003" s="15">
        <v>1.3195399999999999E-3</v>
      </c>
    </row>
    <row r="3004" spans="1:3" x14ac:dyDescent="0.45">
      <c r="A3004" s="11">
        <v>46.75</v>
      </c>
      <c r="B3004" s="14">
        <v>1.6670000000000001E-3</v>
      </c>
      <c r="C3004" s="15">
        <v>1.3207500000000001E-3</v>
      </c>
    </row>
    <row r="3005" spans="1:3" x14ac:dyDescent="0.45">
      <c r="A3005" s="11">
        <v>46.76</v>
      </c>
      <c r="B3005" s="14">
        <v>1.6686800000000001E-3</v>
      </c>
      <c r="C3005" s="15">
        <v>1.3219600000000001E-3</v>
      </c>
    </row>
    <row r="3006" spans="1:3" x14ac:dyDescent="0.45">
      <c r="A3006" s="11">
        <v>46.77</v>
      </c>
      <c r="B3006" s="14">
        <v>1.6703600000000001E-3</v>
      </c>
      <c r="C3006" s="15">
        <v>1.32317E-3</v>
      </c>
    </row>
    <row r="3007" spans="1:3" x14ac:dyDescent="0.45">
      <c r="A3007" s="11">
        <v>46.78</v>
      </c>
      <c r="B3007" s="14">
        <v>1.6720400000000001E-3</v>
      </c>
      <c r="C3007" s="15">
        <v>1.32438E-3</v>
      </c>
    </row>
    <row r="3008" spans="1:3" x14ac:dyDescent="0.45">
      <c r="A3008" s="11">
        <v>46.79</v>
      </c>
      <c r="B3008" s="14">
        <v>1.6737200000000001E-3</v>
      </c>
      <c r="C3008" s="15">
        <v>1.32559E-3</v>
      </c>
    </row>
    <row r="3009" spans="1:3" x14ac:dyDescent="0.45">
      <c r="A3009" s="11">
        <v>46.8</v>
      </c>
      <c r="B3009" s="14">
        <v>1.6754000000000001E-3</v>
      </c>
      <c r="C3009" s="15">
        <v>1.3267999999999999E-3</v>
      </c>
    </row>
    <row r="3010" spans="1:3" x14ac:dyDescent="0.45">
      <c r="A3010" s="11">
        <v>46.81</v>
      </c>
      <c r="B3010" s="14">
        <v>1.6770800000000001E-3</v>
      </c>
      <c r="C3010" s="15">
        <v>1.3280099999999999E-3</v>
      </c>
    </row>
    <row r="3011" spans="1:3" x14ac:dyDescent="0.45">
      <c r="A3011" s="11">
        <v>46.82</v>
      </c>
      <c r="B3011" s="14">
        <v>1.6787600000000001E-3</v>
      </c>
      <c r="C3011" s="15">
        <v>1.3292200000000001E-3</v>
      </c>
    </row>
    <row r="3012" spans="1:3" x14ac:dyDescent="0.45">
      <c r="A3012" s="11">
        <v>46.83</v>
      </c>
      <c r="B3012" s="14">
        <v>1.6804400000000001E-3</v>
      </c>
      <c r="C3012" s="15">
        <v>1.3304300000000001E-3</v>
      </c>
    </row>
    <row r="3013" spans="1:3" x14ac:dyDescent="0.45">
      <c r="A3013" s="11">
        <v>46.84</v>
      </c>
      <c r="B3013" s="14">
        <v>1.6821200000000001E-3</v>
      </c>
      <c r="C3013" s="15">
        <v>1.33164E-3</v>
      </c>
    </row>
    <row r="3014" spans="1:3" x14ac:dyDescent="0.45">
      <c r="A3014" s="11">
        <v>46.85</v>
      </c>
      <c r="B3014" s="14">
        <v>1.6838000000000001E-3</v>
      </c>
      <c r="C3014" s="15">
        <v>1.33285E-3</v>
      </c>
    </row>
    <row r="3015" spans="1:3" x14ac:dyDescent="0.45">
      <c r="A3015" s="11">
        <v>46.86</v>
      </c>
      <c r="B3015" s="14">
        <v>1.6854800000000001E-3</v>
      </c>
      <c r="C3015" s="15">
        <v>1.33406E-3</v>
      </c>
    </row>
    <row r="3016" spans="1:3" x14ac:dyDescent="0.45">
      <c r="A3016" s="11">
        <v>46.87</v>
      </c>
      <c r="B3016" s="14">
        <v>1.68716E-3</v>
      </c>
      <c r="C3016" s="15">
        <v>1.3352699999999999E-3</v>
      </c>
    </row>
    <row r="3017" spans="1:3" x14ac:dyDescent="0.45">
      <c r="A3017" s="11">
        <v>46.88</v>
      </c>
      <c r="B3017" s="14">
        <v>1.68884E-3</v>
      </c>
      <c r="C3017" s="15">
        <v>1.3364799999999999E-3</v>
      </c>
    </row>
    <row r="3018" spans="1:3" x14ac:dyDescent="0.45">
      <c r="A3018" s="11">
        <v>46.89</v>
      </c>
      <c r="B3018" s="14">
        <v>1.69052E-3</v>
      </c>
      <c r="C3018" s="15">
        <v>1.3376900000000001E-3</v>
      </c>
    </row>
    <row r="3019" spans="1:3" x14ac:dyDescent="0.45">
      <c r="A3019" s="11">
        <v>46.9</v>
      </c>
      <c r="B3019" s="14">
        <v>1.6922E-3</v>
      </c>
      <c r="C3019" s="15">
        <v>1.3389000000000001E-3</v>
      </c>
    </row>
    <row r="3020" spans="1:3" x14ac:dyDescent="0.45">
      <c r="A3020" s="11">
        <v>46.91</v>
      </c>
      <c r="B3020" s="14">
        <v>1.69388E-3</v>
      </c>
      <c r="C3020" s="15">
        <v>1.34011E-3</v>
      </c>
    </row>
    <row r="3021" spans="1:3" x14ac:dyDescent="0.45">
      <c r="A3021" s="11">
        <v>46.92</v>
      </c>
      <c r="B3021" s="14">
        <v>1.69556E-3</v>
      </c>
      <c r="C3021" s="15">
        <v>1.34132E-3</v>
      </c>
    </row>
    <row r="3022" spans="1:3" x14ac:dyDescent="0.45">
      <c r="A3022" s="11">
        <v>46.93</v>
      </c>
      <c r="B3022" s="14">
        <v>1.69724E-3</v>
      </c>
      <c r="C3022" s="15">
        <v>1.34253E-3</v>
      </c>
    </row>
    <row r="3023" spans="1:3" x14ac:dyDescent="0.45">
      <c r="A3023" s="11">
        <v>46.94</v>
      </c>
      <c r="B3023" s="14">
        <v>1.69892E-3</v>
      </c>
      <c r="C3023" s="15">
        <v>1.34374E-3</v>
      </c>
    </row>
    <row r="3024" spans="1:3" x14ac:dyDescent="0.45">
      <c r="A3024" s="11">
        <v>46.95</v>
      </c>
      <c r="B3024" s="14">
        <v>1.7006E-3</v>
      </c>
      <c r="C3024" s="15">
        <v>1.3449499999999999E-3</v>
      </c>
    </row>
    <row r="3025" spans="1:3" x14ac:dyDescent="0.45">
      <c r="A3025" s="11">
        <v>46.96</v>
      </c>
      <c r="B3025" s="14">
        <v>1.70228E-3</v>
      </c>
      <c r="C3025" s="15">
        <v>1.3461600000000001E-3</v>
      </c>
    </row>
    <row r="3026" spans="1:3" x14ac:dyDescent="0.45">
      <c r="A3026" s="11">
        <v>46.97</v>
      </c>
      <c r="B3026" s="14">
        <v>1.70396E-3</v>
      </c>
      <c r="C3026" s="15">
        <v>1.3473700000000001E-3</v>
      </c>
    </row>
    <row r="3027" spans="1:3" x14ac:dyDescent="0.45">
      <c r="A3027" s="11">
        <v>46.98</v>
      </c>
      <c r="B3027" s="14">
        <v>1.70564E-3</v>
      </c>
      <c r="C3027" s="15">
        <v>1.34858E-3</v>
      </c>
    </row>
    <row r="3028" spans="1:3" x14ac:dyDescent="0.45">
      <c r="A3028" s="11">
        <v>46.99</v>
      </c>
      <c r="B3028" s="14">
        <v>1.70732E-3</v>
      </c>
      <c r="C3028" s="15">
        <v>1.34979E-3</v>
      </c>
    </row>
    <row r="3029" spans="1:3" x14ac:dyDescent="0.45">
      <c r="A3029" s="11">
        <v>47</v>
      </c>
      <c r="B3029" s="14">
        <v>1.709E-3</v>
      </c>
      <c r="C3029" s="15">
        <v>1.351E-3</v>
      </c>
    </row>
    <row r="3030" spans="1:3" x14ac:dyDescent="0.45">
      <c r="A3030" s="11">
        <v>47.01</v>
      </c>
      <c r="B3030" s="14">
        <v>1.71093E-3</v>
      </c>
      <c r="C3030" s="15">
        <v>1.3523400000000001E-3</v>
      </c>
    </row>
    <row r="3031" spans="1:3" x14ac:dyDescent="0.45">
      <c r="A3031" s="11">
        <v>47.02</v>
      </c>
      <c r="B3031" s="14">
        <v>1.7128600000000001E-3</v>
      </c>
      <c r="C3031" s="15">
        <v>1.3536799999999999E-3</v>
      </c>
    </row>
    <row r="3032" spans="1:3" x14ac:dyDescent="0.45">
      <c r="A3032" s="11">
        <v>47.03</v>
      </c>
      <c r="B3032" s="14">
        <v>1.7147900000000001E-3</v>
      </c>
      <c r="C3032" s="15">
        <v>1.35502E-3</v>
      </c>
    </row>
    <row r="3033" spans="1:3" x14ac:dyDescent="0.45">
      <c r="A3033" s="11">
        <v>47.04</v>
      </c>
      <c r="B3033" s="14">
        <v>1.7167199999999999E-3</v>
      </c>
      <c r="C3033" s="15">
        <v>1.35636E-3</v>
      </c>
    </row>
    <row r="3034" spans="1:3" x14ac:dyDescent="0.45">
      <c r="A3034" s="11">
        <v>47.05</v>
      </c>
      <c r="B3034" s="14">
        <v>1.71865E-3</v>
      </c>
      <c r="C3034" s="15">
        <v>1.3577000000000001E-3</v>
      </c>
    </row>
    <row r="3035" spans="1:3" x14ac:dyDescent="0.45">
      <c r="A3035" s="11">
        <v>47.06</v>
      </c>
      <c r="B3035" s="14">
        <v>1.72058E-3</v>
      </c>
      <c r="C3035" s="15">
        <v>1.3590399999999999E-3</v>
      </c>
    </row>
    <row r="3036" spans="1:3" x14ac:dyDescent="0.45">
      <c r="A3036" s="11">
        <v>47.07</v>
      </c>
      <c r="B3036" s="14">
        <v>1.72251E-3</v>
      </c>
      <c r="C3036" s="15">
        <v>1.36038E-3</v>
      </c>
    </row>
    <row r="3037" spans="1:3" x14ac:dyDescent="0.45">
      <c r="A3037" s="11">
        <v>47.08</v>
      </c>
      <c r="B3037" s="14">
        <v>1.72444E-3</v>
      </c>
      <c r="C3037" s="15">
        <v>1.3617200000000001E-3</v>
      </c>
    </row>
    <row r="3038" spans="1:3" x14ac:dyDescent="0.45">
      <c r="A3038" s="11">
        <v>47.09</v>
      </c>
      <c r="B3038" s="14">
        <v>1.7263700000000001E-3</v>
      </c>
      <c r="C3038" s="15">
        <v>1.3630599999999999E-3</v>
      </c>
    </row>
    <row r="3039" spans="1:3" x14ac:dyDescent="0.45">
      <c r="A3039" s="11">
        <v>47.1</v>
      </c>
      <c r="B3039" s="14">
        <v>1.7283000000000001E-3</v>
      </c>
      <c r="C3039" s="15">
        <v>1.3644E-3</v>
      </c>
    </row>
    <row r="3040" spans="1:3" x14ac:dyDescent="0.45">
      <c r="A3040" s="11">
        <v>47.11</v>
      </c>
      <c r="B3040" s="14">
        <v>1.7302299999999999E-3</v>
      </c>
      <c r="C3040" s="15">
        <v>1.3657400000000001E-3</v>
      </c>
    </row>
    <row r="3041" spans="1:3" x14ac:dyDescent="0.45">
      <c r="A3041" s="11">
        <v>47.12</v>
      </c>
      <c r="B3041" s="14">
        <v>1.7321599999999999E-3</v>
      </c>
      <c r="C3041" s="15">
        <v>1.3670799999999999E-3</v>
      </c>
    </row>
    <row r="3042" spans="1:3" x14ac:dyDescent="0.45">
      <c r="A3042" s="11">
        <v>47.13</v>
      </c>
      <c r="B3042" s="14">
        <v>1.73409E-3</v>
      </c>
      <c r="C3042" s="15">
        <v>1.36842E-3</v>
      </c>
    </row>
    <row r="3043" spans="1:3" x14ac:dyDescent="0.45">
      <c r="A3043" s="11">
        <v>47.14</v>
      </c>
      <c r="B3043" s="14">
        <v>1.73602E-3</v>
      </c>
      <c r="C3043" s="15">
        <v>1.36976E-3</v>
      </c>
    </row>
    <row r="3044" spans="1:3" x14ac:dyDescent="0.45">
      <c r="A3044" s="11">
        <v>47.15</v>
      </c>
      <c r="B3044" s="14">
        <v>1.73795E-3</v>
      </c>
      <c r="C3044" s="15">
        <v>1.3711000000000001E-3</v>
      </c>
    </row>
    <row r="3045" spans="1:3" x14ac:dyDescent="0.45">
      <c r="A3045" s="11">
        <v>47.16</v>
      </c>
      <c r="B3045" s="14">
        <v>1.7398800000000001E-3</v>
      </c>
      <c r="C3045" s="15">
        <v>1.3724399999999999E-3</v>
      </c>
    </row>
    <row r="3046" spans="1:3" x14ac:dyDescent="0.45">
      <c r="A3046" s="11">
        <v>47.17</v>
      </c>
      <c r="B3046" s="14">
        <v>1.7418100000000001E-3</v>
      </c>
      <c r="C3046" s="15">
        <v>1.37378E-3</v>
      </c>
    </row>
    <row r="3047" spans="1:3" x14ac:dyDescent="0.45">
      <c r="A3047" s="11">
        <v>47.18</v>
      </c>
      <c r="B3047" s="14">
        <v>1.7437399999999999E-3</v>
      </c>
      <c r="C3047" s="15">
        <v>1.3751200000000001E-3</v>
      </c>
    </row>
    <row r="3048" spans="1:3" x14ac:dyDescent="0.45">
      <c r="A3048" s="11">
        <v>47.19</v>
      </c>
      <c r="B3048" s="14">
        <v>1.7456699999999999E-3</v>
      </c>
      <c r="C3048" s="15">
        <v>1.3764599999999999E-3</v>
      </c>
    </row>
    <row r="3049" spans="1:3" x14ac:dyDescent="0.45">
      <c r="A3049" s="11">
        <v>47.2</v>
      </c>
      <c r="B3049" s="14">
        <v>1.7476E-3</v>
      </c>
      <c r="C3049" s="15">
        <v>1.3778E-3</v>
      </c>
    </row>
    <row r="3050" spans="1:3" x14ac:dyDescent="0.45">
      <c r="A3050" s="11">
        <v>47.21</v>
      </c>
      <c r="B3050" s="14">
        <v>1.74953E-3</v>
      </c>
      <c r="C3050" s="15">
        <v>1.3791400000000001E-3</v>
      </c>
    </row>
    <row r="3051" spans="1:3" x14ac:dyDescent="0.45">
      <c r="A3051" s="11">
        <v>47.22</v>
      </c>
      <c r="B3051" s="14">
        <v>1.75146E-3</v>
      </c>
      <c r="C3051" s="15">
        <v>1.3804799999999999E-3</v>
      </c>
    </row>
    <row r="3052" spans="1:3" x14ac:dyDescent="0.45">
      <c r="A3052" s="11">
        <v>47.23</v>
      </c>
      <c r="B3052" s="14">
        <v>1.7533900000000001E-3</v>
      </c>
      <c r="C3052" s="15">
        <v>1.38182E-3</v>
      </c>
    </row>
    <row r="3053" spans="1:3" x14ac:dyDescent="0.45">
      <c r="A3053" s="11">
        <v>47.24</v>
      </c>
      <c r="B3053" s="14">
        <v>1.7553200000000001E-3</v>
      </c>
      <c r="C3053" s="15">
        <v>1.38316E-3</v>
      </c>
    </row>
    <row r="3054" spans="1:3" x14ac:dyDescent="0.45">
      <c r="A3054" s="11">
        <v>47.25</v>
      </c>
      <c r="B3054" s="14">
        <v>1.7572499999999999E-3</v>
      </c>
      <c r="C3054" s="15">
        <v>1.3845000000000001E-3</v>
      </c>
    </row>
    <row r="3055" spans="1:3" x14ac:dyDescent="0.45">
      <c r="A3055" s="11">
        <v>47.26</v>
      </c>
      <c r="B3055" s="14">
        <v>1.7591799999999999E-3</v>
      </c>
      <c r="C3055" s="15">
        <v>1.3858399999999999E-3</v>
      </c>
    </row>
    <row r="3056" spans="1:3" x14ac:dyDescent="0.45">
      <c r="A3056" s="11">
        <v>47.27</v>
      </c>
      <c r="B3056" s="14">
        <v>1.76111E-3</v>
      </c>
      <c r="C3056" s="15">
        <v>1.38718E-3</v>
      </c>
    </row>
    <row r="3057" spans="1:3" x14ac:dyDescent="0.45">
      <c r="A3057" s="11">
        <v>47.28</v>
      </c>
      <c r="B3057" s="14">
        <v>1.76304E-3</v>
      </c>
      <c r="C3057" s="15">
        <v>1.3885200000000001E-3</v>
      </c>
    </row>
    <row r="3058" spans="1:3" x14ac:dyDescent="0.45">
      <c r="A3058" s="11">
        <v>47.29</v>
      </c>
      <c r="B3058" s="14">
        <v>1.76497E-3</v>
      </c>
      <c r="C3058" s="15">
        <v>1.3898599999999999E-3</v>
      </c>
    </row>
    <row r="3059" spans="1:3" x14ac:dyDescent="0.45">
      <c r="A3059" s="11">
        <v>47.3</v>
      </c>
      <c r="B3059" s="14">
        <v>1.7669000000000001E-3</v>
      </c>
      <c r="C3059" s="15">
        <v>1.3912E-3</v>
      </c>
    </row>
    <row r="3060" spans="1:3" x14ac:dyDescent="0.45">
      <c r="A3060" s="11">
        <v>47.31</v>
      </c>
      <c r="B3060" s="14">
        <v>1.7688300000000001E-3</v>
      </c>
      <c r="C3060" s="15">
        <v>1.3925400000000001E-3</v>
      </c>
    </row>
    <row r="3061" spans="1:3" x14ac:dyDescent="0.45">
      <c r="A3061" s="11">
        <v>47.32</v>
      </c>
      <c r="B3061" s="14">
        <v>1.7707599999999999E-3</v>
      </c>
      <c r="C3061" s="15">
        <v>1.3938799999999999E-3</v>
      </c>
    </row>
    <row r="3062" spans="1:3" x14ac:dyDescent="0.45">
      <c r="A3062" s="11">
        <v>47.33</v>
      </c>
      <c r="B3062" s="14">
        <v>1.7726899999999999E-3</v>
      </c>
      <c r="C3062" s="15">
        <v>1.39522E-3</v>
      </c>
    </row>
    <row r="3063" spans="1:3" x14ac:dyDescent="0.45">
      <c r="A3063" s="11">
        <v>47.34</v>
      </c>
      <c r="B3063" s="14">
        <v>1.77462E-3</v>
      </c>
      <c r="C3063" s="15">
        <v>1.39656E-3</v>
      </c>
    </row>
    <row r="3064" spans="1:3" x14ac:dyDescent="0.45">
      <c r="A3064" s="11">
        <v>47.35</v>
      </c>
      <c r="B3064" s="14">
        <v>1.77655E-3</v>
      </c>
      <c r="C3064" s="15">
        <v>1.3979000000000001E-3</v>
      </c>
    </row>
    <row r="3065" spans="1:3" x14ac:dyDescent="0.45">
      <c r="A3065" s="11">
        <v>47.36</v>
      </c>
      <c r="B3065" s="14">
        <v>1.77848E-3</v>
      </c>
      <c r="C3065" s="15">
        <v>1.3992399999999999E-3</v>
      </c>
    </row>
    <row r="3066" spans="1:3" x14ac:dyDescent="0.45">
      <c r="A3066" s="11">
        <v>47.37</v>
      </c>
      <c r="B3066" s="14">
        <v>1.7804100000000001E-3</v>
      </c>
      <c r="C3066" s="15">
        <v>1.40058E-3</v>
      </c>
    </row>
    <row r="3067" spans="1:3" x14ac:dyDescent="0.45">
      <c r="A3067" s="11">
        <v>47.38</v>
      </c>
      <c r="B3067" s="14">
        <v>1.7823400000000001E-3</v>
      </c>
      <c r="C3067" s="15">
        <v>1.4019200000000001E-3</v>
      </c>
    </row>
    <row r="3068" spans="1:3" x14ac:dyDescent="0.45">
      <c r="A3068" s="11">
        <v>47.39</v>
      </c>
      <c r="B3068" s="14">
        <v>1.7842699999999999E-3</v>
      </c>
      <c r="C3068" s="15">
        <v>1.4032599999999999E-3</v>
      </c>
    </row>
    <row r="3069" spans="1:3" x14ac:dyDescent="0.45">
      <c r="A3069" s="11">
        <v>47.4</v>
      </c>
      <c r="B3069" s="14">
        <v>1.7861999999999999E-3</v>
      </c>
      <c r="C3069" s="15">
        <v>1.4046E-3</v>
      </c>
    </row>
    <row r="3070" spans="1:3" x14ac:dyDescent="0.45">
      <c r="A3070" s="11">
        <v>47.41</v>
      </c>
      <c r="B3070" s="14">
        <v>1.78813E-3</v>
      </c>
      <c r="C3070" s="15">
        <v>1.4059400000000001E-3</v>
      </c>
    </row>
    <row r="3071" spans="1:3" x14ac:dyDescent="0.45">
      <c r="A3071" s="11">
        <v>47.42</v>
      </c>
      <c r="B3071" s="14">
        <v>1.79006E-3</v>
      </c>
      <c r="C3071" s="15">
        <v>1.4072799999999999E-3</v>
      </c>
    </row>
    <row r="3072" spans="1:3" x14ac:dyDescent="0.45">
      <c r="A3072" s="11">
        <v>47.43</v>
      </c>
      <c r="B3072" s="14">
        <v>1.79199E-3</v>
      </c>
      <c r="C3072" s="15">
        <v>1.40862E-3</v>
      </c>
    </row>
    <row r="3073" spans="1:3" x14ac:dyDescent="0.45">
      <c r="A3073" s="11">
        <v>47.44</v>
      </c>
      <c r="B3073" s="14">
        <v>1.7939200000000001E-3</v>
      </c>
      <c r="C3073" s="15">
        <v>1.40996E-3</v>
      </c>
    </row>
    <row r="3074" spans="1:3" x14ac:dyDescent="0.45">
      <c r="A3074" s="11">
        <v>47.45</v>
      </c>
      <c r="B3074" s="14">
        <v>1.7958500000000001E-3</v>
      </c>
      <c r="C3074" s="15">
        <v>1.4113000000000001E-3</v>
      </c>
    </row>
    <row r="3075" spans="1:3" x14ac:dyDescent="0.45">
      <c r="A3075" s="11">
        <v>47.46</v>
      </c>
      <c r="B3075" s="14">
        <v>1.7977799999999999E-3</v>
      </c>
      <c r="C3075" s="15">
        <v>1.4126399999999999E-3</v>
      </c>
    </row>
    <row r="3076" spans="1:3" x14ac:dyDescent="0.45">
      <c r="A3076" s="11">
        <v>47.47</v>
      </c>
      <c r="B3076" s="14">
        <v>1.7997099999999999E-3</v>
      </c>
      <c r="C3076" s="15">
        <v>1.41398E-3</v>
      </c>
    </row>
    <row r="3077" spans="1:3" x14ac:dyDescent="0.45">
      <c r="A3077" s="11">
        <v>47.48</v>
      </c>
      <c r="B3077" s="14">
        <v>1.80164E-3</v>
      </c>
      <c r="C3077" s="15">
        <v>1.4153200000000001E-3</v>
      </c>
    </row>
    <row r="3078" spans="1:3" x14ac:dyDescent="0.45">
      <c r="A3078" s="11">
        <v>47.49</v>
      </c>
      <c r="B3078" s="14">
        <v>1.80357E-3</v>
      </c>
      <c r="C3078" s="15">
        <v>1.4166599999999999E-3</v>
      </c>
    </row>
    <row r="3079" spans="1:3" x14ac:dyDescent="0.45">
      <c r="A3079" s="11">
        <v>47.5</v>
      </c>
      <c r="B3079" s="14">
        <v>1.8055E-3</v>
      </c>
      <c r="C3079" s="15">
        <v>1.418E-3</v>
      </c>
    </row>
    <row r="3080" spans="1:3" x14ac:dyDescent="0.45">
      <c r="A3080" s="11">
        <v>47.51</v>
      </c>
      <c r="B3080" s="14">
        <v>1.8074300000000001E-3</v>
      </c>
      <c r="C3080" s="15">
        <v>1.4193400000000001E-3</v>
      </c>
    </row>
    <row r="3081" spans="1:3" x14ac:dyDescent="0.45">
      <c r="A3081" s="11">
        <v>47.52</v>
      </c>
      <c r="B3081" s="14">
        <v>1.8093600000000001E-3</v>
      </c>
      <c r="C3081" s="15">
        <v>1.4206799999999999E-3</v>
      </c>
    </row>
    <row r="3082" spans="1:3" x14ac:dyDescent="0.45">
      <c r="A3082" s="11">
        <v>47.53</v>
      </c>
      <c r="B3082" s="14">
        <v>1.8112899999999999E-3</v>
      </c>
      <c r="C3082" s="15">
        <v>1.42202E-3</v>
      </c>
    </row>
    <row r="3083" spans="1:3" x14ac:dyDescent="0.45">
      <c r="A3083" s="11">
        <v>47.54</v>
      </c>
      <c r="B3083" s="14">
        <v>1.8132199999999999E-3</v>
      </c>
      <c r="C3083" s="15">
        <v>1.42336E-3</v>
      </c>
    </row>
    <row r="3084" spans="1:3" x14ac:dyDescent="0.45">
      <c r="A3084" s="11">
        <v>47.55</v>
      </c>
      <c r="B3084" s="14">
        <v>1.81515E-3</v>
      </c>
      <c r="C3084" s="15">
        <v>1.4247000000000001E-3</v>
      </c>
    </row>
    <row r="3085" spans="1:3" x14ac:dyDescent="0.45">
      <c r="A3085" s="11">
        <v>47.56</v>
      </c>
      <c r="B3085" s="14">
        <v>1.81708E-3</v>
      </c>
      <c r="C3085" s="15">
        <v>1.4260399999999999E-3</v>
      </c>
    </row>
    <row r="3086" spans="1:3" x14ac:dyDescent="0.45">
      <c r="A3086" s="11">
        <v>47.57</v>
      </c>
      <c r="B3086" s="14">
        <v>1.81901E-3</v>
      </c>
      <c r="C3086" s="15">
        <v>1.42738E-3</v>
      </c>
    </row>
    <row r="3087" spans="1:3" x14ac:dyDescent="0.45">
      <c r="A3087" s="11">
        <v>47.58</v>
      </c>
      <c r="B3087" s="14">
        <v>1.8209400000000001E-3</v>
      </c>
      <c r="C3087" s="15">
        <v>1.4287200000000001E-3</v>
      </c>
    </row>
    <row r="3088" spans="1:3" x14ac:dyDescent="0.45">
      <c r="A3088" s="11">
        <v>47.59</v>
      </c>
      <c r="B3088" s="14">
        <v>1.8228700000000001E-3</v>
      </c>
      <c r="C3088" s="15">
        <v>1.4300599999999999E-3</v>
      </c>
    </row>
    <row r="3089" spans="1:3" x14ac:dyDescent="0.45">
      <c r="A3089" s="11">
        <v>47.6</v>
      </c>
      <c r="B3089" s="14">
        <v>1.8247999999999999E-3</v>
      </c>
      <c r="C3089" s="15">
        <v>1.4314E-3</v>
      </c>
    </row>
    <row r="3090" spans="1:3" x14ac:dyDescent="0.45">
      <c r="A3090" s="11">
        <v>47.61</v>
      </c>
      <c r="B3090" s="14">
        <v>1.8267299999999999E-3</v>
      </c>
      <c r="C3090" s="15">
        <v>1.4327400000000001E-3</v>
      </c>
    </row>
    <row r="3091" spans="1:3" x14ac:dyDescent="0.45">
      <c r="A3091" s="11">
        <v>47.62</v>
      </c>
      <c r="B3091" s="14">
        <v>1.82866E-3</v>
      </c>
      <c r="C3091" s="15">
        <v>1.4340799999999999E-3</v>
      </c>
    </row>
    <row r="3092" spans="1:3" x14ac:dyDescent="0.45">
      <c r="A3092" s="11">
        <v>47.63</v>
      </c>
      <c r="B3092" s="14">
        <v>1.83059E-3</v>
      </c>
      <c r="C3092" s="15">
        <v>1.43542E-3</v>
      </c>
    </row>
    <row r="3093" spans="1:3" x14ac:dyDescent="0.45">
      <c r="A3093" s="11">
        <v>47.64</v>
      </c>
      <c r="B3093" s="14">
        <v>1.83252E-3</v>
      </c>
      <c r="C3093" s="15">
        <v>1.43676E-3</v>
      </c>
    </row>
    <row r="3094" spans="1:3" x14ac:dyDescent="0.45">
      <c r="A3094" s="11">
        <v>47.65</v>
      </c>
      <c r="B3094" s="14">
        <v>1.8344500000000001E-3</v>
      </c>
      <c r="C3094" s="15">
        <v>1.4381000000000001E-3</v>
      </c>
    </row>
    <row r="3095" spans="1:3" x14ac:dyDescent="0.45">
      <c r="A3095" s="11">
        <v>47.66</v>
      </c>
      <c r="B3095" s="14">
        <v>1.8363800000000001E-3</v>
      </c>
      <c r="C3095" s="15">
        <v>1.4394399999999999E-3</v>
      </c>
    </row>
    <row r="3096" spans="1:3" x14ac:dyDescent="0.45">
      <c r="A3096" s="11">
        <v>47.67</v>
      </c>
      <c r="B3096" s="14">
        <v>1.8383099999999999E-3</v>
      </c>
      <c r="C3096" s="15">
        <v>1.44078E-3</v>
      </c>
    </row>
    <row r="3097" spans="1:3" x14ac:dyDescent="0.45">
      <c r="A3097" s="11">
        <v>47.68</v>
      </c>
      <c r="B3097" s="14">
        <v>1.8402399999999999E-3</v>
      </c>
      <c r="C3097" s="15">
        <v>1.4421200000000001E-3</v>
      </c>
    </row>
    <row r="3098" spans="1:3" x14ac:dyDescent="0.45">
      <c r="A3098" s="11">
        <v>47.69</v>
      </c>
      <c r="B3098" s="14">
        <v>1.84217E-3</v>
      </c>
      <c r="C3098" s="15">
        <v>1.4434599999999999E-3</v>
      </c>
    </row>
    <row r="3099" spans="1:3" x14ac:dyDescent="0.45">
      <c r="A3099" s="11">
        <v>47.7</v>
      </c>
      <c r="B3099" s="14">
        <v>1.8441E-3</v>
      </c>
      <c r="C3099" s="15">
        <v>1.4448E-3</v>
      </c>
    </row>
    <row r="3100" spans="1:3" x14ac:dyDescent="0.45">
      <c r="A3100" s="11">
        <v>47.71</v>
      </c>
      <c r="B3100" s="14">
        <v>1.84603E-3</v>
      </c>
      <c r="C3100" s="15">
        <v>1.4461400000000001E-3</v>
      </c>
    </row>
    <row r="3101" spans="1:3" x14ac:dyDescent="0.45">
      <c r="A3101" s="11">
        <v>47.72</v>
      </c>
      <c r="B3101" s="14">
        <v>1.8479600000000001E-3</v>
      </c>
      <c r="C3101" s="15">
        <v>1.4474799999999999E-3</v>
      </c>
    </row>
    <row r="3102" spans="1:3" x14ac:dyDescent="0.45">
      <c r="A3102" s="11">
        <v>47.73</v>
      </c>
      <c r="B3102" s="14">
        <v>1.8498900000000001E-3</v>
      </c>
      <c r="C3102" s="15">
        <v>1.44882E-3</v>
      </c>
    </row>
    <row r="3103" spans="1:3" x14ac:dyDescent="0.45">
      <c r="A3103" s="11">
        <v>47.74</v>
      </c>
      <c r="B3103" s="14">
        <v>1.8518199999999999E-3</v>
      </c>
      <c r="C3103" s="15">
        <v>1.45016E-3</v>
      </c>
    </row>
    <row r="3104" spans="1:3" x14ac:dyDescent="0.45">
      <c r="A3104" s="11">
        <v>47.75</v>
      </c>
      <c r="B3104" s="14">
        <v>1.8537499999999999E-3</v>
      </c>
      <c r="C3104" s="15">
        <v>1.4515000000000001E-3</v>
      </c>
    </row>
    <row r="3105" spans="1:3" x14ac:dyDescent="0.45">
      <c r="A3105" s="11">
        <v>47.76</v>
      </c>
      <c r="B3105" s="14">
        <v>1.85568E-3</v>
      </c>
      <c r="C3105" s="15">
        <v>1.4528399999999999E-3</v>
      </c>
    </row>
    <row r="3106" spans="1:3" x14ac:dyDescent="0.45">
      <c r="A3106" s="11">
        <v>47.77</v>
      </c>
      <c r="B3106" s="14">
        <v>1.85761E-3</v>
      </c>
      <c r="C3106" s="15">
        <v>1.45418E-3</v>
      </c>
    </row>
    <row r="3107" spans="1:3" x14ac:dyDescent="0.45">
      <c r="A3107" s="11">
        <v>47.78</v>
      </c>
      <c r="B3107" s="14">
        <v>1.85954E-3</v>
      </c>
      <c r="C3107" s="15">
        <v>1.4555200000000001E-3</v>
      </c>
    </row>
    <row r="3108" spans="1:3" x14ac:dyDescent="0.45">
      <c r="A3108" s="11">
        <v>47.79</v>
      </c>
      <c r="B3108" s="14">
        <v>1.8614700000000001E-3</v>
      </c>
      <c r="C3108" s="15">
        <v>1.4568599999999999E-3</v>
      </c>
    </row>
    <row r="3109" spans="1:3" x14ac:dyDescent="0.45">
      <c r="A3109" s="11">
        <v>47.8</v>
      </c>
      <c r="B3109" s="14">
        <v>1.8634000000000001E-3</v>
      </c>
      <c r="C3109" s="15">
        <v>1.4582E-3</v>
      </c>
    </row>
    <row r="3110" spans="1:3" x14ac:dyDescent="0.45">
      <c r="A3110" s="11">
        <v>47.81</v>
      </c>
      <c r="B3110" s="14">
        <v>1.8653299999999999E-3</v>
      </c>
      <c r="C3110" s="15">
        <v>1.4595400000000001E-3</v>
      </c>
    </row>
    <row r="3111" spans="1:3" x14ac:dyDescent="0.45">
      <c r="A3111" s="11">
        <v>47.82</v>
      </c>
      <c r="B3111" s="14">
        <v>1.8672599999999999E-3</v>
      </c>
      <c r="C3111" s="15">
        <v>1.4608799999999999E-3</v>
      </c>
    </row>
    <row r="3112" spans="1:3" x14ac:dyDescent="0.45">
      <c r="A3112" s="11">
        <v>47.83</v>
      </c>
      <c r="B3112" s="14">
        <v>1.86919E-3</v>
      </c>
      <c r="C3112" s="15">
        <v>1.46222E-3</v>
      </c>
    </row>
    <row r="3113" spans="1:3" x14ac:dyDescent="0.45">
      <c r="A3113" s="11">
        <v>47.84</v>
      </c>
      <c r="B3113" s="14">
        <v>1.87112E-3</v>
      </c>
      <c r="C3113" s="15">
        <v>1.46356E-3</v>
      </c>
    </row>
    <row r="3114" spans="1:3" x14ac:dyDescent="0.45">
      <c r="A3114" s="11">
        <v>47.85</v>
      </c>
      <c r="B3114" s="14">
        <v>1.87305E-3</v>
      </c>
      <c r="C3114" s="15">
        <v>1.4649000000000001E-3</v>
      </c>
    </row>
    <row r="3115" spans="1:3" x14ac:dyDescent="0.45">
      <c r="A3115" s="11">
        <v>47.86</v>
      </c>
      <c r="B3115" s="14">
        <v>1.87498E-3</v>
      </c>
      <c r="C3115" s="15">
        <v>1.4662399999999999E-3</v>
      </c>
    </row>
    <row r="3116" spans="1:3" x14ac:dyDescent="0.45">
      <c r="A3116" s="11">
        <v>47.87</v>
      </c>
      <c r="B3116" s="14">
        <v>1.8769100000000001E-3</v>
      </c>
      <c r="C3116" s="15">
        <v>1.46758E-3</v>
      </c>
    </row>
    <row r="3117" spans="1:3" x14ac:dyDescent="0.45">
      <c r="A3117" s="11">
        <v>47.88</v>
      </c>
      <c r="B3117" s="14">
        <v>1.8788399999999999E-3</v>
      </c>
      <c r="C3117" s="15">
        <v>1.4689200000000001E-3</v>
      </c>
    </row>
    <row r="3118" spans="1:3" x14ac:dyDescent="0.45">
      <c r="A3118" s="11">
        <v>47.89</v>
      </c>
      <c r="B3118" s="14">
        <v>1.8807699999999999E-3</v>
      </c>
      <c r="C3118" s="15">
        <v>1.4702599999999999E-3</v>
      </c>
    </row>
    <row r="3119" spans="1:3" x14ac:dyDescent="0.45">
      <c r="A3119" s="11">
        <v>47.9</v>
      </c>
      <c r="B3119" s="14">
        <v>1.8827E-3</v>
      </c>
      <c r="C3119" s="15">
        <v>1.4716E-3</v>
      </c>
    </row>
    <row r="3120" spans="1:3" x14ac:dyDescent="0.45">
      <c r="A3120" s="11">
        <v>47.91</v>
      </c>
      <c r="B3120" s="14">
        <v>1.88463E-3</v>
      </c>
      <c r="C3120" s="15">
        <v>1.4729400000000001E-3</v>
      </c>
    </row>
    <row r="3121" spans="1:3" x14ac:dyDescent="0.45">
      <c r="A3121" s="11">
        <v>47.92</v>
      </c>
      <c r="B3121" s="14">
        <v>1.88656E-3</v>
      </c>
      <c r="C3121" s="15">
        <v>1.4742799999999999E-3</v>
      </c>
    </row>
    <row r="3122" spans="1:3" x14ac:dyDescent="0.45">
      <c r="A3122" s="11">
        <v>47.93</v>
      </c>
      <c r="B3122" s="14">
        <v>1.88849E-3</v>
      </c>
      <c r="C3122" s="15">
        <v>1.47562E-3</v>
      </c>
    </row>
    <row r="3123" spans="1:3" x14ac:dyDescent="0.45">
      <c r="A3123" s="11">
        <v>47.94</v>
      </c>
      <c r="B3123" s="14">
        <v>1.8904200000000001E-3</v>
      </c>
      <c r="C3123" s="15">
        <v>1.47696E-3</v>
      </c>
    </row>
    <row r="3124" spans="1:3" x14ac:dyDescent="0.45">
      <c r="A3124" s="11">
        <v>47.95</v>
      </c>
      <c r="B3124" s="14">
        <v>1.8923500000000001E-3</v>
      </c>
      <c r="C3124" s="15">
        <v>1.4783000000000001E-3</v>
      </c>
    </row>
    <row r="3125" spans="1:3" x14ac:dyDescent="0.45">
      <c r="A3125" s="11">
        <v>47.96</v>
      </c>
      <c r="B3125" s="14">
        <v>1.8942799999999999E-3</v>
      </c>
      <c r="C3125" s="15">
        <v>1.4796399999999999E-3</v>
      </c>
    </row>
    <row r="3126" spans="1:3" x14ac:dyDescent="0.45">
      <c r="A3126" s="11">
        <v>47.97</v>
      </c>
      <c r="B3126" s="14">
        <v>1.89621E-3</v>
      </c>
      <c r="C3126" s="15">
        <v>1.48098E-3</v>
      </c>
    </row>
    <row r="3127" spans="1:3" x14ac:dyDescent="0.45">
      <c r="A3127" s="11">
        <v>47.98</v>
      </c>
      <c r="B3127" s="14">
        <v>1.89814E-3</v>
      </c>
      <c r="C3127" s="15">
        <v>1.4823200000000001E-3</v>
      </c>
    </row>
    <row r="3128" spans="1:3" x14ac:dyDescent="0.45">
      <c r="A3128" s="11">
        <v>47.99</v>
      </c>
      <c r="B3128" s="14">
        <v>1.90007E-3</v>
      </c>
      <c r="C3128" s="15">
        <v>1.4836599999999999E-3</v>
      </c>
    </row>
    <row r="3129" spans="1:3" x14ac:dyDescent="0.45">
      <c r="A3129" s="11">
        <v>48</v>
      </c>
      <c r="B3129" s="14">
        <v>1.902E-3</v>
      </c>
      <c r="C3129" s="15">
        <v>1.485E-3</v>
      </c>
    </row>
    <row r="3130" spans="1:3" x14ac:dyDescent="0.45">
      <c r="A3130" s="11">
        <v>48.01</v>
      </c>
      <c r="B3130" s="14">
        <v>1.9042E-3</v>
      </c>
      <c r="C3130" s="15">
        <v>1.4864800000000001E-3</v>
      </c>
    </row>
    <row r="3131" spans="1:3" x14ac:dyDescent="0.45">
      <c r="A3131" s="11">
        <v>48.02</v>
      </c>
      <c r="B3131" s="14">
        <v>1.9063999999999999E-3</v>
      </c>
      <c r="C3131" s="15">
        <v>1.48796E-3</v>
      </c>
    </row>
    <row r="3132" spans="1:3" x14ac:dyDescent="0.45">
      <c r="A3132" s="11">
        <v>48.03</v>
      </c>
      <c r="B3132" s="14">
        <v>1.9086000000000001E-3</v>
      </c>
      <c r="C3132" s="15">
        <v>1.4894400000000001E-3</v>
      </c>
    </row>
    <row r="3133" spans="1:3" x14ac:dyDescent="0.45">
      <c r="A3133" s="11">
        <v>48.04</v>
      </c>
      <c r="B3133" s="14">
        <v>1.9108E-3</v>
      </c>
      <c r="C3133" s="15">
        <v>1.49092E-3</v>
      </c>
    </row>
    <row r="3134" spans="1:3" x14ac:dyDescent="0.45">
      <c r="A3134" s="11">
        <v>48.05</v>
      </c>
      <c r="B3134" s="14">
        <v>1.913E-3</v>
      </c>
      <c r="C3134" s="15">
        <v>1.4924000000000001E-3</v>
      </c>
    </row>
    <row r="3135" spans="1:3" x14ac:dyDescent="0.45">
      <c r="A3135" s="11">
        <v>48.06</v>
      </c>
      <c r="B3135" s="14">
        <v>1.9151999999999999E-3</v>
      </c>
      <c r="C3135" s="15">
        <v>1.4938799999999999E-3</v>
      </c>
    </row>
    <row r="3136" spans="1:3" x14ac:dyDescent="0.45">
      <c r="A3136" s="11">
        <v>48.07</v>
      </c>
      <c r="B3136" s="14">
        <v>1.9174000000000001E-3</v>
      </c>
      <c r="C3136" s="15">
        <v>1.49536E-3</v>
      </c>
    </row>
    <row r="3137" spans="1:3" x14ac:dyDescent="0.45">
      <c r="A3137" s="11">
        <v>48.08</v>
      </c>
      <c r="B3137" s="14">
        <v>1.9196E-3</v>
      </c>
      <c r="C3137" s="15">
        <v>1.4968399999999999E-3</v>
      </c>
    </row>
    <row r="3138" spans="1:3" x14ac:dyDescent="0.45">
      <c r="A3138" s="11">
        <v>48.09</v>
      </c>
      <c r="B3138" s="14">
        <v>1.9218E-3</v>
      </c>
      <c r="C3138" s="15">
        <v>1.49832E-3</v>
      </c>
    </row>
    <row r="3139" spans="1:3" x14ac:dyDescent="0.45">
      <c r="A3139" s="11">
        <v>48.1</v>
      </c>
      <c r="B3139" s="14">
        <v>1.9239999999999999E-3</v>
      </c>
      <c r="C3139" s="15">
        <v>1.4997999999999999E-3</v>
      </c>
    </row>
    <row r="3140" spans="1:3" x14ac:dyDescent="0.45">
      <c r="A3140" s="11">
        <v>48.11</v>
      </c>
      <c r="B3140" s="14">
        <v>1.9262000000000001E-3</v>
      </c>
      <c r="C3140" s="15">
        <v>1.50128E-3</v>
      </c>
    </row>
    <row r="3141" spans="1:3" x14ac:dyDescent="0.45">
      <c r="A3141" s="11">
        <v>48.12</v>
      </c>
      <c r="B3141" s="14">
        <v>1.9284E-3</v>
      </c>
      <c r="C3141" s="15">
        <v>1.5027599999999999E-3</v>
      </c>
    </row>
    <row r="3142" spans="1:3" x14ac:dyDescent="0.45">
      <c r="A3142" s="11">
        <v>48.13</v>
      </c>
      <c r="B3142" s="14">
        <v>1.9306E-3</v>
      </c>
      <c r="C3142" s="15">
        <v>1.50424E-3</v>
      </c>
    </row>
    <row r="3143" spans="1:3" x14ac:dyDescent="0.45">
      <c r="A3143" s="11">
        <v>48.14</v>
      </c>
      <c r="B3143" s="14">
        <v>1.9327999999999999E-3</v>
      </c>
      <c r="C3143" s="15">
        <v>1.5057200000000001E-3</v>
      </c>
    </row>
    <row r="3144" spans="1:3" x14ac:dyDescent="0.45">
      <c r="A3144" s="11">
        <v>48.15</v>
      </c>
      <c r="B3144" s="14">
        <v>1.9350000000000001E-3</v>
      </c>
      <c r="C3144" s="15">
        <v>1.5072E-3</v>
      </c>
    </row>
    <row r="3145" spans="1:3" x14ac:dyDescent="0.45">
      <c r="A3145" s="11">
        <v>48.16</v>
      </c>
      <c r="B3145" s="14">
        <v>1.9372E-3</v>
      </c>
      <c r="C3145" s="15">
        <v>1.5086800000000001E-3</v>
      </c>
    </row>
    <row r="3146" spans="1:3" x14ac:dyDescent="0.45">
      <c r="A3146" s="11">
        <v>48.17</v>
      </c>
      <c r="B3146" s="14">
        <v>1.9394E-3</v>
      </c>
      <c r="C3146" s="15">
        <v>1.51016E-3</v>
      </c>
    </row>
    <row r="3147" spans="1:3" x14ac:dyDescent="0.45">
      <c r="A3147" s="11">
        <v>48.18</v>
      </c>
      <c r="B3147" s="14">
        <v>1.9415999999999999E-3</v>
      </c>
      <c r="C3147" s="15">
        <v>1.5116400000000001E-3</v>
      </c>
    </row>
    <row r="3148" spans="1:3" x14ac:dyDescent="0.45">
      <c r="A3148" s="11">
        <v>48.19</v>
      </c>
      <c r="B3148" s="14">
        <v>1.9438000000000001E-3</v>
      </c>
      <c r="C3148" s="15">
        <v>1.51312E-3</v>
      </c>
    </row>
    <row r="3149" spans="1:3" x14ac:dyDescent="0.45">
      <c r="A3149" s="11">
        <v>48.2</v>
      </c>
      <c r="B3149" s="14">
        <v>1.946E-3</v>
      </c>
      <c r="C3149" s="15">
        <v>1.5146000000000001E-3</v>
      </c>
    </row>
    <row r="3150" spans="1:3" x14ac:dyDescent="0.45">
      <c r="A3150" s="11">
        <v>48.21</v>
      </c>
      <c r="B3150" s="14">
        <v>1.9482E-3</v>
      </c>
      <c r="C3150" s="15">
        <v>1.5160799999999999E-3</v>
      </c>
    </row>
    <row r="3151" spans="1:3" x14ac:dyDescent="0.45">
      <c r="A3151" s="11">
        <v>48.22</v>
      </c>
      <c r="B3151" s="14">
        <v>1.9503999999999999E-3</v>
      </c>
      <c r="C3151" s="15">
        <v>1.51756E-3</v>
      </c>
    </row>
    <row r="3152" spans="1:3" x14ac:dyDescent="0.45">
      <c r="A3152" s="11">
        <v>48.23</v>
      </c>
      <c r="B3152" s="14">
        <v>1.9526000000000001E-3</v>
      </c>
      <c r="C3152" s="15">
        <v>1.5190399999999999E-3</v>
      </c>
    </row>
    <row r="3153" spans="1:3" x14ac:dyDescent="0.45">
      <c r="A3153" s="11">
        <v>48.24</v>
      </c>
      <c r="B3153" s="14">
        <v>1.9548E-3</v>
      </c>
      <c r="C3153" s="15">
        <v>1.52052E-3</v>
      </c>
    </row>
    <row r="3154" spans="1:3" x14ac:dyDescent="0.45">
      <c r="A3154" s="11">
        <v>48.25</v>
      </c>
      <c r="B3154" s="14">
        <v>1.957E-3</v>
      </c>
      <c r="C3154" s="15">
        <v>1.5219999999999999E-3</v>
      </c>
    </row>
    <row r="3155" spans="1:3" x14ac:dyDescent="0.45">
      <c r="A3155" s="11">
        <v>48.26</v>
      </c>
      <c r="B3155" s="14">
        <v>1.9591999999999999E-3</v>
      </c>
      <c r="C3155" s="15">
        <v>1.52348E-3</v>
      </c>
    </row>
    <row r="3156" spans="1:3" x14ac:dyDescent="0.45">
      <c r="A3156" s="11">
        <v>48.27</v>
      </c>
      <c r="B3156" s="14">
        <v>1.9613999999999999E-3</v>
      </c>
      <c r="C3156" s="15">
        <v>1.5249599999999999E-3</v>
      </c>
    </row>
    <row r="3157" spans="1:3" x14ac:dyDescent="0.45">
      <c r="A3157" s="11">
        <v>48.28</v>
      </c>
      <c r="B3157" s="14">
        <v>1.9635999999999998E-3</v>
      </c>
      <c r="C3157" s="15">
        <v>1.52644E-3</v>
      </c>
    </row>
    <row r="3158" spans="1:3" x14ac:dyDescent="0.45">
      <c r="A3158" s="11">
        <v>48.29</v>
      </c>
      <c r="B3158" s="14">
        <v>1.9658000000000002E-3</v>
      </c>
      <c r="C3158" s="15">
        <v>1.5279200000000001E-3</v>
      </c>
    </row>
    <row r="3159" spans="1:3" x14ac:dyDescent="0.45">
      <c r="A3159" s="11">
        <v>48.3</v>
      </c>
      <c r="B3159" s="14">
        <v>1.9680000000000001E-3</v>
      </c>
      <c r="C3159" s="15">
        <v>1.5294E-3</v>
      </c>
    </row>
    <row r="3160" spans="1:3" x14ac:dyDescent="0.45">
      <c r="A3160" s="11">
        <v>48.31</v>
      </c>
      <c r="B3160" s="14">
        <v>1.9702000000000001E-3</v>
      </c>
      <c r="C3160" s="15">
        <v>1.5308800000000001E-3</v>
      </c>
    </row>
    <row r="3161" spans="1:3" x14ac:dyDescent="0.45">
      <c r="A3161" s="11">
        <v>48.32</v>
      </c>
      <c r="B3161" s="14">
        <v>1.9724E-3</v>
      </c>
      <c r="C3161" s="15">
        <v>1.53236E-3</v>
      </c>
    </row>
    <row r="3162" spans="1:3" x14ac:dyDescent="0.45">
      <c r="A3162" s="11">
        <v>48.33</v>
      </c>
      <c r="B3162" s="14">
        <v>1.9746E-3</v>
      </c>
      <c r="C3162" s="15">
        <v>1.5338400000000001E-3</v>
      </c>
    </row>
    <row r="3163" spans="1:3" x14ac:dyDescent="0.45">
      <c r="A3163" s="11">
        <v>48.34</v>
      </c>
      <c r="B3163" s="14">
        <v>1.9767999999999999E-3</v>
      </c>
      <c r="C3163" s="15">
        <v>1.53532E-3</v>
      </c>
    </row>
    <row r="3164" spans="1:3" x14ac:dyDescent="0.45">
      <c r="A3164" s="11">
        <v>48.35</v>
      </c>
      <c r="B3164" s="14">
        <v>1.9789999999999999E-3</v>
      </c>
      <c r="C3164" s="15">
        <v>1.5368000000000001E-3</v>
      </c>
    </row>
    <row r="3165" spans="1:3" x14ac:dyDescent="0.45">
      <c r="A3165" s="11">
        <v>48.36</v>
      </c>
      <c r="B3165" s="14">
        <v>1.9811999999999998E-3</v>
      </c>
      <c r="C3165" s="15">
        <v>1.5382799999999999E-3</v>
      </c>
    </row>
    <row r="3166" spans="1:3" x14ac:dyDescent="0.45">
      <c r="A3166" s="11">
        <v>48.37</v>
      </c>
      <c r="B3166" s="14">
        <v>1.9834000000000002E-3</v>
      </c>
      <c r="C3166" s="15">
        <v>1.53976E-3</v>
      </c>
    </row>
    <row r="3167" spans="1:3" x14ac:dyDescent="0.45">
      <c r="A3167" s="11">
        <v>48.38</v>
      </c>
      <c r="B3167" s="14">
        <v>1.9856000000000001E-3</v>
      </c>
      <c r="C3167" s="15">
        <v>1.5412399999999999E-3</v>
      </c>
    </row>
    <row r="3168" spans="1:3" x14ac:dyDescent="0.45">
      <c r="A3168" s="11">
        <v>48.39</v>
      </c>
      <c r="B3168" s="14">
        <v>1.9878000000000001E-3</v>
      </c>
      <c r="C3168" s="15">
        <v>1.54272E-3</v>
      </c>
    </row>
    <row r="3169" spans="1:3" x14ac:dyDescent="0.45">
      <c r="A3169" s="11">
        <v>48.4</v>
      </c>
      <c r="B3169" s="14">
        <v>1.99E-3</v>
      </c>
      <c r="C3169" s="15">
        <v>1.5441999999999999E-3</v>
      </c>
    </row>
    <row r="3170" spans="1:3" x14ac:dyDescent="0.45">
      <c r="A3170" s="11">
        <v>48.41</v>
      </c>
      <c r="B3170" s="14">
        <v>1.9922E-3</v>
      </c>
      <c r="C3170" s="15">
        <v>1.54568E-3</v>
      </c>
    </row>
    <row r="3171" spans="1:3" x14ac:dyDescent="0.45">
      <c r="A3171" s="11">
        <v>48.42</v>
      </c>
      <c r="B3171" s="14">
        <v>1.9943999999999999E-3</v>
      </c>
      <c r="C3171" s="15">
        <v>1.5471599999999999E-3</v>
      </c>
    </row>
    <row r="3172" spans="1:3" x14ac:dyDescent="0.45">
      <c r="A3172" s="11">
        <v>48.43</v>
      </c>
      <c r="B3172" s="14">
        <v>1.9965999999999999E-3</v>
      </c>
      <c r="C3172" s="15">
        <v>1.54864E-3</v>
      </c>
    </row>
    <row r="3173" spans="1:3" x14ac:dyDescent="0.45">
      <c r="A3173" s="11">
        <v>48.44</v>
      </c>
      <c r="B3173" s="14">
        <v>1.9987999999999998E-3</v>
      </c>
      <c r="C3173" s="15">
        <v>1.5501200000000001E-3</v>
      </c>
    </row>
    <row r="3174" spans="1:3" x14ac:dyDescent="0.45">
      <c r="A3174" s="11">
        <v>48.45</v>
      </c>
      <c r="B3174" s="14">
        <v>2.0010000000000002E-3</v>
      </c>
      <c r="C3174" s="15">
        <v>1.5516E-3</v>
      </c>
    </row>
    <row r="3175" spans="1:3" x14ac:dyDescent="0.45">
      <c r="A3175" s="11">
        <v>48.46</v>
      </c>
      <c r="B3175" s="14">
        <v>2.0032000000000001E-3</v>
      </c>
      <c r="C3175" s="15">
        <v>1.5530800000000001E-3</v>
      </c>
    </row>
    <row r="3176" spans="1:3" x14ac:dyDescent="0.45">
      <c r="A3176" s="11">
        <v>48.47</v>
      </c>
      <c r="B3176" s="14">
        <v>2.0054000000000001E-3</v>
      </c>
      <c r="C3176" s="15">
        <v>1.55456E-3</v>
      </c>
    </row>
    <row r="3177" spans="1:3" x14ac:dyDescent="0.45">
      <c r="A3177" s="11">
        <v>48.48</v>
      </c>
      <c r="B3177" s="14">
        <v>2.0076E-3</v>
      </c>
      <c r="C3177" s="15">
        <v>1.5560400000000001E-3</v>
      </c>
    </row>
    <row r="3178" spans="1:3" x14ac:dyDescent="0.45">
      <c r="A3178" s="11">
        <v>48.49</v>
      </c>
      <c r="B3178" s="14">
        <v>2.0098E-3</v>
      </c>
      <c r="C3178" s="15">
        <v>1.55752E-3</v>
      </c>
    </row>
    <row r="3179" spans="1:3" x14ac:dyDescent="0.45">
      <c r="A3179" s="11">
        <v>48.5</v>
      </c>
      <c r="B3179" s="14">
        <v>2.0119999999999999E-3</v>
      </c>
      <c r="C3179" s="15">
        <v>1.5590000000000001E-3</v>
      </c>
    </row>
    <row r="3180" spans="1:3" x14ac:dyDescent="0.45">
      <c r="A3180" s="11">
        <v>48.51</v>
      </c>
      <c r="B3180" s="14">
        <v>2.0141999999999998E-3</v>
      </c>
      <c r="C3180" s="15">
        <v>1.5604799999999999E-3</v>
      </c>
    </row>
    <row r="3181" spans="1:3" x14ac:dyDescent="0.45">
      <c r="A3181" s="11">
        <v>48.52</v>
      </c>
      <c r="B3181" s="14">
        <v>2.0163999999999998E-3</v>
      </c>
      <c r="C3181" s="15">
        <v>1.56196E-3</v>
      </c>
    </row>
    <row r="3182" spans="1:3" x14ac:dyDescent="0.45">
      <c r="A3182" s="11">
        <v>48.53</v>
      </c>
      <c r="B3182" s="14">
        <v>2.0186000000000002E-3</v>
      </c>
      <c r="C3182" s="15">
        <v>1.5634399999999999E-3</v>
      </c>
    </row>
    <row r="3183" spans="1:3" x14ac:dyDescent="0.45">
      <c r="A3183" s="11">
        <v>48.54</v>
      </c>
      <c r="B3183" s="14">
        <v>2.0208000000000001E-3</v>
      </c>
      <c r="C3183" s="15">
        <v>1.56492E-3</v>
      </c>
    </row>
    <row r="3184" spans="1:3" x14ac:dyDescent="0.45">
      <c r="A3184" s="11">
        <v>48.55</v>
      </c>
      <c r="B3184" s="14">
        <v>2.0230000000000001E-3</v>
      </c>
      <c r="C3184" s="15">
        <v>1.5663999999999999E-3</v>
      </c>
    </row>
    <row r="3185" spans="1:3" x14ac:dyDescent="0.45">
      <c r="A3185" s="11">
        <v>48.56</v>
      </c>
      <c r="B3185" s="14">
        <v>2.0252E-3</v>
      </c>
      <c r="C3185" s="15">
        <v>1.56788E-3</v>
      </c>
    </row>
    <row r="3186" spans="1:3" x14ac:dyDescent="0.45">
      <c r="A3186" s="11">
        <v>48.57</v>
      </c>
      <c r="B3186" s="14">
        <v>2.0273999999999999E-3</v>
      </c>
      <c r="C3186" s="15">
        <v>1.5693599999999999E-3</v>
      </c>
    </row>
    <row r="3187" spans="1:3" x14ac:dyDescent="0.45">
      <c r="A3187" s="11">
        <v>48.58</v>
      </c>
      <c r="B3187" s="14">
        <v>2.0295999999999999E-3</v>
      </c>
      <c r="C3187" s="15">
        <v>1.57084E-3</v>
      </c>
    </row>
    <row r="3188" spans="1:3" x14ac:dyDescent="0.45">
      <c r="A3188" s="11">
        <v>48.59</v>
      </c>
      <c r="B3188" s="14">
        <v>2.0317999999999998E-3</v>
      </c>
      <c r="C3188" s="15">
        <v>1.5723200000000001E-3</v>
      </c>
    </row>
    <row r="3189" spans="1:3" x14ac:dyDescent="0.45">
      <c r="A3189" s="11">
        <v>48.6</v>
      </c>
      <c r="B3189" s="14">
        <v>2.0339999999999998E-3</v>
      </c>
      <c r="C3189" s="15">
        <v>1.5738E-3</v>
      </c>
    </row>
    <row r="3190" spans="1:3" x14ac:dyDescent="0.45">
      <c r="A3190" s="11">
        <v>48.61</v>
      </c>
      <c r="B3190" s="14">
        <v>2.0362000000000002E-3</v>
      </c>
      <c r="C3190" s="15">
        <v>1.5752800000000001E-3</v>
      </c>
    </row>
    <row r="3191" spans="1:3" x14ac:dyDescent="0.45">
      <c r="A3191" s="11">
        <v>48.62</v>
      </c>
      <c r="B3191" s="14">
        <v>2.0384000000000001E-3</v>
      </c>
      <c r="C3191" s="15">
        <v>1.57676E-3</v>
      </c>
    </row>
    <row r="3192" spans="1:3" x14ac:dyDescent="0.45">
      <c r="A3192" s="11">
        <v>48.63</v>
      </c>
      <c r="B3192" s="14">
        <v>2.0406000000000001E-3</v>
      </c>
      <c r="C3192" s="15">
        <v>1.5782400000000001E-3</v>
      </c>
    </row>
    <row r="3193" spans="1:3" x14ac:dyDescent="0.45">
      <c r="A3193" s="11">
        <v>48.64</v>
      </c>
      <c r="B3193" s="14">
        <v>2.0428E-3</v>
      </c>
      <c r="C3193" s="15">
        <v>1.57972E-3</v>
      </c>
    </row>
    <row r="3194" spans="1:3" x14ac:dyDescent="0.45">
      <c r="A3194" s="11">
        <v>48.65</v>
      </c>
      <c r="B3194" s="14">
        <v>2.0449999999999999E-3</v>
      </c>
      <c r="C3194" s="15">
        <v>1.5812000000000001E-3</v>
      </c>
    </row>
    <row r="3195" spans="1:3" x14ac:dyDescent="0.45">
      <c r="A3195" s="11">
        <v>48.66</v>
      </c>
      <c r="B3195" s="14">
        <v>2.0471999999999999E-3</v>
      </c>
      <c r="C3195" s="15">
        <v>1.5826799999999999E-3</v>
      </c>
    </row>
    <row r="3196" spans="1:3" x14ac:dyDescent="0.45">
      <c r="A3196" s="11">
        <v>48.67</v>
      </c>
      <c r="B3196" s="14">
        <v>2.0493999999999998E-3</v>
      </c>
      <c r="C3196" s="15">
        <v>1.58416E-3</v>
      </c>
    </row>
    <row r="3197" spans="1:3" x14ac:dyDescent="0.45">
      <c r="A3197" s="11">
        <v>48.68</v>
      </c>
      <c r="B3197" s="14">
        <v>2.0516000000000002E-3</v>
      </c>
      <c r="C3197" s="15">
        <v>1.5856399999999999E-3</v>
      </c>
    </row>
    <row r="3198" spans="1:3" x14ac:dyDescent="0.45">
      <c r="A3198" s="11">
        <v>48.69</v>
      </c>
      <c r="B3198" s="14">
        <v>2.0538000000000002E-3</v>
      </c>
      <c r="C3198" s="15">
        <v>1.58712E-3</v>
      </c>
    </row>
    <row r="3199" spans="1:3" x14ac:dyDescent="0.45">
      <c r="A3199" s="11">
        <v>48.7</v>
      </c>
      <c r="B3199" s="14">
        <v>2.0560000000000001E-3</v>
      </c>
      <c r="C3199" s="15">
        <v>1.5885999999999999E-3</v>
      </c>
    </row>
    <row r="3200" spans="1:3" x14ac:dyDescent="0.45">
      <c r="A3200" s="11">
        <v>48.71</v>
      </c>
      <c r="B3200" s="14">
        <v>2.0582E-3</v>
      </c>
      <c r="C3200" s="15">
        <v>1.59008E-3</v>
      </c>
    </row>
    <row r="3201" spans="1:3" x14ac:dyDescent="0.45">
      <c r="A3201" s="11">
        <v>48.72</v>
      </c>
      <c r="B3201" s="14">
        <v>2.0604E-3</v>
      </c>
      <c r="C3201" s="15">
        <v>1.5915599999999999E-3</v>
      </c>
    </row>
    <row r="3202" spans="1:3" x14ac:dyDescent="0.45">
      <c r="A3202" s="11">
        <v>48.73</v>
      </c>
      <c r="B3202" s="14">
        <v>2.0625999999999999E-3</v>
      </c>
      <c r="C3202" s="15">
        <v>1.59304E-3</v>
      </c>
    </row>
    <row r="3203" spans="1:3" x14ac:dyDescent="0.45">
      <c r="A3203" s="11">
        <v>48.74</v>
      </c>
      <c r="B3203" s="14">
        <v>2.0647999999999999E-3</v>
      </c>
      <c r="C3203" s="15">
        <v>1.5945200000000001E-3</v>
      </c>
    </row>
    <row r="3204" spans="1:3" x14ac:dyDescent="0.45">
      <c r="A3204" s="11">
        <v>48.75</v>
      </c>
      <c r="B3204" s="14">
        <v>2.0669999999999998E-3</v>
      </c>
      <c r="C3204" s="15">
        <v>1.596E-3</v>
      </c>
    </row>
    <row r="3205" spans="1:3" x14ac:dyDescent="0.45">
      <c r="A3205" s="11">
        <v>48.76</v>
      </c>
      <c r="B3205" s="14">
        <v>2.0692000000000002E-3</v>
      </c>
      <c r="C3205" s="15">
        <v>1.5974800000000001E-3</v>
      </c>
    </row>
    <row r="3206" spans="1:3" x14ac:dyDescent="0.45">
      <c r="A3206" s="11">
        <v>48.77</v>
      </c>
      <c r="B3206" s="14">
        <v>2.0714000000000002E-3</v>
      </c>
      <c r="C3206" s="15">
        <v>1.59896E-3</v>
      </c>
    </row>
    <row r="3207" spans="1:3" x14ac:dyDescent="0.45">
      <c r="A3207" s="11">
        <v>48.78</v>
      </c>
      <c r="B3207" s="14">
        <v>2.0736000000000001E-3</v>
      </c>
      <c r="C3207" s="15">
        <v>1.6004400000000001E-3</v>
      </c>
    </row>
    <row r="3208" spans="1:3" x14ac:dyDescent="0.45">
      <c r="A3208" s="11">
        <v>48.79</v>
      </c>
      <c r="B3208" s="14">
        <v>2.0758E-3</v>
      </c>
      <c r="C3208" s="15">
        <v>1.6019199999999999E-3</v>
      </c>
    </row>
    <row r="3209" spans="1:3" x14ac:dyDescent="0.45">
      <c r="A3209" s="11">
        <v>48.8</v>
      </c>
      <c r="B3209" s="14">
        <v>2.078E-3</v>
      </c>
      <c r="C3209" s="15">
        <v>1.6034000000000001E-3</v>
      </c>
    </row>
    <row r="3210" spans="1:3" x14ac:dyDescent="0.45">
      <c r="A3210" s="11">
        <v>48.81</v>
      </c>
      <c r="B3210" s="14">
        <v>2.0801999999999999E-3</v>
      </c>
      <c r="C3210" s="15">
        <v>1.6048799999999999E-3</v>
      </c>
    </row>
    <row r="3211" spans="1:3" x14ac:dyDescent="0.45">
      <c r="A3211" s="11">
        <v>48.82</v>
      </c>
      <c r="B3211" s="14">
        <v>2.0823999999999999E-3</v>
      </c>
      <c r="C3211" s="15">
        <v>1.60636E-3</v>
      </c>
    </row>
    <row r="3212" spans="1:3" x14ac:dyDescent="0.45">
      <c r="A3212" s="11">
        <v>48.83</v>
      </c>
      <c r="B3212" s="14">
        <v>2.0845999999999998E-3</v>
      </c>
      <c r="C3212" s="15">
        <v>1.6078399999999999E-3</v>
      </c>
    </row>
    <row r="3213" spans="1:3" x14ac:dyDescent="0.45">
      <c r="A3213" s="11">
        <v>48.84</v>
      </c>
      <c r="B3213" s="14">
        <v>2.0868000000000002E-3</v>
      </c>
      <c r="C3213" s="15">
        <v>1.60932E-3</v>
      </c>
    </row>
    <row r="3214" spans="1:3" x14ac:dyDescent="0.45">
      <c r="A3214" s="11">
        <v>48.85</v>
      </c>
      <c r="B3214" s="14">
        <v>2.0890000000000001E-3</v>
      </c>
      <c r="C3214" s="15">
        <v>1.6107999999999999E-3</v>
      </c>
    </row>
    <row r="3215" spans="1:3" x14ac:dyDescent="0.45">
      <c r="A3215" s="11">
        <v>48.86</v>
      </c>
      <c r="B3215" s="14">
        <v>2.0912000000000001E-3</v>
      </c>
      <c r="C3215" s="15">
        <v>1.61228E-3</v>
      </c>
    </row>
    <row r="3216" spans="1:3" x14ac:dyDescent="0.45">
      <c r="A3216" s="11">
        <v>48.87</v>
      </c>
      <c r="B3216" s="14">
        <v>2.0934E-3</v>
      </c>
      <c r="C3216" s="15">
        <v>1.6137600000000001E-3</v>
      </c>
    </row>
    <row r="3217" spans="1:3" x14ac:dyDescent="0.45">
      <c r="A3217" s="11">
        <v>48.88</v>
      </c>
      <c r="B3217" s="14">
        <v>2.0956E-3</v>
      </c>
      <c r="C3217" s="15">
        <v>1.61524E-3</v>
      </c>
    </row>
    <row r="3218" spans="1:3" x14ac:dyDescent="0.45">
      <c r="A3218" s="11">
        <v>48.89</v>
      </c>
      <c r="B3218" s="14">
        <v>2.0977999999999999E-3</v>
      </c>
      <c r="C3218" s="15">
        <v>1.6167200000000001E-3</v>
      </c>
    </row>
    <row r="3219" spans="1:3" x14ac:dyDescent="0.45">
      <c r="A3219" s="11">
        <v>48.9</v>
      </c>
      <c r="B3219" s="14">
        <v>2.0999999999999999E-3</v>
      </c>
      <c r="C3219" s="15">
        <v>1.6182E-3</v>
      </c>
    </row>
    <row r="3220" spans="1:3" x14ac:dyDescent="0.45">
      <c r="A3220" s="11">
        <v>48.91</v>
      </c>
      <c r="B3220" s="14">
        <v>2.1021999999999998E-3</v>
      </c>
      <c r="C3220" s="15">
        <v>1.6196800000000001E-3</v>
      </c>
    </row>
    <row r="3221" spans="1:3" x14ac:dyDescent="0.45">
      <c r="A3221" s="11">
        <v>48.92</v>
      </c>
      <c r="B3221" s="14">
        <v>2.1044000000000002E-3</v>
      </c>
      <c r="C3221" s="15">
        <v>1.62116E-3</v>
      </c>
    </row>
    <row r="3222" spans="1:3" x14ac:dyDescent="0.45">
      <c r="A3222" s="11">
        <v>48.93</v>
      </c>
      <c r="B3222" s="14">
        <v>2.1066000000000001E-3</v>
      </c>
      <c r="C3222" s="15">
        <v>1.6226400000000001E-3</v>
      </c>
    </row>
    <row r="3223" spans="1:3" x14ac:dyDescent="0.45">
      <c r="A3223" s="11">
        <v>48.94</v>
      </c>
      <c r="B3223" s="14">
        <v>2.1088000000000001E-3</v>
      </c>
      <c r="C3223" s="15">
        <v>1.6241199999999999E-3</v>
      </c>
    </row>
    <row r="3224" spans="1:3" x14ac:dyDescent="0.45">
      <c r="A3224" s="11">
        <v>48.95</v>
      </c>
      <c r="B3224" s="14">
        <v>2.111E-3</v>
      </c>
      <c r="C3224" s="15">
        <v>1.6256E-3</v>
      </c>
    </row>
    <row r="3225" spans="1:3" x14ac:dyDescent="0.45">
      <c r="A3225" s="11">
        <v>48.96</v>
      </c>
      <c r="B3225" s="14">
        <v>2.1132E-3</v>
      </c>
      <c r="C3225" s="15">
        <v>1.6270799999999999E-3</v>
      </c>
    </row>
    <row r="3226" spans="1:3" x14ac:dyDescent="0.45">
      <c r="A3226" s="11">
        <v>48.97</v>
      </c>
      <c r="B3226" s="14">
        <v>2.1153999999999999E-3</v>
      </c>
      <c r="C3226" s="15">
        <v>1.62856E-3</v>
      </c>
    </row>
    <row r="3227" spans="1:3" x14ac:dyDescent="0.45">
      <c r="A3227" s="11">
        <v>48.98</v>
      </c>
      <c r="B3227" s="14">
        <v>2.1175999999999999E-3</v>
      </c>
      <c r="C3227" s="15">
        <v>1.6300399999999999E-3</v>
      </c>
    </row>
    <row r="3228" spans="1:3" x14ac:dyDescent="0.45">
      <c r="A3228" s="11">
        <v>48.99</v>
      </c>
      <c r="B3228" s="14">
        <v>2.1197999999999998E-3</v>
      </c>
      <c r="C3228" s="15">
        <v>1.63152E-3</v>
      </c>
    </row>
    <row r="3229" spans="1:3" x14ac:dyDescent="0.45">
      <c r="A3229" s="11">
        <v>49</v>
      </c>
      <c r="B3229" s="14">
        <v>2.1220000000000002E-3</v>
      </c>
      <c r="C3229" s="15">
        <v>1.6329999999999999E-3</v>
      </c>
    </row>
    <row r="3230" spans="1:3" x14ac:dyDescent="0.45">
      <c r="A3230" s="11">
        <v>49.01</v>
      </c>
      <c r="B3230" s="14">
        <v>2.1245000000000001E-3</v>
      </c>
      <c r="C3230" s="15">
        <v>1.6346500000000001E-3</v>
      </c>
    </row>
    <row r="3231" spans="1:3" x14ac:dyDescent="0.45">
      <c r="A3231" s="11">
        <v>49.02</v>
      </c>
      <c r="B3231" s="14">
        <v>2.127E-3</v>
      </c>
      <c r="C3231" s="15">
        <v>1.6363E-3</v>
      </c>
    </row>
    <row r="3232" spans="1:3" x14ac:dyDescent="0.45">
      <c r="A3232" s="11">
        <v>49.03</v>
      </c>
      <c r="B3232" s="14">
        <v>2.1294999999999999E-3</v>
      </c>
      <c r="C3232" s="15">
        <v>1.63795E-3</v>
      </c>
    </row>
    <row r="3233" spans="1:3" x14ac:dyDescent="0.45">
      <c r="A3233" s="11">
        <v>49.04</v>
      </c>
      <c r="B3233" s="14">
        <v>2.1320000000000002E-3</v>
      </c>
      <c r="C3233" s="15">
        <v>1.6396E-3</v>
      </c>
    </row>
    <row r="3234" spans="1:3" x14ac:dyDescent="0.45">
      <c r="A3234" s="11">
        <v>49.05</v>
      </c>
      <c r="B3234" s="14">
        <v>2.1345000000000001E-3</v>
      </c>
      <c r="C3234" s="15">
        <v>1.6412499999999999E-3</v>
      </c>
    </row>
    <row r="3235" spans="1:3" x14ac:dyDescent="0.45">
      <c r="A3235" s="11">
        <v>49.06</v>
      </c>
      <c r="B3235" s="14">
        <v>2.137E-3</v>
      </c>
      <c r="C3235" s="15">
        <v>1.6429000000000001E-3</v>
      </c>
    </row>
    <row r="3236" spans="1:3" x14ac:dyDescent="0.45">
      <c r="A3236" s="11">
        <v>49.07</v>
      </c>
      <c r="B3236" s="14">
        <v>2.1394999999999999E-3</v>
      </c>
      <c r="C3236" s="15">
        <v>1.64455E-3</v>
      </c>
    </row>
    <row r="3237" spans="1:3" x14ac:dyDescent="0.45">
      <c r="A3237" s="11">
        <v>49.08</v>
      </c>
      <c r="B3237" s="14">
        <v>2.1419999999999998E-3</v>
      </c>
      <c r="C3237" s="15">
        <v>1.6462E-3</v>
      </c>
    </row>
    <row r="3238" spans="1:3" x14ac:dyDescent="0.45">
      <c r="A3238" s="11">
        <v>49.09</v>
      </c>
      <c r="B3238" s="14">
        <v>2.1445000000000001E-3</v>
      </c>
      <c r="C3238" s="15">
        <v>1.64785E-3</v>
      </c>
    </row>
    <row r="3239" spans="1:3" x14ac:dyDescent="0.45">
      <c r="A3239" s="11">
        <v>49.1</v>
      </c>
      <c r="B3239" s="14">
        <v>2.147E-3</v>
      </c>
      <c r="C3239" s="15">
        <v>1.6494999999999999E-3</v>
      </c>
    </row>
    <row r="3240" spans="1:3" x14ac:dyDescent="0.45">
      <c r="A3240" s="11">
        <v>49.11</v>
      </c>
      <c r="B3240" s="14">
        <v>2.1494999999999999E-3</v>
      </c>
      <c r="C3240" s="15">
        <v>1.6511500000000001E-3</v>
      </c>
    </row>
    <row r="3241" spans="1:3" x14ac:dyDescent="0.45">
      <c r="A3241" s="11">
        <v>49.12</v>
      </c>
      <c r="B3241" s="14">
        <v>2.1519999999999998E-3</v>
      </c>
      <c r="C3241" s="15">
        <v>1.6528000000000001E-3</v>
      </c>
    </row>
    <row r="3242" spans="1:3" x14ac:dyDescent="0.45">
      <c r="A3242" s="11">
        <v>49.13</v>
      </c>
      <c r="B3242" s="14">
        <v>2.1545000000000002E-3</v>
      </c>
      <c r="C3242" s="15">
        <v>1.65445E-3</v>
      </c>
    </row>
    <row r="3243" spans="1:3" x14ac:dyDescent="0.45">
      <c r="A3243" s="11">
        <v>49.14</v>
      </c>
      <c r="B3243" s="14">
        <v>2.1570000000000001E-3</v>
      </c>
      <c r="C3243" s="15">
        <v>1.6561E-3</v>
      </c>
    </row>
    <row r="3244" spans="1:3" x14ac:dyDescent="0.45">
      <c r="A3244" s="11">
        <v>49.15</v>
      </c>
      <c r="B3244" s="14">
        <v>2.1595E-3</v>
      </c>
      <c r="C3244" s="15">
        <v>1.6577499999999999E-3</v>
      </c>
    </row>
    <row r="3245" spans="1:3" x14ac:dyDescent="0.45">
      <c r="A3245" s="11">
        <v>49.16</v>
      </c>
      <c r="B3245" s="14">
        <v>2.1619999999999999E-3</v>
      </c>
      <c r="C3245" s="15">
        <v>1.6593999999999999E-3</v>
      </c>
    </row>
    <row r="3246" spans="1:3" x14ac:dyDescent="0.45">
      <c r="A3246" s="11">
        <v>49.17</v>
      </c>
      <c r="B3246" s="14">
        <v>2.1645000000000002E-3</v>
      </c>
      <c r="C3246" s="15">
        <v>1.6610500000000001E-3</v>
      </c>
    </row>
    <row r="3247" spans="1:3" x14ac:dyDescent="0.45">
      <c r="A3247" s="11">
        <v>49.18</v>
      </c>
      <c r="B3247" s="14">
        <v>2.1670000000000001E-3</v>
      </c>
      <c r="C3247" s="15">
        <v>1.6627E-3</v>
      </c>
    </row>
    <row r="3248" spans="1:3" x14ac:dyDescent="0.45">
      <c r="A3248" s="11">
        <v>49.19</v>
      </c>
      <c r="B3248" s="14">
        <v>2.1695E-3</v>
      </c>
      <c r="C3248" s="15">
        <v>1.66435E-3</v>
      </c>
    </row>
    <row r="3249" spans="1:3" x14ac:dyDescent="0.45">
      <c r="A3249" s="11">
        <v>49.2</v>
      </c>
      <c r="B3249" s="14">
        <v>2.1719999999999999E-3</v>
      </c>
      <c r="C3249" s="15">
        <v>1.6659999999999999E-3</v>
      </c>
    </row>
    <row r="3250" spans="1:3" x14ac:dyDescent="0.45">
      <c r="A3250" s="11">
        <v>49.21</v>
      </c>
      <c r="B3250" s="14">
        <v>2.1744999999999998E-3</v>
      </c>
      <c r="C3250" s="15">
        <v>1.6676499999999999E-3</v>
      </c>
    </row>
    <row r="3251" spans="1:3" x14ac:dyDescent="0.45">
      <c r="A3251" s="11">
        <v>49.22</v>
      </c>
      <c r="B3251" s="14">
        <v>2.1770000000000001E-3</v>
      </c>
      <c r="C3251" s="15">
        <v>1.6693000000000001E-3</v>
      </c>
    </row>
    <row r="3252" spans="1:3" x14ac:dyDescent="0.45">
      <c r="A3252" s="11">
        <v>49.23</v>
      </c>
      <c r="B3252" s="14">
        <v>2.1795E-3</v>
      </c>
      <c r="C3252" s="15">
        <v>1.67095E-3</v>
      </c>
    </row>
    <row r="3253" spans="1:3" x14ac:dyDescent="0.45">
      <c r="A3253" s="11">
        <v>49.24</v>
      </c>
      <c r="B3253" s="14">
        <v>2.1819999999999999E-3</v>
      </c>
      <c r="C3253" s="15">
        <v>1.6726E-3</v>
      </c>
    </row>
    <row r="3254" spans="1:3" x14ac:dyDescent="0.45">
      <c r="A3254" s="11">
        <v>49.25</v>
      </c>
      <c r="B3254" s="14">
        <v>2.1844999999999998E-3</v>
      </c>
      <c r="C3254" s="15">
        <v>1.67425E-3</v>
      </c>
    </row>
    <row r="3255" spans="1:3" x14ac:dyDescent="0.45">
      <c r="A3255" s="11">
        <v>49.26</v>
      </c>
      <c r="B3255" s="14">
        <v>2.1870000000000001E-3</v>
      </c>
      <c r="C3255" s="15">
        <v>1.6758999999999999E-3</v>
      </c>
    </row>
    <row r="3256" spans="1:3" x14ac:dyDescent="0.45">
      <c r="A3256" s="11">
        <v>49.27</v>
      </c>
      <c r="B3256" s="14">
        <v>2.1895E-3</v>
      </c>
      <c r="C3256" s="15">
        <v>1.6775500000000001E-3</v>
      </c>
    </row>
    <row r="3257" spans="1:3" x14ac:dyDescent="0.45">
      <c r="A3257" s="11">
        <v>49.28</v>
      </c>
      <c r="B3257" s="14">
        <v>2.1919999999999999E-3</v>
      </c>
      <c r="C3257" s="15">
        <v>1.6792000000000001E-3</v>
      </c>
    </row>
    <row r="3258" spans="1:3" x14ac:dyDescent="0.45">
      <c r="A3258" s="11">
        <v>49.29</v>
      </c>
      <c r="B3258" s="14">
        <v>2.1944999999999998E-3</v>
      </c>
      <c r="C3258" s="15">
        <v>1.68085E-3</v>
      </c>
    </row>
    <row r="3259" spans="1:3" x14ac:dyDescent="0.45">
      <c r="A3259" s="11">
        <v>49.3</v>
      </c>
      <c r="B3259" s="14">
        <v>2.1970000000000002E-3</v>
      </c>
      <c r="C3259" s="15">
        <v>1.6825E-3</v>
      </c>
    </row>
    <row r="3260" spans="1:3" x14ac:dyDescent="0.45">
      <c r="A3260" s="11">
        <v>49.31</v>
      </c>
      <c r="B3260" s="14">
        <v>2.1995000000000001E-3</v>
      </c>
      <c r="C3260" s="15">
        <v>1.6841499999999999E-3</v>
      </c>
    </row>
    <row r="3261" spans="1:3" x14ac:dyDescent="0.45">
      <c r="A3261" s="11">
        <v>49.32</v>
      </c>
      <c r="B3261" s="14">
        <v>2.202E-3</v>
      </c>
      <c r="C3261" s="15">
        <v>1.6858000000000001E-3</v>
      </c>
    </row>
    <row r="3262" spans="1:3" x14ac:dyDescent="0.45">
      <c r="A3262" s="11">
        <v>49.33</v>
      </c>
      <c r="B3262" s="14">
        <v>2.2044999999999999E-3</v>
      </c>
      <c r="C3262" s="15">
        <v>1.6874500000000001E-3</v>
      </c>
    </row>
    <row r="3263" spans="1:3" x14ac:dyDescent="0.45">
      <c r="A3263" s="11">
        <v>49.34</v>
      </c>
      <c r="B3263" s="14">
        <v>2.2070000000000002E-3</v>
      </c>
      <c r="C3263" s="15">
        <v>1.6891E-3</v>
      </c>
    </row>
    <row r="3264" spans="1:3" x14ac:dyDescent="0.45">
      <c r="A3264" s="11">
        <v>49.35</v>
      </c>
      <c r="B3264" s="14">
        <v>2.2095000000000001E-3</v>
      </c>
      <c r="C3264" s="15">
        <v>1.69075E-3</v>
      </c>
    </row>
    <row r="3265" spans="1:3" x14ac:dyDescent="0.45">
      <c r="A3265" s="11">
        <v>49.36</v>
      </c>
      <c r="B3265" s="14">
        <v>2.212E-3</v>
      </c>
      <c r="C3265" s="15">
        <v>1.6923999999999999E-3</v>
      </c>
    </row>
    <row r="3266" spans="1:3" x14ac:dyDescent="0.45">
      <c r="A3266" s="11">
        <v>49.37</v>
      </c>
      <c r="B3266" s="14">
        <v>2.2144999999999999E-3</v>
      </c>
      <c r="C3266" s="15">
        <v>1.6940499999999999E-3</v>
      </c>
    </row>
    <row r="3267" spans="1:3" x14ac:dyDescent="0.45">
      <c r="A3267" s="11">
        <v>49.38</v>
      </c>
      <c r="B3267" s="14">
        <v>2.2169999999999998E-3</v>
      </c>
      <c r="C3267" s="15">
        <v>1.6957000000000001E-3</v>
      </c>
    </row>
    <row r="3268" spans="1:3" x14ac:dyDescent="0.45">
      <c r="A3268" s="11">
        <v>49.39</v>
      </c>
      <c r="B3268" s="14">
        <v>2.2195000000000001E-3</v>
      </c>
      <c r="C3268" s="15">
        <v>1.69735E-3</v>
      </c>
    </row>
    <row r="3269" spans="1:3" x14ac:dyDescent="0.45">
      <c r="A3269" s="11">
        <v>49.4</v>
      </c>
      <c r="B3269" s="14">
        <v>2.222E-3</v>
      </c>
      <c r="C3269" s="15">
        <v>1.699E-3</v>
      </c>
    </row>
    <row r="3270" spans="1:3" x14ac:dyDescent="0.45">
      <c r="A3270" s="11">
        <v>49.41</v>
      </c>
      <c r="B3270" s="14">
        <v>2.2244999999999999E-3</v>
      </c>
      <c r="C3270" s="15">
        <v>1.7006499999999999E-3</v>
      </c>
    </row>
    <row r="3271" spans="1:3" x14ac:dyDescent="0.45">
      <c r="A3271" s="11">
        <v>49.42</v>
      </c>
      <c r="B3271" s="14">
        <v>2.2269999999999998E-3</v>
      </c>
      <c r="C3271" s="15">
        <v>1.7022999999999999E-3</v>
      </c>
    </row>
    <row r="3272" spans="1:3" x14ac:dyDescent="0.45">
      <c r="A3272" s="11">
        <v>49.43</v>
      </c>
      <c r="B3272" s="14">
        <v>2.2295000000000001E-3</v>
      </c>
      <c r="C3272" s="15">
        <v>1.7039500000000001E-3</v>
      </c>
    </row>
    <row r="3273" spans="1:3" x14ac:dyDescent="0.45">
      <c r="A3273" s="11">
        <v>49.44</v>
      </c>
      <c r="B3273" s="14">
        <v>2.232E-3</v>
      </c>
      <c r="C3273" s="15">
        <v>1.7056E-3</v>
      </c>
    </row>
    <row r="3274" spans="1:3" x14ac:dyDescent="0.45">
      <c r="A3274" s="11">
        <v>49.45</v>
      </c>
      <c r="B3274" s="14">
        <v>2.2344999999999999E-3</v>
      </c>
      <c r="C3274" s="15">
        <v>1.70725E-3</v>
      </c>
    </row>
    <row r="3275" spans="1:3" x14ac:dyDescent="0.45">
      <c r="A3275" s="11">
        <v>49.46</v>
      </c>
      <c r="B3275" s="14">
        <v>2.2369999999999998E-3</v>
      </c>
      <c r="C3275" s="15">
        <v>1.7089E-3</v>
      </c>
    </row>
    <row r="3276" spans="1:3" x14ac:dyDescent="0.45">
      <c r="A3276" s="11">
        <v>49.47</v>
      </c>
      <c r="B3276" s="14">
        <v>2.2395000000000002E-3</v>
      </c>
      <c r="C3276" s="15">
        <v>1.7105499999999999E-3</v>
      </c>
    </row>
    <row r="3277" spans="1:3" x14ac:dyDescent="0.45">
      <c r="A3277" s="11">
        <v>49.48</v>
      </c>
      <c r="B3277" s="14">
        <v>2.2420000000000001E-3</v>
      </c>
      <c r="C3277" s="15">
        <v>1.7122000000000001E-3</v>
      </c>
    </row>
    <row r="3278" spans="1:3" x14ac:dyDescent="0.45">
      <c r="A3278" s="11">
        <v>49.49</v>
      </c>
      <c r="B3278" s="14">
        <v>2.2445E-3</v>
      </c>
      <c r="C3278" s="15">
        <v>1.7138500000000001E-3</v>
      </c>
    </row>
    <row r="3279" spans="1:3" x14ac:dyDescent="0.45">
      <c r="A3279" s="11">
        <v>49.5</v>
      </c>
      <c r="B3279" s="14">
        <v>2.2469999999999999E-3</v>
      </c>
      <c r="C3279" s="15">
        <v>1.7155E-3</v>
      </c>
    </row>
    <row r="3280" spans="1:3" x14ac:dyDescent="0.45">
      <c r="A3280" s="11">
        <v>49.51</v>
      </c>
      <c r="B3280" s="14">
        <v>2.2495000000000002E-3</v>
      </c>
      <c r="C3280" s="15">
        <v>1.71715E-3</v>
      </c>
    </row>
    <row r="3281" spans="1:3" x14ac:dyDescent="0.45">
      <c r="A3281" s="11">
        <v>49.52</v>
      </c>
      <c r="B3281" s="14">
        <v>2.2520000000000001E-3</v>
      </c>
      <c r="C3281" s="15">
        <v>1.7187999999999999E-3</v>
      </c>
    </row>
    <row r="3282" spans="1:3" x14ac:dyDescent="0.45">
      <c r="A3282" s="11">
        <v>49.53</v>
      </c>
      <c r="B3282" s="14">
        <v>2.2545E-3</v>
      </c>
      <c r="C3282" s="15">
        <v>1.7204500000000001E-3</v>
      </c>
    </row>
    <row r="3283" spans="1:3" x14ac:dyDescent="0.45">
      <c r="A3283" s="11">
        <v>49.54</v>
      </c>
      <c r="B3283" s="14">
        <v>2.2569999999999999E-3</v>
      </c>
      <c r="C3283" s="15">
        <v>1.7221000000000001E-3</v>
      </c>
    </row>
    <row r="3284" spans="1:3" x14ac:dyDescent="0.45">
      <c r="A3284" s="11">
        <v>49.55</v>
      </c>
      <c r="B3284" s="14">
        <v>2.2594999999999998E-3</v>
      </c>
      <c r="C3284" s="15">
        <v>1.72375E-3</v>
      </c>
    </row>
    <row r="3285" spans="1:3" x14ac:dyDescent="0.45">
      <c r="A3285" s="11">
        <v>49.56</v>
      </c>
      <c r="B3285" s="14">
        <v>2.2620000000000001E-3</v>
      </c>
      <c r="C3285" s="15">
        <v>1.7254E-3</v>
      </c>
    </row>
    <row r="3286" spans="1:3" x14ac:dyDescent="0.45">
      <c r="A3286" s="11">
        <v>49.57</v>
      </c>
      <c r="B3286" s="14">
        <v>2.2645E-3</v>
      </c>
      <c r="C3286" s="15">
        <v>1.7270499999999999E-3</v>
      </c>
    </row>
    <row r="3287" spans="1:3" x14ac:dyDescent="0.45">
      <c r="A3287" s="11">
        <v>49.58</v>
      </c>
      <c r="B3287" s="14">
        <v>2.2669999999999999E-3</v>
      </c>
      <c r="C3287" s="15">
        <v>1.7286999999999999E-3</v>
      </c>
    </row>
    <row r="3288" spans="1:3" x14ac:dyDescent="0.45">
      <c r="A3288" s="11">
        <v>49.59</v>
      </c>
      <c r="B3288" s="14">
        <v>2.2694999999999998E-3</v>
      </c>
      <c r="C3288" s="15">
        <v>1.7303500000000001E-3</v>
      </c>
    </row>
    <row r="3289" spans="1:3" x14ac:dyDescent="0.45">
      <c r="A3289" s="11">
        <v>49.6</v>
      </c>
      <c r="B3289" s="14">
        <v>2.2720000000000001E-3</v>
      </c>
      <c r="C3289" s="15">
        <v>1.732E-3</v>
      </c>
    </row>
    <row r="3290" spans="1:3" x14ac:dyDescent="0.45">
      <c r="A3290" s="11">
        <v>49.61</v>
      </c>
      <c r="B3290" s="14">
        <v>2.2745E-3</v>
      </c>
      <c r="C3290" s="15">
        <v>1.73365E-3</v>
      </c>
    </row>
    <row r="3291" spans="1:3" x14ac:dyDescent="0.45">
      <c r="A3291" s="11">
        <v>49.62</v>
      </c>
      <c r="B3291" s="14">
        <v>2.2769999999999999E-3</v>
      </c>
      <c r="C3291" s="15">
        <v>1.7353E-3</v>
      </c>
    </row>
    <row r="3292" spans="1:3" x14ac:dyDescent="0.45">
      <c r="A3292" s="11">
        <v>49.63</v>
      </c>
      <c r="B3292" s="14">
        <v>2.2794999999999998E-3</v>
      </c>
      <c r="C3292" s="15">
        <v>1.7369499999999999E-3</v>
      </c>
    </row>
    <row r="3293" spans="1:3" x14ac:dyDescent="0.45">
      <c r="A3293" s="11">
        <v>49.64</v>
      </c>
      <c r="B3293" s="14">
        <v>2.2820000000000002E-3</v>
      </c>
      <c r="C3293" s="15">
        <v>1.7386000000000001E-3</v>
      </c>
    </row>
    <row r="3294" spans="1:3" x14ac:dyDescent="0.45">
      <c r="A3294" s="11">
        <v>49.65</v>
      </c>
      <c r="B3294" s="14">
        <v>2.2845000000000001E-3</v>
      </c>
      <c r="C3294" s="15">
        <v>1.74025E-3</v>
      </c>
    </row>
    <row r="3295" spans="1:3" x14ac:dyDescent="0.45">
      <c r="A3295" s="11">
        <v>49.66</v>
      </c>
      <c r="B3295" s="14">
        <v>2.287E-3</v>
      </c>
      <c r="C3295" s="15">
        <v>1.7419E-3</v>
      </c>
    </row>
    <row r="3296" spans="1:3" x14ac:dyDescent="0.45">
      <c r="A3296" s="11">
        <v>49.67</v>
      </c>
      <c r="B3296" s="14">
        <v>2.2894999999999999E-3</v>
      </c>
      <c r="C3296" s="15">
        <v>1.74355E-3</v>
      </c>
    </row>
    <row r="3297" spans="1:3" x14ac:dyDescent="0.45">
      <c r="A3297" s="11">
        <v>49.68</v>
      </c>
      <c r="B3297" s="14">
        <v>2.2920000000000002E-3</v>
      </c>
      <c r="C3297" s="15">
        <v>1.7451999999999999E-3</v>
      </c>
    </row>
    <row r="3298" spans="1:3" x14ac:dyDescent="0.45">
      <c r="A3298" s="11">
        <v>49.69</v>
      </c>
      <c r="B3298" s="14">
        <v>2.2945000000000001E-3</v>
      </c>
      <c r="C3298" s="15">
        <v>1.7468500000000001E-3</v>
      </c>
    </row>
    <row r="3299" spans="1:3" x14ac:dyDescent="0.45">
      <c r="A3299" s="11">
        <v>49.7</v>
      </c>
      <c r="B3299" s="14">
        <v>2.297E-3</v>
      </c>
      <c r="C3299" s="15">
        <v>1.7485000000000001E-3</v>
      </c>
    </row>
    <row r="3300" spans="1:3" x14ac:dyDescent="0.45">
      <c r="A3300" s="11">
        <v>49.71</v>
      </c>
      <c r="B3300" s="14">
        <v>2.2994999999999999E-3</v>
      </c>
      <c r="C3300" s="15">
        <v>1.75015E-3</v>
      </c>
    </row>
    <row r="3301" spans="1:3" x14ac:dyDescent="0.45">
      <c r="A3301" s="11">
        <v>49.72</v>
      </c>
      <c r="B3301" s="14">
        <v>2.3019999999999998E-3</v>
      </c>
      <c r="C3301" s="15">
        <v>1.7518E-3</v>
      </c>
    </row>
    <row r="3302" spans="1:3" x14ac:dyDescent="0.45">
      <c r="A3302" s="11">
        <v>49.73</v>
      </c>
      <c r="B3302" s="14">
        <v>2.3045000000000001E-3</v>
      </c>
      <c r="C3302" s="15">
        <v>1.7534499999999999E-3</v>
      </c>
    </row>
    <row r="3303" spans="1:3" x14ac:dyDescent="0.45">
      <c r="A3303" s="11">
        <v>49.74</v>
      </c>
      <c r="B3303" s="14">
        <v>2.307E-3</v>
      </c>
      <c r="C3303" s="15">
        <v>1.7551000000000001E-3</v>
      </c>
    </row>
    <row r="3304" spans="1:3" x14ac:dyDescent="0.45">
      <c r="A3304" s="11">
        <v>49.75</v>
      </c>
      <c r="B3304" s="14">
        <v>2.3094999999999999E-3</v>
      </c>
      <c r="C3304" s="15">
        <v>1.7567500000000001E-3</v>
      </c>
    </row>
    <row r="3305" spans="1:3" x14ac:dyDescent="0.45">
      <c r="A3305" s="11">
        <v>49.76</v>
      </c>
      <c r="B3305" s="14">
        <v>2.3119999999999998E-3</v>
      </c>
      <c r="C3305" s="15">
        <v>1.7584E-3</v>
      </c>
    </row>
    <row r="3306" spans="1:3" x14ac:dyDescent="0.45">
      <c r="A3306" s="11">
        <v>49.77</v>
      </c>
      <c r="B3306" s="14">
        <v>2.3145000000000002E-3</v>
      </c>
      <c r="C3306" s="15">
        <v>1.76005E-3</v>
      </c>
    </row>
    <row r="3307" spans="1:3" x14ac:dyDescent="0.45">
      <c r="A3307" s="11">
        <v>49.78</v>
      </c>
      <c r="B3307" s="14">
        <v>2.317E-3</v>
      </c>
      <c r="C3307" s="15">
        <v>1.7616999999999999E-3</v>
      </c>
    </row>
    <row r="3308" spans="1:3" x14ac:dyDescent="0.45">
      <c r="A3308" s="11">
        <v>49.79</v>
      </c>
      <c r="B3308" s="14">
        <v>2.3194999999999999E-3</v>
      </c>
      <c r="C3308" s="15">
        <v>1.7633499999999999E-3</v>
      </c>
    </row>
    <row r="3309" spans="1:3" x14ac:dyDescent="0.45">
      <c r="A3309" s="11">
        <v>49.8</v>
      </c>
      <c r="B3309" s="14">
        <v>2.3219999999999998E-3</v>
      </c>
      <c r="C3309" s="15">
        <v>1.7650000000000001E-3</v>
      </c>
    </row>
    <row r="3310" spans="1:3" x14ac:dyDescent="0.45">
      <c r="A3310" s="11">
        <v>49.81</v>
      </c>
      <c r="B3310" s="14">
        <v>2.3245000000000002E-3</v>
      </c>
      <c r="C3310" s="15">
        <v>1.76665E-3</v>
      </c>
    </row>
    <row r="3311" spans="1:3" x14ac:dyDescent="0.45">
      <c r="A3311" s="11">
        <v>49.82</v>
      </c>
      <c r="B3311" s="14">
        <v>2.3270000000000001E-3</v>
      </c>
      <c r="C3311" s="15">
        <v>1.7683E-3</v>
      </c>
    </row>
    <row r="3312" spans="1:3" x14ac:dyDescent="0.45">
      <c r="A3312" s="11">
        <v>49.83</v>
      </c>
      <c r="B3312" s="14">
        <v>2.3295E-3</v>
      </c>
      <c r="C3312" s="15">
        <v>1.76995E-3</v>
      </c>
    </row>
    <row r="3313" spans="1:3" x14ac:dyDescent="0.45">
      <c r="A3313" s="11">
        <v>49.84</v>
      </c>
      <c r="B3313" s="14">
        <v>2.3319999999999999E-3</v>
      </c>
      <c r="C3313" s="15">
        <v>1.7715999999999999E-3</v>
      </c>
    </row>
    <row r="3314" spans="1:3" x14ac:dyDescent="0.45">
      <c r="A3314" s="11">
        <v>49.85</v>
      </c>
      <c r="B3314" s="14">
        <v>2.3345000000000002E-3</v>
      </c>
      <c r="C3314" s="15">
        <v>1.7732500000000001E-3</v>
      </c>
    </row>
    <row r="3315" spans="1:3" x14ac:dyDescent="0.45">
      <c r="A3315" s="11">
        <v>49.86</v>
      </c>
      <c r="B3315" s="14">
        <v>2.3370000000000001E-3</v>
      </c>
      <c r="C3315" s="15">
        <v>1.7749E-3</v>
      </c>
    </row>
    <row r="3316" spans="1:3" x14ac:dyDescent="0.45">
      <c r="A3316" s="11">
        <v>49.87</v>
      </c>
      <c r="B3316" s="14">
        <v>2.3395E-3</v>
      </c>
      <c r="C3316" s="15">
        <v>1.77655E-3</v>
      </c>
    </row>
    <row r="3317" spans="1:3" x14ac:dyDescent="0.45">
      <c r="A3317" s="11">
        <v>49.88</v>
      </c>
      <c r="B3317" s="14">
        <v>2.3419999999999999E-3</v>
      </c>
      <c r="C3317" s="15">
        <v>1.7782E-3</v>
      </c>
    </row>
    <row r="3318" spans="1:3" x14ac:dyDescent="0.45">
      <c r="A3318" s="11">
        <v>49.89</v>
      </c>
      <c r="B3318" s="14">
        <v>2.3444999999999998E-3</v>
      </c>
      <c r="C3318" s="15">
        <v>1.7798499999999999E-3</v>
      </c>
    </row>
    <row r="3319" spans="1:3" x14ac:dyDescent="0.45">
      <c r="A3319" s="11">
        <v>49.9</v>
      </c>
      <c r="B3319" s="14">
        <v>2.3470000000000001E-3</v>
      </c>
      <c r="C3319" s="15">
        <v>1.7815000000000001E-3</v>
      </c>
    </row>
    <row r="3320" spans="1:3" x14ac:dyDescent="0.45">
      <c r="A3320" s="11">
        <v>49.91</v>
      </c>
      <c r="B3320" s="14">
        <v>2.3495E-3</v>
      </c>
      <c r="C3320" s="15">
        <v>1.7831500000000001E-3</v>
      </c>
    </row>
    <row r="3321" spans="1:3" x14ac:dyDescent="0.45">
      <c r="A3321" s="11">
        <v>49.92</v>
      </c>
      <c r="B3321" s="14">
        <v>2.3519999999999999E-3</v>
      </c>
      <c r="C3321" s="15">
        <v>1.7848E-3</v>
      </c>
    </row>
    <row r="3322" spans="1:3" x14ac:dyDescent="0.45">
      <c r="A3322" s="11">
        <v>49.93</v>
      </c>
      <c r="B3322" s="14">
        <v>2.3544999999999998E-3</v>
      </c>
      <c r="C3322" s="15">
        <v>1.78645E-3</v>
      </c>
    </row>
    <row r="3323" spans="1:3" x14ac:dyDescent="0.45">
      <c r="A3323" s="11">
        <v>49.94</v>
      </c>
      <c r="B3323" s="14">
        <v>2.3570000000000002E-3</v>
      </c>
      <c r="C3323" s="15">
        <v>1.7880999999999999E-3</v>
      </c>
    </row>
    <row r="3324" spans="1:3" x14ac:dyDescent="0.45">
      <c r="A3324" s="11">
        <v>49.95</v>
      </c>
      <c r="B3324" s="14">
        <v>2.3595000000000001E-3</v>
      </c>
      <c r="C3324" s="15">
        <v>1.7897500000000001E-3</v>
      </c>
    </row>
    <row r="3325" spans="1:3" x14ac:dyDescent="0.45">
      <c r="A3325" s="11">
        <v>49.96</v>
      </c>
      <c r="B3325" s="14">
        <v>2.362E-3</v>
      </c>
      <c r="C3325" s="15">
        <v>1.7914000000000001E-3</v>
      </c>
    </row>
    <row r="3326" spans="1:3" x14ac:dyDescent="0.45">
      <c r="A3326" s="11">
        <v>49.97</v>
      </c>
      <c r="B3326" s="14">
        <v>2.3644999999999998E-3</v>
      </c>
      <c r="C3326" s="15">
        <v>1.79305E-3</v>
      </c>
    </row>
    <row r="3327" spans="1:3" x14ac:dyDescent="0.45">
      <c r="A3327" s="11">
        <v>49.98</v>
      </c>
      <c r="B3327" s="14">
        <v>2.3670000000000002E-3</v>
      </c>
      <c r="C3327" s="15">
        <v>1.7947E-3</v>
      </c>
    </row>
    <row r="3328" spans="1:3" x14ac:dyDescent="0.45">
      <c r="A3328" s="11">
        <v>49.99</v>
      </c>
      <c r="B3328" s="14">
        <v>2.3695000000000001E-3</v>
      </c>
      <c r="C3328" s="15">
        <v>1.7963499999999999E-3</v>
      </c>
    </row>
    <row r="3329" spans="1:3" x14ac:dyDescent="0.45">
      <c r="A3329" s="11">
        <v>50</v>
      </c>
      <c r="B3329" s="14">
        <v>2.372E-3</v>
      </c>
      <c r="C3329" s="15">
        <v>1.7979999999999999E-3</v>
      </c>
    </row>
    <row r="3330" spans="1:3" x14ac:dyDescent="0.45">
      <c r="A3330" s="11">
        <v>50.01</v>
      </c>
      <c r="B3330" s="14">
        <v>2.37484E-3</v>
      </c>
      <c r="C3330" s="15">
        <v>1.7998199999999999E-3</v>
      </c>
    </row>
    <row r="3331" spans="1:3" x14ac:dyDescent="0.45">
      <c r="A3331" s="11">
        <v>50.02</v>
      </c>
      <c r="B3331" s="14">
        <v>2.3776800000000001E-3</v>
      </c>
      <c r="C3331" s="15">
        <v>1.80164E-3</v>
      </c>
    </row>
    <row r="3332" spans="1:3" x14ac:dyDescent="0.45">
      <c r="A3332" s="11">
        <v>50.03</v>
      </c>
      <c r="B3332" s="14">
        <v>2.3805200000000001E-3</v>
      </c>
      <c r="C3332" s="15">
        <v>1.80346E-3</v>
      </c>
    </row>
    <row r="3333" spans="1:3" x14ac:dyDescent="0.45">
      <c r="A3333" s="11">
        <v>50.04</v>
      </c>
      <c r="B3333" s="14">
        <v>2.3833600000000002E-3</v>
      </c>
      <c r="C3333" s="15">
        <v>1.80528E-3</v>
      </c>
    </row>
    <row r="3334" spans="1:3" x14ac:dyDescent="0.45">
      <c r="A3334" s="11">
        <v>50.05</v>
      </c>
      <c r="B3334" s="14">
        <v>2.3862000000000002E-3</v>
      </c>
      <c r="C3334" s="15">
        <v>1.8071000000000001E-3</v>
      </c>
    </row>
    <row r="3335" spans="1:3" x14ac:dyDescent="0.45">
      <c r="A3335" s="11">
        <v>50.06</v>
      </c>
      <c r="B3335" s="14">
        <v>2.3890399999999998E-3</v>
      </c>
      <c r="C3335" s="15">
        <v>1.8089200000000001E-3</v>
      </c>
    </row>
    <row r="3336" spans="1:3" x14ac:dyDescent="0.45">
      <c r="A3336" s="11">
        <v>50.07</v>
      </c>
      <c r="B3336" s="14">
        <v>2.3918799999999999E-3</v>
      </c>
      <c r="C3336" s="15">
        <v>1.8107399999999999E-3</v>
      </c>
    </row>
    <row r="3337" spans="1:3" x14ac:dyDescent="0.45">
      <c r="A3337" s="11">
        <v>50.08</v>
      </c>
      <c r="B3337" s="14">
        <v>2.3947199999999999E-3</v>
      </c>
      <c r="C3337" s="15">
        <v>1.81256E-3</v>
      </c>
    </row>
    <row r="3338" spans="1:3" x14ac:dyDescent="0.45">
      <c r="A3338" s="11">
        <v>50.09</v>
      </c>
      <c r="B3338" s="14">
        <v>2.39756E-3</v>
      </c>
      <c r="C3338" s="15">
        <v>1.81438E-3</v>
      </c>
    </row>
    <row r="3339" spans="1:3" x14ac:dyDescent="0.45">
      <c r="A3339" s="11">
        <v>50.1</v>
      </c>
      <c r="B3339" s="14">
        <v>2.4004E-3</v>
      </c>
      <c r="C3339" s="15">
        <v>1.8162E-3</v>
      </c>
    </row>
    <row r="3340" spans="1:3" x14ac:dyDescent="0.45">
      <c r="A3340" s="11">
        <v>50.11</v>
      </c>
      <c r="B3340" s="14">
        <v>2.4032400000000001E-3</v>
      </c>
      <c r="C3340" s="15">
        <v>1.8180200000000001E-3</v>
      </c>
    </row>
    <row r="3341" spans="1:3" x14ac:dyDescent="0.45">
      <c r="A3341" s="11">
        <v>50.12</v>
      </c>
      <c r="B3341" s="14">
        <v>2.4060800000000001E-3</v>
      </c>
      <c r="C3341" s="15">
        <v>1.8198400000000001E-3</v>
      </c>
    </row>
    <row r="3342" spans="1:3" x14ac:dyDescent="0.45">
      <c r="A3342" s="11">
        <v>50.13</v>
      </c>
      <c r="B3342" s="14">
        <v>2.4089200000000002E-3</v>
      </c>
      <c r="C3342" s="15">
        <v>1.8216599999999999E-3</v>
      </c>
    </row>
    <row r="3343" spans="1:3" x14ac:dyDescent="0.45">
      <c r="A3343" s="11">
        <v>50.14</v>
      </c>
      <c r="B3343" s="14">
        <v>2.4117600000000002E-3</v>
      </c>
      <c r="C3343" s="15">
        <v>1.8234799999999999E-3</v>
      </c>
    </row>
    <row r="3344" spans="1:3" x14ac:dyDescent="0.45">
      <c r="A3344" s="11">
        <v>50.15</v>
      </c>
      <c r="B3344" s="14">
        <v>2.4145999999999998E-3</v>
      </c>
      <c r="C3344" s="15">
        <v>1.8253E-3</v>
      </c>
    </row>
    <row r="3345" spans="1:3" x14ac:dyDescent="0.45">
      <c r="A3345" s="11">
        <v>50.16</v>
      </c>
      <c r="B3345" s="14">
        <v>2.4174399999999999E-3</v>
      </c>
      <c r="C3345" s="15">
        <v>1.82712E-3</v>
      </c>
    </row>
    <row r="3346" spans="1:3" x14ac:dyDescent="0.45">
      <c r="A3346" s="11">
        <v>50.17</v>
      </c>
      <c r="B3346" s="14">
        <v>2.4202799999999999E-3</v>
      </c>
      <c r="C3346" s="15">
        <v>1.82894E-3</v>
      </c>
    </row>
    <row r="3347" spans="1:3" x14ac:dyDescent="0.45">
      <c r="A3347" s="11">
        <v>50.18</v>
      </c>
      <c r="B3347" s="14">
        <v>2.42312E-3</v>
      </c>
      <c r="C3347" s="15">
        <v>1.8307600000000001E-3</v>
      </c>
    </row>
    <row r="3348" spans="1:3" x14ac:dyDescent="0.45">
      <c r="A3348" s="11">
        <v>50.19</v>
      </c>
      <c r="B3348" s="14">
        <v>2.42596E-3</v>
      </c>
      <c r="C3348" s="15">
        <v>1.8325800000000001E-3</v>
      </c>
    </row>
    <row r="3349" spans="1:3" x14ac:dyDescent="0.45">
      <c r="A3349" s="11">
        <v>50.2</v>
      </c>
      <c r="B3349" s="14">
        <v>2.4288000000000001E-3</v>
      </c>
      <c r="C3349" s="15">
        <v>1.8343999999999999E-3</v>
      </c>
    </row>
    <row r="3350" spans="1:3" x14ac:dyDescent="0.45">
      <c r="A3350" s="11">
        <v>50.21</v>
      </c>
      <c r="B3350" s="14">
        <v>2.4316400000000001E-3</v>
      </c>
      <c r="C3350" s="15">
        <v>1.83622E-3</v>
      </c>
    </row>
    <row r="3351" spans="1:3" x14ac:dyDescent="0.45">
      <c r="A3351" s="11">
        <v>50.22</v>
      </c>
      <c r="B3351" s="14">
        <v>2.4344800000000002E-3</v>
      </c>
      <c r="C3351" s="15">
        <v>1.83804E-3</v>
      </c>
    </row>
    <row r="3352" spans="1:3" x14ac:dyDescent="0.45">
      <c r="A3352" s="11">
        <v>50.23</v>
      </c>
      <c r="B3352" s="14">
        <v>2.4373200000000002E-3</v>
      </c>
      <c r="C3352" s="15">
        <v>1.83986E-3</v>
      </c>
    </row>
    <row r="3353" spans="1:3" x14ac:dyDescent="0.45">
      <c r="A3353" s="11">
        <v>50.24</v>
      </c>
      <c r="B3353" s="14">
        <v>2.4401599999999998E-3</v>
      </c>
      <c r="C3353" s="15">
        <v>1.8416800000000001E-3</v>
      </c>
    </row>
    <row r="3354" spans="1:3" x14ac:dyDescent="0.45">
      <c r="A3354" s="11">
        <v>50.25</v>
      </c>
      <c r="B3354" s="14">
        <v>2.4429999999999999E-3</v>
      </c>
      <c r="C3354" s="15">
        <v>1.8435000000000001E-3</v>
      </c>
    </row>
    <row r="3355" spans="1:3" x14ac:dyDescent="0.45">
      <c r="A3355" s="11">
        <v>50.26</v>
      </c>
      <c r="B3355" s="14">
        <v>2.4458399999999999E-3</v>
      </c>
      <c r="C3355" s="15">
        <v>1.8453199999999999E-3</v>
      </c>
    </row>
    <row r="3356" spans="1:3" x14ac:dyDescent="0.45">
      <c r="A3356" s="11">
        <v>50.27</v>
      </c>
      <c r="B3356" s="14">
        <v>2.44868E-3</v>
      </c>
      <c r="C3356" s="15">
        <v>1.8471399999999999E-3</v>
      </c>
    </row>
    <row r="3357" spans="1:3" x14ac:dyDescent="0.45">
      <c r="A3357" s="11">
        <v>50.28</v>
      </c>
      <c r="B3357" s="14">
        <v>2.45152E-3</v>
      </c>
      <c r="C3357" s="15">
        <v>1.84896E-3</v>
      </c>
    </row>
    <row r="3358" spans="1:3" x14ac:dyDescent="0.45">
      <c r="A3358" s="11">
        <v>50.29</v>
      </c>
      <c r="B3358" s="14">
        <v>2.45436E-3</v>
      </c>
      <c r="C3358" s="15">
        <v>1.85078E-3</v>
      </c>
    </row>
    <row r="3359" spans="1:3" x14ac:dyDescent="0.45">
      <c r="A3359" s="11">
        <v>50.3</v>
      </c>
      <c r="B3359" s="14">
        <v>2.4572000000000001E-3</v>
      </c>
      <c r="C3359" s="15">
        <v>1.8526E-3</v>
      </c>
    </row>
    <row r="3360" spans="1:3" x14ac:dyDescent="0.45">
      <c r="A3360" s="11">
        <v>50.31</v>
      </c>
      <c r="B3360" s="14">
        <v>2.4600400000000001E-3</v>
      </c>
      <c r="C3360" s="15">
        <v>1.8544200000000001E-3</v>
      </c>
    </row>
    <row r="3361" spans="1:3" x14ac:dyDescent="0.45">
      <c r="A3361" s="11">
        <v>50.32</v>
      </c>
      <c r="B3361" s="14">
        <v>2.4628800000000002E-3</v>
      </c>
      <c r="C3361" s="15">
        <v>1.8562400000000001E-3</v>
      </c>
    </row>
    <row r="3362" spans="1:3" x14ac:dyDescent="0.45">
      <c r="A3362" s="11">
        <v>50.33</v>
      </c>
      <c r="B3362" s="14">
        <v>2.4657199999999998E-3</v>
      </c>
      <c r="C3362" s="15">
        <v>1.8580599999999999E-3</v>
      </c>
    </row>
    <row r="3363" spans="1:3" x14ac:dyDescent="0.45">
      <c r="A3363" s="11">
        <v>50.34</v>
      </c>
      <c r="B3363" s="14">
        <v>2.4685599999999999E-3</v>
      </c>
      <c r="C3363" s="15">
        <v>1.85988E-3</v>
      </c>
    </row>
    <row r="3364" spans="1:3" x14ac:dyDescent="0.45">
      <c r="A3364" s="11">
        <v>50.35</v>
      </c>
      <c r="B3364" s="14">
        <v>2.4713999999999999E-3</v>
      </c>
      <c r="C3364" s="15">
        <v>1.8617E-3</v>
      </c>
    </row>
    <row r="3365" spans="1:3" x14ac:dyDescent="0.45">
      <c r="A3365" s="11">
        <v>50.36</v>
      </c>
      <c r="B3365" s="14">
        <v>2.4742399999999999E-3</v>
      </c>
      <c r="C3365" s="15">
        <v>1.86352E-3</v>
      </c>
    </row>
    <row r="3366" spans="1:3" x14ac:dyDescent="0.45">
      <c r="A3366" s="11">
        <v>50.37</v>
      </c>
      <c r="B3366" s="14">
        <v>2.47708E-3</v>
      </c>
      <c r="C3366" s="15">
        <v>1.8653400000000001E-3</v>
      </c>
    </row>
    <row r="3367" spans="1:3" x14ac:dyDescent="0.45">
      <c r="A3367" s="11">
        <v>50.38</v>
      </c>
      <c r="B3367" s="14">
        <v>2.47992E-3</v>
      </c>
      <c r="C3367" s="15">
        <v>1.8671600000000001E-3</v>
      </c>
    </row>
    <row r="3368" spans="1:3" x14ac:dyDescent="0.45">
      <c r="A3368" s="11">
        <v>50.39</v>
      </c>
      <c r="B3368" s="14">
        <v>2.4827600000000001E-3</v>
      </c>
      <c r="C3368" s="15">
        <v>1.8689799999999999E-3</v>
      </c>
    </row>
    <row r="3369" spans="1:3" x14ac:dyDescent="0.45">
      <c r="A3369" s="11">
        <v>50.4</v>
      </c>
      <c r="B3369" s="14">
        <v>2.4856000000000001E-3</v>
      </c>
      <c r="C3369" s="15">
        <v>1.8707999999999999E-3</v>
      </c>
    </row>
    <row r="3370" spans="1:3" x14ac:dyDescent="0.45">
      <c r="A3370" s="11">
        <v>50.41</v>
      </c>
      <c r="B3370" s="14">
        <v>2.4884400000000002E-3</v>
      </c>
      <c r="C3370" s="15">
        <v>1.87262E-3</v>
      </c>
    </row>
    <row r="3371" spans="1:3" x14ac:dyDescent="0.45">
      <c r="A3371" s="11">
        <v>50.42</v>
      </c>
      <c r="B3371" s="14">
        <v>2.4912799999999998E-3</v>
      </c>
      <c r="C3371" s="15">
        <v>1.87444E-3</v>
      </c>
    </row>
    <row r="3372" spans="1:3" x14ac:dyDescent="0.45">
      <c r="A3372" s="11">
        <v>50.43</v>
      </c>
      <c r="B3372" s="14">
        <v>2.4941199999999998E-3</v>
      </c>
      <c r="C3372" s="15">
        <v>1.87626E-3</v>
      </c>
    </row>
    <row r="3373" spans="1:3" x14ac:dyDescent="0.45">
      <c r="A3373" s="11">
        <v>50.44</v>
      </c>
      <c r="B3373" s="14">
        <v>2.4969599999999999E-3</v>
      </c>
      <c r="C3373" s="15">
        <v>1.8780800000000001E-3</v>
      </c>
    </row>
    <row r="3374" spans="1:3" x14ac:dyDescent="0.45">
      <c r="A3374" s="11">
        <v>50.45</v>
      </c>
      <c r="B3374" s="14">
        <v>2.4997999999999999E-3</v>
      </c>
      <c r="C3374" s="15">
        <v>1.8799000000000001E-3</v>
      </c>
    </row>
    <row r="3375" spans="1:3" x14ac:dyDescent="0.45">
      <c r="A3375" s="11">
        <v>50.46</v>
      </c>
      <c r="B3375" s="14">
        <v>2.50264E-3</v>
      </c>
      <c r="C3375" s="15">
        <v>1.8817199999999999E-3</v>
      </c>
    </row>
    <row r="3376" spans="1:3" x14ac:dyDescent="0.45">
      <c r="A3376" s="11">
        <v>50.47</v>
      </c>
      <c r="B3376" s="14">
        <v>2.50548E-3</v>
      </c>
      <c r="C3376" s="15">
        <v>1.88354E-3</v>
      </c>
    </row>
    <row r="3377" spans="1:3" x14ac:dyDescent="0.45">
      <c r="A3377" s="11">
        <v>50.48</v>
      </c>
      <c r="B3377" s="14">
        <v>2.5083200000000001E-3</v>
      </c>
      <c r="C3377" s="15">
        <v>1.88536E-3</v>
      </c>
    </row>
    <row r="3378" spans="1:3" x14ac:dyDescent="0.45">
      <c r="A3378" s="11">
        <v>50.49</v>
      </c>
      <c r="B3378" s="14">
        <v>2.5111600000000001E-3</v>
      </c>
      <c r="C3378" s="15">
        <v>1.88718E-3</v>
      </c>
    </row>
    <row r="3379" spans="1:3" x14ac:dyDescent="0.45">
      <c r="A3379" s="11">
        <v>50.5</v>
      </c>
      <c r="B3379" s="14">
        <v>2.5140000000000002E-3</v>
      </c>
      <c r="C3379" s="15">
        <v>1.8890000000000001E-3</v>
      </c>
    </row>
    <row r="3380" spans="1:3" x14ac:dyDescent="0.45">
      <c r="A3380" s="11">
        <v>50.51</v>
      </c>
      <c r="B3380" s="14">
        <v>2.5168399999999998E-3</v>
      </c>
      <c r="C3380" s="15">
        <v>1.8908200000000001E-3</v>
      </c>
    </row>
    <row r="3381" spans="1:3" x14ac:dyDescent="0.45">
      <c r="A3381" s="11">
        <v>50.52</v>
      </c>
      <c r="B3381" s="14">
        <v>2.5196799999999998E-3</v>
      </c>
      <c r="C3381" s="15">
        <v>1.8926399999999999E-3</v>
      </c>
    </row>
    <row r="3382" spans="1:3" x14ac:dyDescent="0.45">
      <c r="A3382" s="11">
        <v>50.53</v>
      </c>
      <c r="B3382" s="14">
        <v>2.5225199999999999E-3</v>
      </c>
      <c r="C3382" s="15">
        <v>1.8944599999999999E-3</v>
      </c>
    </row>
    <row r="3383" spans="1:3" x14ac:dyDescent="0.45">
      <c r="A3383" s="11">
        <v>50.54</v>
      </c>
      <c r="B3383" s="14">
        <v>2.5253599999999999E-3</v>
      </c>
      <c r="C3383" s="15">
        <v>1.89628E-3</v>
      </c>
    </row>
    <row r="3384" spans="1:3" x14ac:dyDescent="0.45">
      <c r="A3384" s="11">
        <v>50.55</v>
      </c>
      <c r="B3384" s="14">
        <v>2.5282E-3</v>
      </c>
      <c r="C3384" s="15">
        <v>1.8981E-3</v>
      </c>
    </row>
    <row r="3385" spans="1:3" x14ac:dyDescent="0.45">
      <c r="A3385" s="11">
        <v>50.56</v>
      </c>
      <c r="B3385" s="14">
        <v>2.53104E-3</v>
      </c>
      <c r="C3385" s="15">
        <v>1.89992E-3</v>
      </c>
    </row>
    <row r="3386" spans="1:3" x14ac:dyDescent="0.45">
      <c r="A3386" s="11">
        <v>50.57</v>
      </c>
      <c r="B3386" s="14">
        <v>2.5338800000000001E-3</v>
      </c>
      <c r="C3386" s="15">
        <v>1.9017400000000001E-3</v>
      </c>
    </row>
    <row r="3387" spans="1:3" x14ac:dyDescent="0.45">
      <c r="A3387" s="11">
        <v>50.58</v>
      </c>
      <c r="B3387" s="14">
        <v>2.5367200000000001E-3</v>
      </c>
      <c r="C3387" s="15">
        <v>1.9035600000000001E-3</v>
      </c>
    </row>
    <row r="3388" spans="1:3" x14ac:dyDescent="0.45">
      <c r="A3388" s="11">
        <v>50.59</v>
      </c>
      <c r="B3388" s="14">
        <v>2.5395600000000002E-3</v>
      </c>
      <c r="C3388" s="15">
        <v>1.9053799999999999E-3</v>
      </c>
    </row>
    <row r="3389" spans="1:3" x14ac:dyDescent="0.45">
      <c r="A3389" s="11">
        <v>50.6</v>
      </c>
      <c r="B3389" s="14">
        <v>2.5424000000000002E-3</v>
      </c>
      <c r="C3389" s="15">
        <v>1.9072E-3</v>
      </c>
    </row>
    <row r="3390" spans="1:3" x14ac:dyDescent="0.45">
      <c r="A3390" s="11">
        <v>50.61</v>
      </c>
      <c r="B3390" s="14">
        <v>2.5452399999999998E-3</v>
      </c>
      <c r="C3390" s="15">
        <v>1.90902E-3</v>
      </c>
    </row>
    <row r="3391" spans="1:3" x14ac:dyDescent="0.45">
      <c r="A3391" s="11">
        <v>50.62</v>
      </c>
      <c r="B3391" s="14">
        <v>2.5480799999999999E-3</v>
      </c>
      <c r="C3391" s="15">
        <v>1.91084E-3</v>
      </c>
    </row>
    <row r="3392" spans="1:3" x14ac:dyDescent="0.45">
      <c r="A3392" s="11">
        <v>50.63</v>
      </c>
      <c r="B3392" s="14">
        <v>2.5509199999999999E-3</v>
      </c>
      <c r="C3392" s="15">
        <v>1.9126600000000001E-3</v>
      </c>
    </row>
    <row r="3393" spans="1:3" x14ac:dyDescent="0.45">
      <c r="A3393" s="11">
        <v>50.64</v>
      </c>
      <c r="B3393" s="14">
        <v>2.55376E-3</v>
      </c>
      <c r="C3393" s="15">
        <v>1.9144800000000001E-3</v>
      </c>
    </row>
    <row r="3394" spans="1:3" x14ac:dyDescent="0.45">
      <c r="A3394" s="11">
        <v>50.65</v>
      </c>
      <c r="B3394" s="14">
        <v>2.5566E-3</v>
      </c>
      <c r="C3394" s="15">
        <v>1.9162999999999999E-3</v>
      </c>
    </row>
    <row r="3395" spans="1:3" x14ac:dyDescent="0.45">
      <c r="A3395" s="11">
        <v>50.66</v>
      </c>
      <c r="B3395" s="14">
        <v>2.5594400000000001E-3</v>
      </c>
      <c r="C3395" s="15">
        <v>1.9181199999999999E-3</v>
      </c>
    </row>
    <row r="3396" spans="1:3" x14ac:dyDescent="0.45">
      <c r="A3396" s="11">
        <v>50.67</v>
      </c>
      <c r="B3396" s="14">
        <v>2.5622800000000001E-3</v>
      </c>
      <c r="C3396" s="15">
        <v>1.91994E-3</v>
      </c>
    </row>
    <row r="3397" spans="1:3" x14ac:dyDescent="0.45">
      <c r="A3397" s="11">
        <v>50.68</v>
      </c>
      <c r="B3397" s="14">
        <v>2.5651200000000002E-3</v>
      </c>
      <c r="C3397" s="15">
        <v>1.92176E-3</v>
      </c>
    </row>
    <row r="3398" spans="1:3" x14ac:dyDescent="0.45">
      <c r="A3398" s="11">
        <v>50.69</v>
      </c>
      <c r="B3398" s="14">
        <v>2.5679600000000002E-3</v>
      </c>
      <c r="C3398" s="15">
        <v>1.92358E-3</v>
      </c>
    </row>
    <row r="3399" spans="1:3" x14ac:dyDescent="0.45">
      <c r="A3399" s="11">
        <v>50.7</v>
      </c>
      <c r="B3399" s="14">
        <v>2.5707999999999998E-3</v>
      </c>
      <c r="C3399" s="15">
        <v>1.9254000000000001E-3</v>
      </c>
    </row>
    <row r="3400" spans="1:3" x14ac:dyDescent="0.45">
      <c r="A3400" s="11">
        <v>50.71</v>
      </c>
      <c r="B3400" s="14">
        <v>2.5736399999999999E-3</v>
      </c>
      <c r="C3400" s="15">
        <v>1.9272200000000001E-3</v>
      </c>
    </row>
    <row r="3401" spans="1:3" x14ac:dyDescent="0.45">
      <c r="A3401" s="11">
        <v>50.72</v>
      </c>
      <c r="B3401" s="14">
        <v>2.5764799999999999E-3</v>
      </c>
      <c r="C3401" s="15">
        <v>1.9290399999999999E-3</v>
      </c>
    </row>
    <row r="3402" spans="1:3" x14ac:dyDescent="0.45">
      <c r="A3402" s="11">
        <v>50.73</v>
      </c>
      <c r="B3402" s="14">
        <v>2.57932E-3</v>
      </c>
      <c r="C3402" s="15">
        <v>1.93086E-3</v>
      </c>
    </row>
    <row r="3403" spans="1:3" x14ac:dyDescent="0.45">
      <c r="A3403" s="11">
        <v>50.74</v>
      </c>
      <c r="B3403" s="14">
        <v>2.58216E-3</v>
      </c>
      <c r="C3403" s="15">
        <v>1.93268E-3</v>
      </c>
    </row>
    <row r="3404" spans="1:3" x14ac:dyDescent="0.45">
      <c r="A3404" s="11">
        <v>50.75</v>
      </c>
      <c r="B3404" s="14">
        <v>2.5850000000000001E-3</v>
      </c>
      <c r="C3404" s="15">
        <v>1.9345E-3</v>
      </c>
    </row>
    <row r="3405" spans="1:3" x14ac:dyDescent="0.45">
      <c r="A3405" s="11">
        <v>50.76</v>
      </c>
      <c r="B3405" s="14">
        <v>2.5878400000000001E-3</v>
      </c>
      <c r="C3405" s="15">
        <v>1.9363200000000001E-3</v>
      </c>
    </row>
    <row r="3406" spans="1:3" x14ac:dyDescent="0.45">
      <c r="A3406" s="11">
        <v>50.77</v>
      </c>
      <c r="B3406" s="14">
        <v>2.5906800000000002E-3</v>
      </c>
      <c r="C3406" s="15">
        <v>1.9381400000000001E-3</v>
      </c>
    </row>
    <row r="3407" spans="1:3" x14ac:dyDescent="0.45">
      <c r="A3407" s="11">
        <v>50.78</v>
      </c>
      <c r="B3407" s="14">
        <v>2.5935200000000002E-3</v>
      </c>
      <c r="C3407" s="15">
        <v>1.9399599999999999E-3</v>
      </c>
    </row>
    <row r="3408" spans="1:3" x14ac:dyDescent="0.45">
      <c r="A3408" s="11">
        <v>50.79</v>
      </c>
      <c r="B3408" s="14">
        <v>2.5963599999999998E-3</v>
      </c>
      <c r="C3408" s="15">
        <v>1.9417799999999999E-3</v>
      </c>
    </row>
    <row r="3409" spans="1:3" x14ac:dyDescent="0.45">
      <c r="A3409" s="11">
        <v>50.8</v>
      </c>
      <c r="B3409" s="14">
        <v>2.5991999999999999E-3</v>
      </c>
      <c r="C3409" s="15">
        <v>1.9436E-3</v>
      </c>
    </row>
    <row r="3410" spans="1:3" x14ac:dyDescent="0.45">
      <c r="A3410" s="11">
        <v>50.81</v>
      </c>
      <c r="B3410" s="14">
        <v>2.6020399999999999E-3</v>
      </c>
      <c r="C3410" s="15">
        <v>1.94542E-3</v>
      </c>
    </row>
    <row r="3411" spans="1:3" x14ac:dyDescent="0.45">
      <c r="A3411" s="11">
        <v>50.82</v>
      </c>
      <c r="B3411" s="14">
        <v>2.60488E-3</v>
      </c>
      <c r="C3411" s="15">
        <v>1.94724E-3</v>
      </c>
    </row>
    <row r="3412" spans="1:3" x14ac:dyDescent="0.45">
      <c r="A3412" s="11">
        <v>50.83</v>
      </c>
      <c r="B3412" s="14">
        <v>2.60772E-3</v>
      </c>
      <c r="C3412" s="15">
        <v>1.9490600000000001E-3</v>
      </c>
    </row>
    <row r="3413" spans="1:3" x14ac:dyDescent="0.45">
      <c r="A3413" s="11">
        <v>50.84</v>
      </c>
      <c r="B3413" s="14">
        <v>2.6105600000000001E-3</v>
      </c>
      <c r="C3413" s="15">
        <v>1.9508800000000001E-3</v>
      </c>
    </row>
    <row r="3414" spans="1:3" x14ac:dyDescent="0.45">
      <c r="A3414" s="11">
        <v>50.85</v>
      </c>
      <c r="B3414" s="14">
        <v>2.6134000000000001E-3</v>
      </c>
      <c r="C3414" s="15">
        <v>1.9526999999999999E-3</v>
      </c>
    </row>
    <row r="3415" spans="1:3" x14ac:dyDescent="0.45">
      <c r="A3415" s="11">
        <v>50.86</v>
      </c>
      <c r="B3415" s="14">
        <v>2.6162400000000001E-3</v>
      </c>
      <c r="C3415" s="15">
        <v>1.95452E-3</v>
      </c>
    </row>
    <row r="3416" spans="1:3" x14ac:dyDescent="0.45">
      <c r="A3416" s="11">
        <v>50.87</v>
      </c>
      <c r="B3416" s="14">
        <v>2.6190800000000002E-3</v>
      </c>
      <c r="C3416" s="15">
        <v>1.95634E-3</v>
      </c>
    </row>
    <row r="3417" spans="1:3" x14ac:dyDescent="0.45">
      <c r="A3417" s="11">
        <v>50.88</v>
      </c>
      <c r="B3417" s="14">
        <v>2.6219199999999998E-3</v>
      </c>
      <c r="C3417" s="15">
        <v>1.95816E-3</v>
      </c>
    </row>
    <row r="3418" spans="1:3" x14ac:dyDescent="0.45">
      <c r="A3418" s="11">
        <v>50.89</v>
      </c>
      <c r="B3418" s="14">
        <v>2.6247599999999999E-3</v>
      </c>
      <c r="C3418" s="15">
        <v>1.9599800000000001E-3</v>
      </c>
    </row>
    <row r="3419" spans="1:3" x14ac:dyDescent="0.45">
      <c r="A3419" s="11">
        <v>50.9</v>
      </c>
      <c r="B3419" s="14">
        <v>2.6275999999999999E-3</v>
      </c>
      <c r="C3419" s="15">
        <v>1.9618000000000001E-3</v>
      </c>
    </row>
    <row r="3420" spans="1:3" x14ac:dyDescent="0.45">
      <c r="A3420" s="11">
        <v>50.91</v>
      </c>
      <c r="B3420" s="14">
        <v>2.6304399999999999E-3</v>
      </c>
      <c r="C3420" s="15">
        <v>1.9636200000000001E-3</v>
      </c>
    </row>
    <row r="3421" spans="1:3" x14ac:dyDescent="0.45">
      <c r="A3421" s="11">
        <v>50.92</v>
      </c>
      <c r="B3421" s="14">
        <v>2.63328E-3</v>
      </c>
      <c r="C3421" s="15">
        <v>1.9654400000000002E-3</v>
      </c>
    </row>
    <row r="3422" spans="1:3" x14ac:dyDescent="0.45">
      <c r="A3422" s="11">
        <v>50.93</v>
      </c>
      <c r="B3422" s="14">
        <v>2.63612E-3</v>
      </c>
      <c r="C3422" s="15">
        <v>1.9672600000000002E-3</v>
      </c>
    </row>
    <row r="3423" spans="1:3" x14ac:dyDescent="0.45">
      <c r="A3423" s="11">
        <v>50.94</v>
      </c>
      <c r="B3423" s="14">
        <v>2.6389600000000001E-3</v>
      </c>
      <c r="C3423" s="15">
        <v>1.9690799999999998E-3</v>
      </c>
    </row>
    <row r="3424" spans="1:3" x14ac:dyDescent="0.45">
      <c r="A3424" s="11">
        <v>50.95</v>
      </c>
      <c r="B3424" s="14">
        <v>2.6418000000000001E-3</v>
      </c>
      <c r="C3424" s="15">
        <v>1.9708999999999998E-3</v>
      </c>
    </row>
    <row r="3425" spans="1:3" x14ac:dyDescent="0.45">
      <c r="A3425" s="11">
        <v>50.96</v>
      </c>
      <c r="B3425" s="14">
        <v>2.6446400000000002E-3</v>
      </c>
      <c r="C3425" s="15">
        <v>1.9727199999999999E-3</v>
      </c>
    </row>
    <row r="3426" spans="1:3" x14ac:dyDescent="0.45">
      <c r="A3426" s="11">
        <v>50.97</v>
      </c>
      <c r="B3426" s="14">
        <v>2.6474799999999998E-3</v>
      </c>
      <c r="C3426" s="15">
        <v>1.9745399999999999E-3</v>
      </c>
    </row>
    <row r="3427" spans="1:3" x14ac:dyDescent="0.45">
      <c r="A3427" s="11">
        <v>50.98</v>
      </c>
      <c r="B3427" s="14">
        <v>2.6503199999999998E-3</v>
      </c>
      <c r="C3427" s="15">
        <v>1.9763599999999999E-3</v>
      </c>
    </row>
    <row r="3428" spans="1:3" x14ac:dyDescent="0.45">
      <c r="A3428" s="11">
        <v>50.99</v>
      </c>
      <c r="B3428" s="14">
        <v>2.6531599999999999E-3</v>
      </c>
      <c r="C3428" s="15">
        <v>1.97818E-3</v>
      </c>
    </row>
    <row r="3429" spans="1:3" x14ac:dyDescent="0.45">
      <c r="A3429" s="11">
        <v>51</v>
      </c>
      <c r="B3429" s="14">
        <v>2.6559999999999999E-3</v>
      </c>
      <c r="C3429" s="15">
        <v>1.98E-3</v>
      </c>
    </row>
    <row r="3430" spans="1:3" x14ac:dyDescent="0.45">
      <c r="A3430" s="11">
        <v>51.01</v>
      </c>
      <c r="B3430" s="14">
        <v>2.6592199999999999E-3</v>
      </c>
      <c r="C3430" s="15">
        <v>1.9820200000000001E-3</v>
      </c>
    </row>
    <row r="3431" spans="1:3" x14ac:dyDescent="0.45">
      <c r="A3431" s="11">
        <v>51.02</v>
      </c>
      <c r="B3431" s="14">
        <v>2.6624399999999999E-3</v>
      </c>
      <c r="C3431" s="15">
        <v>1.9840399999999998E-3</v>
      </c>
    </row>
    <row r="3432" spans="1:3" x14ac:dyDescent="0.45">
      <c r="A3432" s="11">
        <v>51.03</v>
      </c>
      <c r="B3432" s="14">
        <v>2.6656599999999998E-3</v>
      </c>
      <c r="C3432" s="15">
        <v>1.98606E-3</v>
      </c>
    </row>
    <row r="3433" spans="1:3" x14ac:dyDescent="0.45">
      <c r="A3433" s="11">
        <v>51.04</v>
      </c>
      <c r="B3433" s="14">
        <v>2.6688800000000002E-3</v>
      </c>
      <c r="C3433" s="15">
        <v>1.9880800000000001E-3</v>
      </c>
    </row>
    <row r="3434" spans="1:3" x14ac:dyDescent="0.45">
      <c r="A3434" s="11">
        <v>51.05</v>
      </c>
      <c r="B3434" s="14">
        <v>2.6721000000000002E-3</v>
      </c>
      <c r="C3434" s="15">
        <v>1.9900999999999999E-3</v>
      </c>
    </row>
    <row r="3435" spans="1:3" x14ac:dyDescent="0.45">
      <c r="A3435" s="11">
        <v>51.06</v>
      </c>
      <c r="B3435" s="14">
        <v>2.6753200000000001E-3</v>
      </c>
      <c r="C3435" s="15">
        <v>1.99212E-3</v>
      </c>
    </row>
    <row r="3436" spans="1:3" x14ac:dyDescent="0.45">
      <c r="A3436" s="11">
        <v>51.07</v>
      </c>
      <c r="B3436" s="14">
        <v>2.6785400000000001E-3</v>
      </c>
      <c r="C3436" s="15">
        <v>1.9941400000000001E-3</v>
      </c>
    </row>
    <row r="3437" spans="1:3" x14ac:dyDescent="0.45">
      <c r="A3437" s="11">
        <v>51.08</v>
      </c>
      <c r="B3437" s="14">
        <v>2.68176E-3</v>
      </c>
      <c r="C3437" s="15">
        <v>1.9961599999999999E-3</v>
      </c>
    </row>
    <row r="3438" spans="1:3" x14ac:dyDescent="0.45">
      <c r="A3438" s="11">
        <v>51.09</v>
      </c>
      <c r="B3438" s="14">
        <v>2.68498E-3</v>
      </c>
      <c r="C3438" s="15">
        <v>1.99818E-3</v>
      </c>
    </row>
    <row r="3439" spans="1:3" x14ac:dyDescent="0.45">
      <c r="A3439" s="11">
        <v>51.1</v>
      </c>
      <c r="B3439" s="14">
        <v>2.6882E-3</v>
      </c>
      <c r="C3439" s="15">
        <v>2.0002000000000002E-3</v>
      </c>
    </row>
    <row r="3440" spans="1:3" x14ac:dyDescent="0.45">
      <c r="A3440" s="11">
        <v>51.11</v>
      </c>
      <c r="B3440" s="14">
        <v>2.6914199999999999E-3</v>
      </c>
      <c r="C3440" s="15">
        <v>2.0022199999999999E-3</v>
      </c>
    </row>
    <row r="3441" spans="1:3" x14ac:dyDescent="0.45">
      <c r="A3441" s="11">
        <v>51.12</v>
      </c>
      <c r="B3441" s="14">
        <v>2.6946399999999999E-3</v>
      </c>
      <c r="C3441" s="15">
        <v>2.00424E-3</v>
      </c>
    </row>
    <row r="3442" spans="1:3" x14ac:dyDescent="0.45">
      <c r="A3442" s="11">
        <v>51.13</v>
      </c>
      <c r="B3442" s="14">
        <v>2.6978599999999998E-3</v>
      </c>
      <c r="C3442" s="15">
        <v>2.0062600000000002E-3</v>
      </c>
    </row>
    <row r="3443" spans="1:3" x14ac:dyDescent="0.45">
      <c r="A3443" s="11">
        <v>51.14</v>
      </c>
      <c r="B3443" s="14">
        <v>2.7010799999999998E-3</v>
      </c>
      <c r="C3443" s="15">
        <v>2.0082799999999999E-3</v>
      </c>
    </row>
    <row r="3444" spans="1:3" x14ac:dyDescent="0.45">
      <c r="A3444" s="11">
        <v>51.15</v>
      </c>
      <c r="B3444" s="14">
        <v>2.7043000000000002E-3</v>
      </c>
      <c r="C3444" s="15">
        <v>2.0103E-3</v>
      </c>
    </row>
    <row r="3445" spans="1:3" x14ac:dyDescent="0.45">
      <c r="A3445" s="11">
        <v>51.16</v>
      </c>
      <c r="B3445" s="14">
        <v>2.7075200000000002E-3</v>
      </c>
      <c r="C3445" s="15">
        <v>2.0123200000000002E-3</v>
      </c>
    </row>
    <row r="3446" spans="1:3" x14ac:dyDescent="0.45">
      <c r="A3446" s="11">
        <v>51.17</v>
      </c>
      <c r="B3446" s="14">
        <v>2.7107400000000001E-3</v>
      </c>
      <c r="C3446" s="15">
        <v>2.0143399999999999E-3</v>
      </c>
    </row>
    <row r="3447" spans="1:3" x14ac:dyDescent="0.45">
      <c r="A3447" s="11">
        <v>51.18</v>
      </c>
      <c r="B3447" s="14">
        <v>2.7139600000000001E-3</v>
      </c>
      <c r="C3447" s="15">
        <v>2.01636E-3</v>
      </c>
    </row>
    <row r="3448" spans="1:3" x14ac:dyDescent="0.45">
      <c r="A3448" s="11">
        <v>51.19</v>
      </c>
      <c r="B3448" s="14">
        <v>2.71718E-3</v>
      </c>
      <c r="C3448" s="15">
        <v>2.0183800000000002E-3</v>
      </c>
    </row>
    <row r="3449" spans="1:3" x14ac:dyDescent="0.45">
      <c r="A3449" s="11">
        <v>51.2</v>
      </c>
      <c r="B3449" s="14">
        <v>2.7204E-3</v>
      </c>
      <c r="C3449" s="15">
        <v>2.0203999999999999E-3</v>
      </c>
    </row>
    <row r="3450" spans="1:3" x14ac:dyDescent="0.45">
      <c r="A3450" s="11">
        <v>51.21</v>
      </c>
      <c r="B3450" s="14">
        <v>2.7236199999999999E-3</v>
      </c>
      <c r="C3450" s="15">
        <v>2.02242E-3</v>
      </c>
    </row>
    <row r="3451" spans="1:3" x14ac:dyDescent="0.45">
      <c r="A3451" s="11">
        <v>51.22</v>
      </c>
      <c r="B3451" s="14">
        <v>2.7268399999999999E-3</v>
      </c>
      <c r="C3451" s="15">
        <v>2.0244400000000002E-3</v>
      </c>
    </row>
    <row r="3452" spans="1:3" x14ac:dyDescent="0.45">
      <c r="A3452" s="11">
        <v>51.23</v>
      </c>
      <c r="B3452" s="14">
        <v>2.7300599999999999E-3</v>
      </c>
      <c r="C3452" s="15">
        <v>2.0264599999999999E-3</v>
      </c>
    </row>
    <row r="3453" spans="1:3" x14ac:dyDescent="0.45">
      <c r="A3453" s="11">
        <v>51.24</v>
      </c>
      <c r="B3453" s="14">
        <v>2.7332799999999998E-3</v>
      </c>
      <c r="C3453" s="15">
        <v>2.02848E-3</v>
      </c>
    </row>
    <row r="3454" spans="1:3" x14ac:dyDescent="0.45">
      <c r="A3454" s="11">
        <v>51.25</v>
      </c>
      <c r="B3454" s="14">
        <v>2.7364999999999998E-3</v>
      </c>
      <c r="C3454" s="15">
        <v>2.0305000000000002E-3</v>
      </c>
    </row>
    <row r="3455" spans="1:3" x14ac:dyDescent="0.45">
      <c r="A3455" s="11">
        <v>51.26</v>
      </c>
      <c r="B3455" s="14">
        <v>2.7397200000000002E-3</v>
      </c>
      <c r="C3455" s="15">
        <v>2.0325199999999999E-3</v>
      </c>
    </row>
    <row r="3456" spans="1:3" x14ac:dyDescent="0.45">
      <c r="A3456" s="11">
        <v>51.27</v>
      </c>
      <c r="B3456" s="14">
        <v>2.7429400000000001E-3</v>
      </c>
      <c r="C3456" s="15">
        <v>2.03454E-3</v>
      </c>
    </row>
    <row r="3457" spans="1:3" x14ac:dyDescent="0.45">
      <c r="A3457" s="11">
        <v>51.28</v>
      </c>
      <c r="B3457" s="14">
        <v>2.7461600000000001E-3</v>
      </c>
      <c r="C3457" s="15">
        <v>2.0365600000000002E-3</v>
      </c>
    </row>
    <row r="3458" spans="1:3" x14ac:dyDescent="0.45">
      <c r="A3458" s="11">
        <v>51.29</v>
      </c>
      <c r="B3458" s="14">
        <v>2.7493800000000001E-3</v>
      </c>
      <c r="C3458" s="15">
        <v>2.0385799999999999E-3</v>
      </c>
    </row>
    <row r="3459" spans="1:3" x14ac:dyDescent="0.45">
      <c r="A3459" s="11">
        <v>51.3</v>
      </c>
      <c r="B3459" s="14">
        <v>2.7526E-3</v>
      </c>
      <c r="C3459" s="15">
        <v>2.0406000000000001E-3</v>
      </c>
    </row>
    <row r="3460" spans="1:3" x14ac:dyDescent="0.45">
      <c r="A3460" s="11">
        <v>51.31</v>
      </c>
      <c r="B3460" s="14">
        <v>2.75582E-3</v>
      </c>
      <c r="C3460" s="15">
        <v>2.0426200000000002E-3</v>
      </c>
    </row>
    <row r="3461" spans="1:3" x14ac:dyDescent="0.45">
      <c r="A3461" s="11">
        <v>51.32</v>
      </c>
      <c r="B3461" s="14">
        <v>2.7590399999999999E-3</v>
      </c>
      <c r="C3461" s="15">
        <v>2.0446399999999999E-3</v>
      </c>
    </row>
    <row r="3462" spans="1:3" x14ac:dyDescent="0.45">
      <c r="A3462" s="11">
        <v>51.33</v>
      </c>
      <c r="B3462" s="14">
        <v>2.7622599999999999E-3</v>
      </c>
      <c r="C3462" s="15">
        <v>2.0466600000000001E-3</v>
      </c>
    </row>
    <row r="3463" spans="1:3" x14ac:dyDescent="0.45">
      <c r="A3463" s="11">
        <v>51.34</v>
      </c>
      <c r="B3463" s="14">
        <v>2.7654799999999998E-3</v>
      </c>
      <c r="C3463" s="15">
        <v>2.0486800000000002E-3</v>
      </c>
    </row>
    <row r="3464" spans="1:3" x14ac:dyDescent="0.45">
      <c r="A3464" s="11">
        <v>51.35</v>
      </c>
      <c r="B3464" s="14">
        <v>2.7686999999999998E-3</v>
      </c>
      <c r="C3464" s="15">
        <v>2.0506999999999999E-3</v>
      </c>
    </row>
    <row r="3465" spans="1:3" x14ac:dyDescent="0.45">
      <c r="A3465" s="11">
        <v>51.36</v>
      </c>
      <c r="B3465" s="14">
        <v>2.7719200000000002E-3</v>
      </c>
      <c r="C3465" s="15">
        <v>2.0527200000000001E-3</v>
      </c>
    </row>
    <row r="3466" spans="1:3" x14ac:dyDescent="0.45">
      <c r="A3466" s="11">
        <v>51.37</v>
      </c>
      <c r="B3466" s="14">
        <v>2.7751400000000002E-3</v>
      </c>
      <c r="C3466" s="15">
        <v>2.0547400000000002E-3</v>
      </c>
    </row>
    <row r="3467" spans="1:3" x14ac:dyDescent="0.45">
      <c r="A3467" s="11">
        <v>51.38</v>
      </c>
      <c r="B3467" s="14">
        <v>2.7783600000000001E-3</v>
      </c>
      <c r="C3467" s="15">
        <v>2.0567599999999999E-3</v>
      </c>
    </row>
    <row r="3468" spans="1:3" x14ac:dyDescent="0.45">
      <c r="A3468" s="11">
        <v>51.39</v>
      </c>
      <c r="B3468" s="14">
        <v>2.7815800000000001E-3</v>
      </c>
      <c r="C3468" s="15">
        <v>2.0587800000000001E-3</v>
      </c>
    </row>
    <row r="3469" spans="1:3" x14ac:dyDescent="0.45">
      <c r="A3469" s="11">
        <v>51.4</v>
      </c>
      <c r="B3469" s="14">
        <v>2.7848E-3</v>
      </c>
      <c r="C3469" s="15">
        <v>2.0607999999999998E-3</v>
      </c>
    </row>
    <row r="3470" spans="1:3" x14ac:dyDescent="0.45">
      <c r="A3470" s="11">
        <v>51.41</v>
      </c>
      <c r="B3470" s="14">
        <v>2.78802E-3</v>
      </c>
      <c r="C3470" s="15">
        <v>2.0628199999999999E-3</v>
      </c>
    </row>
    <row r="3471" spans="1:3" x14ac:dyDescent="0.45">
      <c r="A3471" s="11">
        <v>51.42</v>
      </c>
      <c r="B3471" s="14">
        <v>2.79124E-3</v>
      </c>
      <c r="C3471" s="15">
        <v>2.0648400000000001E-3</v>
      </c>
    </row>
    <row r="3472" spans="1:3" x14ac:dyDescent="0.45">
      <c r="A3472" s="11">
        <v>51.43</v>
      </c>
      <c r="B3472" s="14">
        <v>2.7944599999999999E-3</v>
      </c>
      <c r="C3472" s="15">
        <v>2.0668599999999998E-3</v>
      </c>
    </row>
    <row r="3473" spans="1:3" x14ac:dyDescent="0.45">
      <c r="A3473" s="11">
        <v>51.44</v>
      </c>
      <c r="B3473" s="14">
        <v>2.7976799999999999E-3</v>
      </c>
      <c r="C3473" s="15">
        <v>2.0688799999999999E-3</v>
      </c>
    </row>
    <row r="3474" spans="1:3" x14ac:dyDescent="0.45">
      <c r="A3474" s="11">
        <v>51.45</v>
      </c>
      <c r="B3474" s="14">
        <v>2.8008999999999998E-3</v>
      </c>
      <c r="C3474" s="15">
        <v>2.0709000000000001E-3</v>
      </c>
    </row>
    <row r="3475" spans="1:3" x14ac:dyDescent="0.45">
      <c r="A3475" s="11">
        <v>51.46</v>
      </c>
      <c r="B3475" s="14">
        <v>2.8041199999999998E-3</v>
      </c>
      <c r="C3475" s="15">
        <v>2.0729199999999998E-3</v>
      </c>
    </row>
    <row r="3476" spans="1:3" x14ac:dyDescent="0.45">
      <c r="A3476" s="11">
        <v>51.47</v>
      </c>
      <c r="B3476" s="14">
        <v>2.8073400000000002E-3</v>
      </c>
      <c r="C3476" s="15">
        <v>2.0749399999999999E-3</v>
      </c>
    </row>
    <row r="3477" spans="1:3" x14ac:dyDescent="0.45">
      <c r="A3477" s="11">
        <v>51.48</v>
      </c>
      <c r="B3477" s="14">
        <v>2.8105600000000001E-3</v>
      </c>
      <c r="C3477" s="15">
        <v>2.0769600000000001E-3</v>
      </c>
    </row>
    <row r="3478" spans="1:3" x14ac:dyDescent="0.45">
      <c r="A3478" s="11">
        <v>51.49</v>
      </c>
      <c r="B3478" s="14">
        <v>2.8137800000000001E-3</v>
      </c>
      <c r="C3478" s="15">
        <v>2.0789799999999998E-3</v>
      </c>
    </row>
    <row r="3479" spans="1:3" x14ac:dyDescent="0.45">
      <c r="A3479" s="11">
        <v>51.5</v>
      </c>
      <c r="B3479" s="14">
        <v>2.8170000000000001E-3</v>
      </c>
      <c r="C3479" s="15">
        <v>2.081E-3</v>
      </c>
    </row>
    <row r="3480" spans="1:3" x14ac:dyDescent="0.45">
      <c r="A3480" s="11">
        <v>51.51</v>
      </c>
      <c r="B3480" s="14">
        <v>2.82022E-3</v>
      </c>
      <c r="C3480" s="15">
        <v>2.0830200000000001E-3</v>
      </c>
    </row>
    <row r="3481" spans="1:3" x14ac:dyDescent="0.45">
      <c r="A3481" s="11">
        <v>51.52</v>
      </c>
      <c r="B3481" s="14">
        <v>2.82344E-3</v>
      </c>
      <c r="C3481" s="15">
        <v>2.0850399999999998E-3</v>
      </c>
    </row>
    <row r="3482" spans="1:3" x14ac:dyDescent="0.45">
      <c r="A3482" s="11">
        <v>51.53</v>
      </c>
      <c r="B3482" s="14">
        <v>2.8266599999999999E-3</v>
      </c>
      <c r="C3482" s="15">
        <v>2.08706E-3</v>
      </c>
    </row>
    <row r="3483" spans="1:3" x14ac:dyDescent="0.45">
      <c r="A3483" s="11">
        <v>51.54</v>
      </c>
      <c r="B3483" s="14">
        <v>2.8298799999999999E-3</v>
      </c>
      <c r="C3483" s="15">
        <v>2.0890800000000001E-3</v>
      </c>
    </row>
    <row r="3484" spans="1:3" x14ac:dyDescent="0.45">
      <c r="A3484" s="11">
        <v>51.55</v>
      </c>
      <c r="B3484" s="14">
        <v>2.8330999999999999E-3</v>
      </c>
      <c r="C3484" s="15">
        <v>2.0910999999999998E-3</v>
      </c>
    </row>
    <row r="3485" spans="1:3" x14ac:dyDescent="0.45">
      <c r="A3485" s="11">
        <v>51.56</v>
      </c>
      <c r="B3485" s="14">
        <v>2.8363199999999998E-3</v>
      </c>
      <c r="C3485" s="15">
        <v>2.09312E-3</v>
      </c>
    </row>
    <row r="3486" spans="1:3" x14ac:dyDescent="0.45">
      <c r="A3486" s="11">
        <v>51.57</v>
      </c>
      <c r="B3486" s="14">
        <v>2.8395400000000002E-3</v>
      </c>
      <c r="C3486" s="15">
        <v>2.0951400000000001E-3</v>
      </c>
    </row>
    <row r="3487" spans="1:3" x14ac:dyDescent="0.45">
      <c r="A3487" s="11">
        <v>51.58</v>
      </c>
      <c r="B3487" s="14">
        <v>2.8427600000000002E-3</v>
      </c>
      <c r="C3487" s="15">
        <v>2.0971599999999998E-3</v>
      </c>
    </row>
    <row r="3488" spans="1:3" x14ac:dyDescent="0.45">
      <c r="A3488" s="11">
        <v>51.59</v>
      </c>
      <c r="B3488" s="14">
        <v>2.8459800000000001E-3</v>
      </c>
      <c r="C3488" s="15">
        <v>2.09918E-3</v>
      </c>
    </row>
    <row r="3489" spans="1:3" x14ac:dyDescent="0.45">
      <c r="A3489" s="11">
        <v>51.6</v>
      </c>
      <c r="B3489" s="14">
        <v>2.8492000000000001E-3</v>
      </c>
      <c r="C3489" s="15">
        <v>2.1012000000000001E-3</v>
      </c>
    </row>
    <row r="3490" spans="1:3" x14ac:dyDescent="0.45">
      <c r="A3490" s="11">
        <v>51.61</v>
      </c>
      <c r="B3490" s="14">
        <v>2.85242E-3</v>
      </c>
      <c r="C3490" s="15">
        <v>2.1032199999999998E-3</v>
      </c>
    </row>
    <row r="3491" spans="1:3" x14ac:dyDescent="0.45">
      <c r="A3491" s="11">
        <v>51.62</v>
      </c>
      <c r="B3491" s="14">
        <v>2.85564E-3</v>
      </c>
      <c r="C3491" s="15">
        <v>2.10524E-3</v>
      </c>
    </row>
    <row r="3492" spans="1:3" x14ac:dyDescent="0.45">
      <c r="A3492" s="11">
        <v>51.63</v>
      </c>
      <c r="B3492" s="14">
        <v>2.85886E-3</v>
      </c>
      <c r="C3492" s="15">
        <v>2.1072600000000001E-3</v>
      </c>
    </row>
    <row r="3493" spans="1:3" x14ac:dyDescent="0.45">
      <c r="A3493" s="11">
        <v>51.64</v>
      </c>
      <c r="B3493" s="14">
        <v>2.8620799999999999E-3</v>
      </c>
      <c r="C3493" s="15">
        <v>2.1092799999999998E-3</v>
      </c>
    </row>
    <row r="3494" spans="1:3" x14ac:dyDescent="0.45">
      <c r="A3494" s="11">
        <v>51.65</v>
      </c>
      <c r="B3494" s="14">
        <v>2.8652999999999999E-3</v>
      </c>
      <c r="C3494" s="15">
        <v>2.1113E-3</v>
      </c>
    </row>
    <row r="3495" spans="1:3" x14ac:dyDescent="0.45">
      <c r="A3495" s="11">
        <v>51.66</v>
      </c>
      <c r="B3495" s="14">
        <v>2.8685199999999998E-3</v>
      </c>
      <c r="C3495" s="15">
        <v>2.1133200000000001E-3</v>
      </c>
    </row>
    <row r="3496" spans="1:3" x14ac:dyDescent="0.45">
      <c r="A3496" s="11">
        <v>51.67</v>
      </c>
      <c r="B3496" s="14">
        <v>2.8717399999999998E-3</v>
      </c>
      <c r="C3496" s="15">
        <v>2.1153399999999998E-3</v>
      </c>
    </row>
    <row r="3497" spans="1:3" x14ac:dyDescent="0.45">
      <c r="A3497" s="11">
        <v>51.68</v>
      </c>
      <c r="B3497" s="14">
        <v>2.8749600000000002E-3</v>
      </c>
      <c r="C3497" s="15">
        <v>2.11736E-3</v>
      </c>
    </row>
    <row r="3498" spans="1:3" x14ac:dyDescent="0.45">
      <c r="A3498" s="11">
        <v>51.69</v>
      </c>
      <c r="B3498" s="14">
        <v>2.8781800000000001E-3</v>
      </c>
      <c r="C3498" s="15">
        <v>2.1193800000000001E-3</v>
      </c>
    </row>
    <row r="3499" spans="1:3" x14ac:dyDescent="0.45">
      <c r="A3499" s="11">
        <v>51.7</v>
      </c>
      <c r="B3499" s="14">
        <v>2.8814000000000001E-3</v>
      </c>
      <c r="C3499" s="15">
        <v>2.1213999999999998E-3</v>
      </c>
    </row>
    <row r="3500" spans="1:3" x14ac:dyDescent="0.45">
      <c r="A3500" s="11">
        <v>51.71</v>
      </c>
      <c r="B3500" s="14">
        <v>2.8846200000000001E-3</v>
      </c>
      <c r="C3500" s="15">
        <v>2.12342E-3</v>
      </c>
    </row>
    <row r="3501" spans="1:3" x14ac:dyDescent="0.45">
      <c r="A3501" s="11">
        <v>51.72</v>
      </c>
      <c r="B3501" s="14">
        <v>2.88784E-3</v>
      </c>
      <c r="C3501" s="15">
        <v>2.1254400000000001E-3</v>
      </c>
    </row>
    <row r="3502" spans="1:3" x14ac:dyDescent="0.45">
      <c r="A3502" s="11">
        <v>51.73</v>
      </c>
      <c r="B3502" s="14">
        <v>2.89106E-3</v>
      </c>
      <c r="C3502" s="15">
        <v>2.1274599999999999E-3</v>
      </c>
    </row>
    <row r="3503" spans="1:3" x14ac:dyDescent="0.45">
      <c r="A3503" s="11">
        <v>51.74</v>
      </c>
      <c r="B3503" s="14">
        <v>2.8942799999999999E-3</v>
      </c>
      <c r="C3503" s="15">
        <v>2.12948E-3</v>
      </c>
    </row>
    <row r="3504" spans="1:3" x14ac:dyDescent="0.45">
      <c r="A3504" s="11">
        <v>51.75</v>
      </c>
      <c r="B3504" s="14">
        <v>2.8974999999999999E-3</v>
      </c>
      <c r="C3504" s="15">
        <v>2.1315000000000001E-3</v>
      </c>
    </row>
    <row r="3505" spans="1:3" x14ac:dyDescent="0.45">
      <c r="A3505" s="11">
        <v>51.76</v>
      </c>
      <c r="B3505" s="14">
        <v>2.9007199999999999E-3</v>
      </c>
      <c r="C3505" s="15">
        <v>2.1335199999999999E-3</v>
      </c>
    </row>
    <row r="3506" spans="1:3" x14ac:dyDescent="0.45">
      <c r="A3506" s="11">
        <v>51.77</v>
      </c>
      <c r="B3506" s="14">
        <v>2.9039399999999998E-3</v>
      </c>
      <c r="C3506" s="15">
        <v>2.13554E-3</v>
      </c>
    </row>
    <row r="3507" spans="1:3" x14ac:dyDescent="0.45">
      <c r="A3507" s="11">
        <v>51.78</v>
      </c>
      <c r="B3507" s="14">
        <v>2.9071600000000002E-3</v>
      </c>
      <c r="C3507" s="15">
        <v>2.1375600000000002E-3</v>
      </c>
    </row>
    <row r="3508" spans="1:3" x14ac:dyDescent="0.45">
      <c r="A3508" s="11">
        <v>51.79</v>
      </c>
      <c r="B3508" s="14">
        <v>2.9103800000000002E-3</v>
      </c>
      <c r="C3508" s="15">
        <v>2.1395799999999999E-3</v>
      </c>
    </row>
    <row r="3509" spans="1:3" x14ac:dyDescent="0.45">
      <c r="A3509" s="11">
        <v>51.8</v>
      </c>
      <c r="B3509" s="14">
        <v>2.9136000000000001E-3</v>
      </c>
      <c r="C3509" s="15">
        <v>2.1416E-3</v>
      </c>
    </row>
    <row r="3510" spans="1:3" x14ac:dyDescent="0.45">
      <c r="A3510" s="11">
        <v>51.81</v>
      </c>
      <c r="B3510" s="14">
        <v>2.9168200000000001E-3</v>
      </c>
      <c r="C3510" s="15">
        <v>2.1436200000000002E-3</v>
      </c>
    </row>
    <row r="3511" spans="1:3" x14ac:dyDescent="0.45">
      <c r="A3511" s="11">
        <v>51.82</v>
      </c>
      <c r="B3511" s="14">
        <v>2.92004E-3</v>
      </c>
      <c r="C3511" s="15">
        <v>2.1456399999999999E-3</v>
      </c>
    </row>
    <row r="3512" spans="1:3" x14ac:dyDescent="0.45">
      <c r="A3512" s="11">
        <v>51.83</v>
      </c>
      <c r="B3512" s="14">
        <v>2.92326E-3</v>
      </c>
      <c r="C3512" s="15">
        <v>2.14766E-3</v>
      </c>
    </row>
    <row r="3513" spans="1:3" x14ac:dyDescent="0.45">
      <c r="A3513" s="11">
        <v>51.84</v>
      </c>
      <c r="B3513" s="14">
        <v>2.92648E-3</v>
      </c>
      <c r="C3513" s="15">
        <v>2.1496800000000002E-3</v>
      </c>
    </row>
    <row r="3514" spans="1:3" x14ac:dyDescent="0.45">
      <c r="A3514" s="11">
        <v>51.85</v>
      </c>
      <c r="B3514" s="14">
        <v>2.9296999999999999E-3</v>
      </c>
      <c r="C3514" s="15">
        <v>2.1516999999999999E-3</v>
      </c>
    </row>
    <row r="3515" spans="1:3" x14ac:dyDescent="0.45">
      <c r="A3515" s="11">
        <v>51.86</v>
      </c>
      <c r="B3515" s="14">
        <v>2.9329199999999999E-3</v>
      </c>
      <c r="C3515" s="15">
        <v>2.15372E-3</v>
      </c>
    </row>
    <row r="3516" spans="1:3" x14ac:dyDescent="0.45">
      <c r="A3516" s="11">
        <v>51.87</v>
      </c>
      <c r="B3516" s="14">
        <v>2.9361399999999998E-3</v>
      </c>
      <c r="C3516" s="15">
        <v>2.1557400000000002E-3</v>
      </c>
    </row>
    <row r="3517" spans="1:3" x14ac:dyDescent="0.45">
      <c r="A3517" s="11">
        <v>51.88</v>
      </c>
      <c r="B3517" s="14">
        <v>2.9393599999999998E-3</v>
      </c>
      <c r="C3517" s="15">
        <v>2.1577599999999999E-3</v>
      </c>
    </row>
    <row r="3518" spans="1:3" x14ac:dyDescent="0.45">
      <c r="A3518" s="11">
        <v>51.89</v>
      </c>
      <c r="B3518" s="14">
        <v>2.9425800000000002E-3</v>
      </c>
      <c r="C3518" s="15">
        <v>2.15978E-3</v>
      </c>
    </row>
    <row r="3519" spans="1:3" x14ac:dyDescent="0.45">
      <c r="A3519" s="11">
        <v>51.9</v>
      </c>
      <c r="B3519" s="14">
        <v>2.9458000000000002E-3</v>
      </c>
      <c r="C3519" s="15">
        <v>2.1618000000000002E-3</v>
      </c>
    </row>
    <row r="3520" spans="1:3" x14ac:dyDescent="0.45">
      <c r="A3520" s="11">
        <v>51.91</v>
      </c>
      <c r="B3520" s="14">
        <v>2.9490200000000001E-3</v>
      </c>
      <c r="C3520" s="15">
        <v>2.1638199999999999E-3</v>
      </c>
    </row>
    <row r="3521" spans="1:3" x14ac:dyDescent="0.45">
      <c r="A3521" s="11">
        <v>51.92</v>
      </c>
      <c r="B3521" s="14">
        <v>2.9522400000000001E-3</v>
      </c>
      <c r="C3521" s="15">
        <v>2.16584E-3</v>
      </c>
    </row>
    <row r="3522" spans="1:3" x14ac:dyDescent="0.45">
      <c r="A3522" s="11">
        <v>51.93</v>
      </c>
      <c r="B3522" s="14">
        <v>2.95546E-3</v>
      </c>
      <c r="C3522" s="15">
        <v>2.1678600000000002E-3</v>
      </c>
    </row>
    <row r="3523" spans="1:3" x14ac:dyDescent="0.45">
      <c r="A3523" s="11">
        <v>51.94</v>
      </c>
      <c r="B3523" s="14">
        <v>2.95868E-3</v>
      </c>
      <c r="C3523" s="15">
        <v>2.1698799999999999E-3</v>
      </c>
    </row>
    <row r="3524" spans="1:3" x14ac:dyDescent="0.45">
      <c r="A3524" s="11">
        <v>51.95</v>
      </c>
      <c r="B3524" s="14">
        <v>2.9618999999999999E-3</v>
      </c>
      <c r="C3524" s="15">
        <v>2.1719E-3</v>
      </c>
    </row>
    <row r="3525" spans="1:3" x14ac:dyDescent="0.45">
      <c r="A3525" s="11">
        <v>51.96</v>
      </c>
      <c r="B3525" s="14">
        <v>2.9651199999999999E-3</v>
      </c>
      <c r="C3525" s="15">
        <v>2.1739200000000002E-3</v>
      </c>
    </row>
    <row r="3526" spans="1:3" x14ac:dyDescent="0.45">
      <c r="A3526" s="11">
        <v>51.97</v>
      </c>
      <c r="B3526" s="14">
        <v>2.9683399999999999E-3</v>
      </c>
      <c r="C3526" s="15">
        <v>2.1759399999999999E-3</v>
      </c>
    </row>
    <row r="3527" spans="1:3" x14ac:dyDescent="0.45">
      <c r="A3527" s="11">
        <v>51.98</v>
      </c>
      <c r="B3527" s="14">
        <v>2.9715599999999998E-3</v>
      </c>
      <c r="C3527" s="15">
        <v>2.1779600000000001E-3</v>
      </c>
    </row>
    <row r="3528" spans="1:3" x14ac:dyDescent="0.45">
      <c r="A3528" s="11">
        <v>51.99</v>
      </c>
      <c r="B3528" s="14">
        <v>2.9747799999999998E-3</v>
      </c>
      <c r="C3528" s="15">
        <v>2.1799800000000002E-3</v>
      </c>
    </row>
    <row r="3529" spans="1:3" x14ac:dyDescent="0.45">
      <c r="A3529" s="11">
        <v>52</v>
      </c>
      <c r="B3529" s="14">
        <v>2.9780000000000002E-3</v>
      </c>
      <c r="C3529" s="15">
        <v>2.1819999999999999E-3</v>
      </c>
    </row>
    <row r="3530" spans="1:3" x14ac:dyDescent="0.45">
      <c r="A3530" s="11">
        <v>52.01</v>
      </c>
      <c r="B3530" s="14">
        <v>2.9816500000000002E-3</v>
      </c>
      <c r="C3530" s="15">
        <v>2.1842400000000001E-3</v>
      </c>
    </row>
    <row r="3531" spans="1:3" x14ac:dyDescent="0.45">
      <c r="A3531" s="11">
        <v>52.02</v>
      </c>
      <c r="B3531" s="14">
        <v>2.9853000000000002E-3</v>
      </c>
      <c r="C3531" s="15">
        <v>2.1864800000000002E-3</v>
      </c>
    </row>
    <row r="3532" spans="1:3" x14ac:dyDescent="0.45">
      <c r="A3532" s="11">
        <v>52.03</v>
      </c>
      <c r="B3532" s="14">
        <v>2.9889500000000002E-3</v>
      </c>
      <c r="C3532" s="15">
        <v>2.1887199999999999E-3</v>
      </c>
    </row>
    <row r="3533" spans="1:3" x14ac:dyDescent="0.45">
      <c r="A3533" s="11">
        <v>52.04</v>
      </c>
      <c r="B3533" s="14">
        <v>2.9926000000000002E-3</v>
      </c>
      <c r="C3533" s="15">
        <v>2.19096E-3</v>
      </c>
    </row>
    <row r="3534" spans="1:3" x14ac:dyDescent="0.45">
      <c r="A3534" s="11">
        <v>52.05</v>
      </c>
      <c r="B3534" s="14">
        <v>2.9962500000000002E-3</v>
      </c>
      <c r="C3534" s="15">
        <v>2.1932000000000002E-3</v>
      </c>
    </row>
    <row r="3535" spans="1:3" x14ac:dyDescent="0.45">
      <c r="A3535" s="11">
        <v>52.06</v>
      </c>
      <c r="B3535" s="14">
        <v>2.9998999999999998E-3</v>
      </c>
      <c r="C3535" s="15">
        <v>2.1954399999999999E-3</v>
      </c>
    </row>
    <row r="3536" spans="1:3" x14ac:dyDescent="0.45">
      <c r="A3536" s="11">
        <v>52.07</v>
      </c>
      <c r="B3536" s="14">
        <v>3.0035499999999998E-3</v>
      </c>
      <c r="C3536" s="15">
        <v>2.19768E-3</v>
      </c>
    </row>
    <row r="3537" spans="1:3" x14ac:dyDescent="0.45">
      <c r="A3537" s="11">
        <v>52.08</v>
      </c>
      <c r="B3537" s="14">
        <v>3.0071999999999998E-3</v>
      </c>
      <c r="C3537" s="15">
        <v>2.1999200000000002E-3</v>
      </c>
    </row>
    <row r="3538" spans="1:3" x14ac:dyDescent="0.45">
      <c r="A3538" s="11">
        <v>52.09</v>
      </c>
      <c r="B3538" s="14">
        <v>3.0108499999999998E-3</v>
      </c>
      <c r="C3538" s="15">
        <v>2.2021599999999999E-3</v>
      </c>
    </row>
    <row r="3539" spans="1:3" x14ac:dyDescent="0.45">
      <c r="A3539" s="11">
        <v>52.1</v>
      </c>
      <c r="B3539" s="14">
        <v>3.0144999999999998E-3</v>
      </c>
      <c r="C3539" s="15">
        <v>2.2044E-3</v>
      </c>
    </row>
    <row r="3540" spans="1:3" x14ac:dyDescent="0.45">
      <c r="A3540" s="11">
        <v>52.11</v>
      </c>
      <c r="B3540" s="14">
        <v>3.0181499999999998E-3</v>
      </c>
      <c r="C3540" s="15">
        <v>2.2066400000000002E-3</v>
      </c>
    </row>
    <row r="3541" spans="1:3" x14ac:dyDescent="0.45">
      <c r="A3541" s="11">
        <v>52.12</v>
      </c>
      <c r="B3541" s="14">
        <v>3.0217999999999998E-3</v>
      </c>
      <c r="C3541" s="15">
        <v>2.2088799999999999E-3</v>
      </c>
    </row>
    <row r="3542" spans="1:3" x14ac:dyDescent="0.45">
      <c r="A3542" s="11">
        <v>52.13</v>
      </c>
      <c r="B3542" s="14">
        <v>3.0254499999999998E-3</v>
      </c>
      <c r="C3542" s="15">
        <v>2.21112E-3</v>
      </c>
    </row>
    <row r="3543" spans="1:3" x14ac:dyDescent="0.45">
      <c r="A3543" s="11">
        <v>52.14</v>
      </c>
      <c r="B3543" s="14">
        <v>3.0290999999999998E-3</v>
      </c>
      <c r="C3543" s="15">
        <v>2.2133600000000002E-3</v>
      </c>
    </row>
    <row r="3544" spans="1:3" x14ac:dyDescent="0.45">
      <c r="A3544" s="11">
        <v>52.15</v>
      </c>
      <c r="B3544" s="14">
        <v>3.0327499999999999E-3</v>
      </c>
      <c r="C3544" s="15">
        <v>2.2155999999999999E-3</v>
      </c>
    </row>
    <row r="3545" spans="1:3" x14ac:dyDescent="0.45">
      <c r="A3545" s="11">
        <v>52.16</v>
      </c>
      <c r="B3545" s="14">
        <v>3.0363999999999999E-3</v>
      </c>
      <c r="C3545" s="15">
        <v>2.21784E-3</v>
      </c>
    </row>
    <row r="3546" spans="1:3" x14ac:dyDescent="0.45">
      <c r="A3546" s="11">
        <v>52.17</v>
      </c>
      <c r="B3546" s="14">
        <v>3.0400499999999999E-3</v>
      </c>
      <c r="C3546" s="15">
        <v>2.2200800000000001E-3</v>
      </c>
    </row>
    <row r="3547" spans="1:3" x14ac:dyDescent="0.45">
      <c r="A3547" s="11">
        <v>52.18</v>
      </c>
      <c r="B3547" s="14">
        <v>3.0436999999999999E-3</v>
      </c>
      <c r="C3547" s="15">
        <v>2.2223199999999999E-3</v>
      </c>
    </row>
    <row r="3548" spans="1:3" x14ac:dyDescent="0.45">
      <c r="A3548" s="11">
        <v>52.19</v>
      </c>
      <c r="B3548" s="14">
        <v>3.0473499999999999E-3</v>
      </c>
      <c r="C3548" s="15">
        <v>2.22456E-3</v>
      </c>
    </row>
    <row r="3549" spans="1:3" x14ac:dyDescent="0.45">
      <c r="A3549" s="11">
        <v>52.2</v>
      </c>
      <c r="B3549" s="14">
        <v>3.0509999999999999E-3</v>
      </c>
      <c r="C3549" s="15">
        <v>2.2268000000000001E-3</v>
      </c>
    </row>
    <row r="3550" spans="1:3" x14ac:dyDescent="0.45">
      <c r="A3550" s="11">
        <v>52.21</v>
      </c>
      <c r="B3550" s="14">
        <v>3.0546499999999999E-3</v>
      </c>
      <c r="C3550" s="15">
        <v>2.2290399999999998E-3</v>
      </c>
    </row>
    <row r="3551" spans="1:3" x14ac:dyDescent="0.45">
      <c r="A3551" s="11">
        <v>52.22</v>
      </c>
      <c r="B3551" s="14">
        <v>3.0582999999999999E-3</v>
      </c>
      <c r="C3551" s="15">
        <v>2.23128E-3</v>
      </c>
    </row>
    <row r="3552" spans="1:3" x14ac:dyDescent="0.45">
      <c r="A3552" s="11">
        <v>52.23</v>
      </c>
      <c r="B3552" s="14">
        <v>3.0619499999999999E-3</v>
      </c>
      <c r="C3552" s="15">
        <v>2.2335200000000001E-3</v>
      </c>
    </row>
    <row r="3553" spans="1:3" x14ac:dyDescent="0.45">
      <c r="A3553" s="11">
        <v>52.24</v>
      </c>
      <c r="B3553" s="14">
        <v>3.0655999999999999E-3</v>
      </c>
      <c r="C3553" s="15">
        <v>2.2357599999999998E-3</v>
      </c>
    </row>
    <row r="3554" spans="1:3" x14ac:dyDescent="0.45">
      <c r="A3554" s="11">
        <v>52.25</v>
      </c>
      <c r="B3554" s="14">
        <v>3.0692499999999999E-3</v>
      </c>
      <c r="C3554" s="15">
        <v>2.238E-3</v>
      </c>
    </row>
    <row r="3555" spans="1:3" x14ac:dyDescent="0.45">
      <c r="A3555" s="11">
        <v>52.26</v>
      </c>
      <c r="B3555" s="14">
        <v>3.0728999999999999E-3</v>
      </c>
      <c r="C3555" s="15">
        <v>2.2402400000000001E-3</v>
      </c>
    </row>
    <row r="3556" spans="1:3" x14ac:dyDescent="0.45">
      <c r="A3556" s="11">
        <v>52.27</v>
      </c>
      <c r="B3556" s="14">
        <v>3.0765499999999999E-3</v>
      </c>
      <c r="C3556" s="15">
        <v>2.2424799999999998E-3</v>
      </c>
    </row>
    <row r="3557" spans="1:3" x14ac:dyDescent="0.45">
      <c r="A3557" s="11">
        <v>52.28</v>
      </c>
      <c r="B3557" s="14">
        <v>3.0802E-3</v>
      </c>
      <c r="C3557" s="15">
        <v>2.24472E-3</v>
      </c>
    </row>
    <row r="3558" spans="1:3" x14ac:dyDescent="0.45">
      <c r="A3558" s="11">
        <v>52.29</v>
      </c>
      <c r="B3558" s="14">
        <v>3.08385E-3</v>
      </c>
      <c r="C3558" s="15">
        <v>2.2469600000000001E-3</v>
      </c>
    </row>
    <row r="3559" spans="1:3" x14ac:dyDescent="0.45">
      <c r="A3559" s="11">
        <v>52.3</v>
      </c>
      <c r="B3559" s="14">
        <v>3.0875E-3</v>
      </c>
      <c r="C3559" s="15">
        <v>2.2491999999999998E-3</v>
      </c>
    </row>
    <row r="3560" spans="1:3" x14ac:dyDescent="0.45">
      <c r="A3560" s="11">
        <v>52.31</v>
      </c>
      <c r="B3560" s="14">
        <v>3.09115E-3</v>
      </c>
      <c r="C3560" s="15">
        <v>2.25144E-3</v>
      </c>
    </row>
    <row r="3561" spans="1:3" x14ac:dyDescent="0.45">
      <c r="A3561" s="11">
        <v>52.32</v>
      </c>
      <c r="B3561" s="14">
        <v>3.0948E-3</v>
      </c>
      <c r="C3561" s="15">
        <v>2.2536800000000001E-3</v>
      </c>
    </row>
    <row r="3562" spans="1:3" x14ac:dyDescent="0.45">
      <c r="A3562" s="11">
        <v>52.33</v>
      </c>
      <c r="B3562" s="14">
        <v>3.09845E-3</v>
      </c>
      <c r="C3562" s="15">
        <v>2.2559199999999998E-3</v>
      </c>
    </row>
    <row r="3563" spans="1:3" x14ac:dyDescent="0.45">
      <c r="A3563" s="11">
        <v>52.34</v>
      </c>
      <c r="B3563" s="14">
        <v>3.1021E-3</v>
      </c>
      <c r="C3563" s="15">
        <v>2.2581599999999999E-3</v>
      </c>
    </row>
    <row r="3564" spans="1:3" x14ac:dyDescent="0.45">
      <c r="A3564" s="11">
        <v>52.35</v>
      </c>
      <c r="B3564" s="14">
        <v>3.10575E-3</v>
      </c>
      <c r="C3564" s="15">
        <v>2.2604000000000001E-3</v>
      </c>
    </row>
    <row r="3565" spans="1:3" x14ac:dyDescent="0.45">
      <c r="A3565" s="11">
        <v>52.36</v>
      </c>
      <c r="B3565" s="14">
        <v>3.1094E-3</v>
      </c>
      <c r="C3565" s="15">
        <v>2.2626399999999998E-3</v>
      </c>
    </row>
    <row r="3566" spans="1:3" x14ac:dyDescent="0.45">
      <c r="A3566" s="11">
        <v>52.37</v>
      </c>
      <c r="B3566" s="14">
        <v>3.11305E-3</v>
      </c>
      <c r="C3566" s="15">
        <v>2.2648799999999999E-3</v>
      </c>
    </row>
    <row r="3567" spans="1:3" x14ac:dyDescent="0.45">
      <c r="A3567" s="11">
        <v>52.38</v>
      </c>
      <c r="B3567" s="14">
        <v>3.1167E-3</v>
      </c>
      <c r="C3567" s="15">
        <v>2.2671200000000001E-3</v>
      </c>
    </row>
    <row r="3568" spans="1:3" x14ac:dyDescent="0.45">
      <c r="A3568" s="11">
        <v>52.39</v>
      </c>
      <c r="B3568" s="14">
        <v>3.12035E-3</v>
      </c>
      <c r="C3568" s="15">
        <v>2.2693600000000002E-3</v>
      </c>
    </row>
    <row r="3569" spans="1:3" x14ac:dyDescent="0.45">
      <c r="A3569" s="11">
        <v>52.4</v>
      </c>
      <c r="B3569" s="14">
        <v>3.124E-3</v>
      </c>
      <c r="C3569" s="15">
        <v>2.2715999999999999E-3</v>
      </c>
    </row>
    <row r="3570" spans="1:3" x14ac:dyDescent="0.45">
      <c r="A3570" s="11">
        <v>52.41</v>
      </c>
      <c r="B3570" s="14">
        <v>3.12765E-3</v>
      </c>
      <c r="C3570" s="15">
        <v>2.2738400000000001E-3</v>
      </c>
    </row>
    <row r="3571" spans="1:3" x14ac:dyDescent="0.45">
      <c r="A3571" s="11">
        <v>52.42</v>
      </c>
      <c r="B3571" s="14">
        <v>3.1313000000000001E-3</v>
      </c>
      <c r="C3571" s="15">
        <v>2.2760800000000002E-3</v>
      </c>
    </row>
    <row r="3572" spans="1:3" x14ac:dyDescent="0.45">
      <c r="A3572" s="11">
        <v>52.43</v>
      </c>
      <c r="B3572" s="14">
        <v>3.1349500000000001E-3</v>
      </c>
      <c r="C3572" s="15">
        <v>2.2783199999999999E-3</v>
      </c>
    </row>
    <row r="3573" spans="1:3" x14ac:dyDescent="0.45">
      <c r="A3573" s="11">
        <v>52.44</v>
      </c>
      <c r="B3573" s="14">
        <v>3.1386000000000001E-3</v>
      </c>
      <c r="C3573" s="15">
        <v>2.2805600000000001E-3</v>
      </c>
    </row>
    <row r="3574" spans="1:3" x14ac:dyDescent="0.45">
      <c r="A3574" s="11">
        <v>52.45</v>
      </c>
      <c r="B3574" s="14">
        <v>3.1422500000000001E-3</v>
      </c>
      <c r="C3574" s="15">
        <v>2.2828000000000002E-3</v>
      </c>
    </row>
    <row r="3575" spans="1:3" x14ac:dyDescent="0.45">
      <c r="A3575" s="11">
        <v>52.46</v>
      </c>
      <c r="B3575" s="14">
        <v>3.1459000000000001E-3</v>
      </c>
      <c r="C3575" s="15">
        <v>2.2850399999999999E-3</v>
      </c>
    </row>
    <row r="3576" spans="1:3" x14ac:dyDescent="0.45">
      <c r="A3576" s="11">
        <v>52.47</v>
      </c>
      <c r="B3576" s="14">
        <v>3.1495500000000001E-3</v>
      </c>
      <c r="C3576" s="15">
        <v>2.28728E-3</v>
      </c>
    </row>
    <row r="3577" spans="1:3" x14ac:dyDescent="0.45">
      <c r="A3577" s="11">
        <v>52.48</v>
      </c>
      <c r="B3577" s="14">
        <v>3.1532000000000001E-3</v>
      </c>
      <c r="C3577" s="15">
        <v>2.2895200000000002E-3</v>
      </c>
    </row>
    <row r="3578" spans="1:3" x14ac:dyDescent="0.45">
      <c r="A3578" s="11">
        <v>52.49</v>
      </c>
      <c r="B3578" s="14">
        <v>3.1568500000000001E-3</v>
      </c>
      <c r="C3578" s="15">
        <v>2.2917599999999999E-3</v>
      </c>
    </row>
    <row r="3579" spans="1:3" x14ac:dyDescent="0.45">
      <c r="A3579" s="11">
        <v>52.5</v>
      </c>
      <c r="B3579" s="14">
        <v>3.1605000000000001E-3</v>
      </c>
      <c r="C3579" s="15">
        <v>2.294E-3</v>
      </c>
    </row>
    <row r="3580" spans="1:3" x14ac:dyDescent="0.45">
      <c r="A3580" s="11">
        <v>52.51</v>
      </c>
      <c r="B3580" s="14">
        <v>3.1641500000000001E-3</v>
      </c>
      <c r="C3580" s="15">
        <v>2.2962400000000002E-3</v>
      </c>
    </row>
    <row r="3581" spans="1:3" x14ac:dyDescent="0.45">
      <c r="A3581" s="11">
        <v>52.52</v>
      </c>
      <c r="B3581" s="14">
        <v>3.1678000000000001E-3</v>
      </c>
      <c r="C3581" s="15">
        <v>2.2984799999999999E-3</v>
      </c>
    </row>
    <row r="3582" spans="1:3" x14ac:dyDescent="0.45">
      <c r="A3582" s="11">
        <v>52.53</v>
      </c>
      <c r="B3582" s="14">
        <v>3.1714500000000001E-3</v>
      </c>
      <c r="C3582" s="15">
        <v>2.30072E-3</v>
      </c>
    </row>
    <row r="3583" spans="1:3" x14ac:dyDescent="0.45">
      <c r="A3583" s="11">
        <v>52.54</v>
      </c>
      <c r="B3583" s="14">
        <v>3.1751000000000001E-3</v>
      </c>
      <c r="C3583" s="15">
        <v>2.3029600000000002E-3</v>
      </c>
    </row>
    <row r="3584" spans="1:3" x14ac:dyDescent="0.45">
      <c r="A3584" s="11">
        <v>52.55</v>
      </c>
      <c r="B3584" s="14">
        <v>3.1787500000000002E-3</v>
      </c>
      <c r="C3584" s="15">
        <v>2.3051999999999999E-3</v>
      </c>
    </row>
    <row r="3585" spans="1:3" x14ac:dyDescent="0.45">
      <c r="A3585" s="11">
        <v>52.56</v>
      </c>
      <c r="B3585" s="14">
        <v>3.1824000000000002E-3</v>
      </c>
      <c r="C3585" s="15">
        <v>2.30744E-3</v>
      </c>
    </row>
    <row r="3586" spans="1:3" x14ac:dyDescent="0.45">
      <c r="A3586" s="11">
        <v>52.57</v>
      </c>
      <c r="B3586" s="14">
        <v>3.1860500000000002E-3</v>
      </c>
      <c r="C3586" s="15">
        <v>2.3096800000000002E-3</v>
      </c>
    </row>
    <row r="3587" spans="1:3" x14ac:dyDescent="0.45">
      <c r="A3587" s="11">
        <v>52.58</v>
      </c>
      <c r="B3587" s="14">
        <v>3.1897000000000002E-3</v>
      </c>
      <c r="C3587" s="15">
        <v>2.3119199999999999E-3</v>
      </c>
    </row>
    <row r="3588" spans="1:3" x14ac:dyDescent="0.45">
      <c r="A3588" s="11">
        <v>52.59</v>
      </c>
      <c r="B3588" s="14">
        <v>3.1933500000000002E-3</v>
      </c>
      <c r="C3588" s="15">
        <v>2.31416E-3</v>
      </c>
    </row>
    <row r="3589" spans="1:3" x14ac:dyDescent="0.45">
      <c r="A3589" s="11">
        <v>52.6</v>
      </c>
      <c r="B3589" s="14">
        <v>3.1970000000000002E-3</v>
      </c>
      <c r="C3589" s="15">
        <v>2.3164000000000001E-3</v>
      </c>
    </row>
    <row r="3590" spans="1:3" x14ac:dyDescent="0.45">
      <c r="A3590" s="11">
        <v>52.61</v>
      </c>
      <c r="B3590" s="14">
        <v>3.2006500000000002E-3</v>
      </c>
      <c r="C3590" s="15">
        <v>2.3186399999999999E-3</v>
      </c>
    </row>
    <row r="3591" spans="1:3" x14ac:dyDescent="0.45">
      <c r="A3591" s="11">
        <v>52.62</v>
      </c>
      <c r="B3591" s="14">
        <v>3.2043000000000002E-3</v>
      </c>
      <c r="C3591" s="15">
        <v>2.32088E-3</v>
      </c>
    </row>
    <row r="3592" spans="1:3" x14ac:dyDescent="0.45">
      <c r="A3592" s="11">
        <v>52.63</v>
      </c>
      <c r="B3592" s="14">
        <v>3.2079500000000002E-3</v>
      </c>
      <c r="C3592" s="15">
        <v>2.3231200000000001E-3</v>
      </c>
    </row>
    <row r="3593" spans="1:3" x14ac:dyDescent="0.45">
      <c r="A3593" s="11">
        <v>52.64</v>
      </c>
      <c r="B3593" s="14">
        <v>3.2115999999999998E-3</v>
      </c>
      <c r="C3593" s="15">
        <v>2.3253599999999998E-3</v>
      </c>
    </row>
    <row r="3594" spans="1:3" x14ac:dyDescent="0.45">
      <c r="A3594" s="11">
        <v>52.65</v>
      </c>
      <c r="B3594" s="14">
        <v>3.2152499999999998E-3</v>
      </c>
      <c r="C3594" s="15">
        <v>2.3276E-3</v>
      </c>
    </row>
    <row r="3595" spans="1:3" x14ac:dyDescent="0.45">
      <c r="A3595" s="11">
        <v>52.66</v>
      </c>
      <c r="B3595" s="14">
        <v>3.2188999999999998E-3</v>
      </c>
      <c r="C3595" s="15">
        <v>2.3298400000000001E-3</v>
      </c>
    </row>
    <row r="3596" spans="1:3" x14ac:dyDescent="0.45">
      <c r="A3596" s="11">
        <v>52.67</v>
      </c>
      <c r="B3596" s="14">
        <v>3.2225499999999998E-3</v>
      </c>
      <c r="C3596" s="15">
        <v>2.3320799999999998E-3</v>
      </c>
    </row>
    <row r="3597" spans="1:3" x14ac:dyDescent="0.45">
      <c r="A3597" s="11">
        <v>52.68</v>
      </c>
      <c r="B3597" s="14">
        <v>3.2261999999999998E-3</v>
      </c>
      <c r="C3597" s="15">
        <v>2.33432E-3</v>
      </c>
    </row>
    <row r="3598" spans="1:3" x14ac:dyDescent="0.45">
      <c r="A3598" s="11">
        <v>52.69</v>
      </c>
      <c r="B3598" s="14">
        <v>3.2298499999999998E-3</v>
      </c>
      <c r="C3598" s="15">
        <v>2.3365600000000001E-3</v>
      </c>
    </row>
    <row r="3599" spans="1:3" x14ac:dyDescent="0.45">
      <c r="A3599" s="11">
        <v>52.7</v>
      </c>
      <c r="B3599" s="14">
        <v>3.2334999999999998E-3</v>
      </c>
      <c r="C3599" s="15">
        <v>2.3387999999999998E-3</v>
      </c>
    </row>
    <row r="3600" spans="1:3" x14ac:dyDescent="0.45">
      <c r="A3600" s="11">
        <v>52.71</v>
      </c>
      <c r="B3600" s="14">
        <v>3.2371499999999998E-3</v>
      </c>
      <c r="C3600" s="15">
        <v>2.34104E-3</v>
      </c>
    </row>
    <row r="3601" spans="1:3" x14ac:dyDescent="0.45">
      <c r="A3601" s="11">
        <v>52.72</v>
      </c>
      <c r="B3601" s="14">
        <v>3.2407999999999998E-3</v>
      </c>
      <c r="C3601" s="15">
        <v>2.3432800000000001E-3</v>
      </c>
    </row>
    <row r="3602" spans="1:3" x14ac:dyDescent="0.45">
      <c r="A3602" s="11">
        <v>52.73</v>
      </c>
      <c r="B3602" s="14">
        <v>3.2444499999999999E-3</v>
      </c>
      <c r="C3602" s="15">
        <v>2.3455199999999998E-3</v>
      </c>
    </row>
    <row r="3603" spans="1:3" x14ac:dyDescent="0.45">
      <c r="A3603" s="11">
        <v>52.74</v>
      </c>
      <c r="B3603" s="14">
        <v>3.2480999999999999E-3</v>
      </c>
      <c r="C3603" s="15">
        <v>2.34776E-3</v>
      </c>
    </row>
    <row r="3604" spans="1:3" x14ac:dyDescent="0.45">
      <c r="A3604" s="11">
        <v>52.75</v>
      </c>
      <c r="B3604" s="14">
        <v>3.2517499999999999E-3</v>
      </c>
      <c r="C3604" s="15">
        <v>2.3500000000000001E-3</v>
      </c>
    </row>
    <row r="3605" spans="1:3" x14ac:dyDescent="0.45">
      <c r="A3605" s="11">
        <v>52.76</v>
      </c>
      <c r="B3605" s="14">
        <v>3.2553999999999999E-3</v>
      </c>
      <c r="C3605" s="15">
        <v>2.3522399999999998E-3</v>
      </c>
    </row>
    <row r="3606" spans="1:3" x14ac:dyDescent="0.45">
      <c r="A3606" s="11">
        <v>52.77</v>
      </c>
      <c r="B3606" s="14">
        <v>3.2590499999999999E-3</v>
      </c>
      <c r="C3606" s="15">
        <v>2.3544799999999999E-3</v>
      </c>
    </row>
    <row r="3607" spans="1:3" x14ac:dyDescent="0.45">
      <c r="A3607" s="11">
        <v>52.78</v>
      </c>
      <c r="B3607" s="14">
        <v>3.2626999999999999E-3</v>
      </c>
      <c r="C3607" s="15">
        <v>2.3567200000000001E-3</v>
      </c>
    </row>
    <row r="3608" spans="1:3" x14ac:dyDescent="0.45">
      <c r="A3608" s="11">
        <v>52.79</v>
      </c>
      <c r="B3608" s="14">
        <v>3.2663499999999999E-3</v>
      </c>
      <c r="C3608" s="15">
        <v>2.3589599999999998E-3</v>
      </c>
    </row>
    <row r="3609" spans="1:3" x14ac:dyDescent="0.45">
      <c r="A3609" s="11">
        <v>52.8</v>
      </c>
      <c r="B3609" s="14">
        <v>3.2699999999999999E-3</v>
      </c>
      <c r="C3609" s="15">
        <v>2.3611999999999999E-3</v>
      </c>
    </row>
    <row r="3610" spans="1:3" x14ac:dyDescent="0.45">
      <c r="A3610" s="11">
        <v>52.81</v>
      </c>
      <c r="B3610" s="14">
        <v>3.2736499999999999E-3</v>
      </c>
      <c r="C3610" s="15">
        <v>2.3634400000000001E-3</v>
      </c>
    </row>
    <row r="3611" spans="1:3" x14ac:dyDescent="0.45">
      <c r="A3611" s="11">
        <v>52.82</v>
      </c>
      <c r="B3611" s="14">
        <v>3.2772999999999999E-3</v>
      </c>
      <c r="C3611" s="15">
        <v>2.3656800000000002E-3</v>
      </c>
    </row>
    <row r="3612" spans="1:3" x14ac:dyDescent="0.45">
      <c r="A3612" s="11">
        <v>52.83</v>
      </c>
      <c r="B3612" s="14">
        <v>3.2809499999999999E-3</v>
      </c>
      <c r="C3612" s="15">
        <v>2.3679199999999999E-3</v>
      </c>
    </row>
    <row r="3613" spans="1:3" x14ac:dyDescent="0.45">
      <c r="A3613" s="11">
        <v>52.84</v>
      </c>
      <c r="B3613" s="14">
        <v>3.2845999999999999E-3</v>
      </c>
      <c r="C3613" s="15">
        <v>2.3701600000000001E-3</v>
      </c>
    </row>
    <row r="3614" spans="1:3" x14ac:dyDescent="0.45">
      <c r="A3614" s="11">
        <v>52.85</v>
      </c>
      <c r="B3614" s="14">
        <v>3.2882499999999999E-3</v>
      </c>
      <c r="C3614" s="15">
        <v>2.3724000000000002E-3</v>
      </c>
    </row>
    <row r="3615" spans="1:3" x14ac:dyDescent="0.45">
      <c r="A3615" s="11">
        <v>52.86</v>
      </c>
      <c r="B3615" s="14">
        <v>3.2918999999999999E-3</v>
      </c>
      <c r="C3615" s="15">
        <v>2.3746399999999999E-3</v>
      </c>
    </row>
    <row r="3616" spans="1:3" x14ac:dyDescent="0.45">
      <c r="A3616" s="11">
        <v>52.87</v>
      </c>
      <c r="B3616" s="14">
        <v>3.29555E-3</v>
      </c>
      <c r="C3616" s="15">
        <v>2.3768800000000001E-3</v>
      </c>
    </row>
    <row r="3617" spans="1:3" x14ac:dyDescent="0.45">
      <c r="A3617" s="11">
        <v>52.88</v>
      </c>
      <c r="B3617" s="14">
        <v>3.2992E-3</v>
      </c>
      <c r="C3617" s="15">
        <v>2.3791200000000002E-3</v>
      </c>
    </row>
    <row r="3618" spans="1:3" x14ac:dyDescent="0.45">
      <c r="A3618" s="11">
        <v>52.89</v>
      </c>
      <c r="B3618" s="14">
        <v>3.30285E-3</v>
      </c>
      <c r="C3618" s="15">
        <v>2.3813599999999999E-3</v>
      </c>
    </row>
    <row r="3619" spans="1:3" x14ac:dyDescent="0.45">
      <c r="A3619" s="11">
        <v>52.9</v>
      </c>
      <c r="B3619" s="14">
        <v>3.3065E-3</v>
      </c>
      <c r="C3619" s="15">
        <v>2.3836E-3</v>
      </c>
    </row>
    <row r="3620" spans="1:3" x14ac:dyDescent="0.45">
      <c r="A3620" s="11">
        <v>52.91</v>
      </c>
      <c r="B3620" s="14">
        <v>3.31015E-3</v>
      </c>
      <c r="C3620" s="15">
        <v>2.3858400000000002E-3</v>
      </c>
    </row>
    <row r="3621" spans="1:3" x14ac:dyDescent="0.45">
      <c r="A3621" s="11">
        <v>52.92</v>
      </c>
      <c r="B3621" s="14">
        <v>3.3138E-3</v>
      </c>
      <c r="C3621" s="15">
        <v>2.3880799999999999E-3</v>
      </c>
    </row>
    <row r="3622" spans="1:3" x14ac:dyDescent="0.45">
      <c r="A3622" s="11">
        <v>52.93</v>
      </c>
      <c r="B3622" s="14">
        <v>3.31745E-3</v>
      </c>
      <c r="C3622" s="15">
        <v>2.39032E-3</v>
      </c>
    </row>
    <row r="3623" spans="1:3" x14ac:dyDescent="0.45">
      <c r="A3623" s="11">
        <v>52.94</v>
      </c>
      <c r="B3623" s="14">
        <v>3.3211E-3</v>
      </c>
      <c r="C3623" s="15">
        <v>2.3925600000000002E-3</v>
      </c>
    </row>
    <row r="3624" spans="1:3" x14ac:dyDescent="0.45">
      <c r="A3624" s="11">
        <v>52.95</v>
      </c>
      <c r="B3624" s="14">
        <v>3.32475E-3</v>
      </c>
      <c r="C3624" s="15">
        <v>2.3947999999999999E-3</v>
      </c>
    </row>
    <row r="3625" spans="1:3" x14ac:dyDescent="0.45">
      <c r="A3625" s="11">
        <v>52.96</v>
      </c>
      <c r="B3625" s="14">
        <v>3.3284E-3</v>
      </c>
      <c r="C3625" s="15">
        <v>2.39704E-3</v>
      </c>
    </row>
    <row r="3626" spans="1:3" x14ac:dyDescent="0.45">
      <c r="A3626" s="11">
        <v>52.97</v>
      </c>
      <c r="B3626" s="14">
        <v>3.33205E-3</v>
      </c>
      <c r="C3626" s="15">
        <v>2.3992800000000002E-3</v>
      </c>
    </row>
    <row r="3627" spans="1:3" x14ac:dyDescent="0.45">
      <c r="A3627" s="11">
        <v>52.98</v>
      </c>
      <c r="B3627" s="14">
        <v>3.3357E-3</v>
      </c>
      <c r="C3627" s="15">
        <v>2.4015199999999999E-3</v>
      </c>
    </row>
    <row r="3628" spans="1:3" x14ac:dyDescent="0.45">
      <c r="A3628" s="11">
        <v>52.99</v>
      </c>
      <c r="B3628" s="14">
        <v>3.33935E-3</v>
      </c>
      <c r="C3628" s="15">
        <v>2.40376E-3</v>
      </c>
    </row>
    <row r="3629" spans="1:3" x14ac:dyDescent="0.45">
      <c r="A3629" s="11">
        <v>53</v>
      </c>
      <c r="B3629" s="14">
        <v>3.3430000000000001E-3</v>
      </c>
      <c r="C3629" s="15">
        <v>2.4060000000000002E-3</v>
      </c>
    </row>
    <row r="3630" spans="1:3" x14ac:dyDescent="0.45">
      <c r="A3630" s="11">
        <v>53.01</v>
      </c>
      <c r="B3630" s="14">
        <v>3.3471299999999998E-3</v>
      </c>
      <c r="C3630" s="15">
        <v>2.4084900000000001E-3</v>
      </c>
    </row>
    <row r="3631" spans="1:3" x14ac:dyDescent="0.45">
      <c r="A3631" s="11">
        <v>53.02</v>
      </c>
      <c r="B3631" s="14">
        <v>3.35126E-3</v>
      </c>
      <c r="C3631" s="15">
        <v>2.4109800000000001E-3</v>
      </c>
    </row>
    <row r="3632" spans="1:3" x14ac:dyDescent="0.45">
      <c r="A3632" s="11">
        <v>53.03</v>
      </c>
      <c r="B3632" s="14">
        <v>3.3553900000000002E-3</v>
      </c>
      <c r="C3632" s="15">
        <v>2.41347E-3</v>
      </c>
    </row>
    <row r="3633" spans="1:3" x14ac:dyDescent="0.45">
      <c r="A3633" s="11">
        <v>53.04</v>
      </c>
      <c r="B3633" s="14">
        <v>3.35952E-3</v>
      </c>
      <c r="C3633" s="15">
        <v>2.41596E-3</v>
      </c>
    </row>
    <row r="3634" spans="1:3" x14ac:dyDescent="0.45">
      <c r="A3634" s="11">
        <v>53.05</v>
      </c>
      <c r="B3634" s="14">
        <v>3.3636500000000001E-3</v>
      </c>
      <c r="C3634" s="15">
        <v>2.4184499999999999E-3</v>
      </c>
    </row>
    <row r="3635" spans="1:3" x14ac:dyDescent="0.45">
      <c r="A3635" s="11">
        <v>53.06</v>
      </c>
      <c r="B3635" s="14">
        <v>3.3677799999999999E-3</v>
      </c>
      <c r="C3635" s="15">
        <v>2.4209399999999999E-3</v>
      </c>
    </row>
    <row r="3636" spans="1:3" x14ac:dyDescent="0.45">
      <c r="A3636" s="11">
        <v>53.07</v>
      </c>
      <c r="B3636" s="14">
        <v>3.3719100000000001E-3</v>
      </c>
      <c r="C3636" s="15">
        <v>2.4234299999999999E-3</v>
      </c>
    </row>
    <row r="3637" spans="1:3" x14ac:dyDescent="0.45">
      <c r="A3637" s="11">
        <v>53.08</v>
      </c>
      <c r="B3637" s="14">
        <v>3.3760399999999999E-3</v>
      </c>
      <c r="C3637" s="15">
        <v>2.4259199999999998E-3</v>
      </c>
    </row>
    <row r="3638" spans="1:3" x14ac:dyDescent="0.45">
      <c r="A3638" s="11">
        <v>53.09</v>
      </c>
      <c r="B3638" s="14">
        <v>3.38017E-3</v>
      </c>
      <c r="C3638" s="15">
        <v>2.4284100000000002E-3</v>
      </c>
    </row>
    <row r="3639" spans="1:3" x14ac:dyDescent="0.45">
      <c r="A3639" s="11">
        <v>53.1</v>
      </c>
      <c r="B3639" s="14">
        <v>3.3842999999999998E-3</v>
      </c>
      <c r="C3639" s="15">
        <v>2.4309000000000002E-3</v>
      </c>
    </row>
    <row r="3640" spans="1:3" x14ac:dyDescent="0.45">
      <c r="A3640" s="11">
        <v>53.11</v>
      </c>
      <c r="B3640" s="14">
        <v>3.38843E-3</v>
      </c>
      <c r="C3640" s="15">
        <v>2.4333900000000001E-3</v>
      </c>
    </row>
    <row r="3641" spans="1:3" x14ac:dyDescent="0.45">
      <c r="A3641" s="11">
        <v>53.12</v>
      </c>
      <c r="B3641" s="14">
        <v>3.3925600000000002E-3</v>
      </c>
      <c r="C3641" s="15">
        <v>2.4358800000000001E-3</v>
      </c>
    </row>
    <row r="3642" spans="1:3" x14ac:dyDescent="0.45">
      <c r="A3642" s="11">
        <v>53.13</v>
      </c>
      <c r="B3642" s="14">
        <v>3.39669E-3</v>
      </c>
      <c r="C3642" s="15">
        <v>2.43837E-3</v>
      </c>
    </row>
    <row r="3643" spans="1:3" x14ac:dyDescent="0.45">
      <c r="A3643" s="11">
        <v>53.14</v>
      </c>
      <c r="B3643" s="14">
        <v>3.4008200000000001E-3</v>
      </c>
      <c r="C3643" s="15">
        <v>2.44086E-3</v>
      </c>
    </row>
    <row r="3644" spans="1:3" x14ac:dyDescent="0.45">
      <c r="A3644" s="11">
        <v>53.15</v>
      </c>
      <c r="B3644" s="14">
        <v>3.4049499999999999E-3</v>
      </c>
      <c r="C3644" s="15">
        <v>2.4433499999999999E-3</v>
      </c>
    </row>
    <row r="3645" spans="1:3" x14ac:dyDescent="0.45">
      <c r="A3645" s="11">
        <v>53.16</v>
      </c>
      <c r="B3645" s="14">
        <v>3.4090800000000001E-3</v>
      </c>
      <c r="C3645" s="15">
        <v>2.4458399999999999E-3</v>
      </c>
    </row>
    <row r="3646" spans="1:3" x14ac:dyDescent="0.45">
      <c r="A3646" s="11">
        <v>53.17</v>
      </c>
      <c r="B3646" s="14">
        <v>3.4132099999999999E-3</v>
      </c>
      <c r="C3646" s="15">
        <v>2.4483299999999999E-3</v>
      </c>
    </row>
    <row r="3647" spans="1:3" x14ac:dyDescent="0.45">
      <c r="A3647" s="11">
        <v>53.18</v>
      </c>
      <c r="B3647" s="14">
        <v>3.41734E-3</v>
      </c>
      <c r="C3647" s="15">
        <v>2.4508199999999998E-3</v>
      </c>
    </row>
    <row r="3648" spans="1:3" x14ac:dyDescent="0.45">
      <c r="A3648" s="11">
        <v>53.19</v>
      </c>
      <c r="B3648" s="14">
        <v>3.4214699999999998E-3</v>
      </c>
      <c r="C3648" s="15">
        <v>2.4533100000000002E-3</v>
      </c>
    </row>
    <row r="3649" spans="1:3" x14ac:dyDescent="0.45">
      <c r="A3649" s="11">
        <v>53.2</v>
      </c>
      <c r="B3649" s="14">
        <v>3.4256E-3</v>
      </c>
      <c r="C3649" s="15">
        <v>2.4558000000000002E-3</v>
      </c>
    </row>
    <row r="3650" spans="1:3" x14ac:dyDescent="0.45">
      <c r="A3650" s="11">
        <v>53.21</v>
      </c>
      <c r="B3650" s="14">
        <v>3.4297300000000002E-3</v>
      </c>
      <c r="C3650" s="15">
        <v>2.4582900000000001E-3</v>
      </c>
    </row>
    <row r="3651" spans="1:3" x14ac:dyDescent="0.45">
      <c r="A3651" s="11">
        <v>53.22</v>
      </c>
      <c r="B3651" s="14">
        <v>3.43386E-3</v>
      </c>
      <c r="C3651" s="15">
        <v>2.4607800000000001E-3</v>
      </c>
    </row>
    <row r="3652" spans="1:3" x14ac:dyDescent="0.45">
      <c r="A3652" s="11">
        <v>53.23</v>
      </c>
      <c r="B3652" s="14">
        <v>3.4379900000000001E-3</v>
      </c>
      <c r="C3652" s="15">
        <v>2.46327E-3</v>
      </c>
    </row>
    <row r="3653" spans="1:3" x14ac:dyDescent="0.45">
      <c r="A3653" s="11">
        <v>53.24</v>
      </c>
      <c r="B3653" s="14">
        <v>3.4421199999999999E-3</v>
      </c>
      <c r="C3653" s="15">
        <v>2.46576E-3</v>
      </c>
    </row>
    <row r="3654" spans="1:3" x14ac:dyDescent="0.45">
      <c r="A3654" s="11">
        <v>53.25</v>
      </c>
      <c r="B3654" s="14">
        <v>3.4462500000000001E-3</v>
      </c>
      <c r="C3654" s="15">
        <v>2.46825E-3</v>
      </c>
    </row>
    <row r="3655" spans="1:3" x14ac:dyDescent="0.45">
      <c r="A3655" s="11">
        <v>53.26</v>
      </c>
      <c r="B3655" s="14">
        <v>3.4503799999999999E-3</v>
      </c>
      <c r="C3655" s="15">
        <v>2.4707399999999999E-3</v>
      </c>
    </row>
    <row r="3656" spans="1:3" x14ac:dyDescent="0.45">
      <c r="A3656" s="11">
        <v>53.27</v>
      </c>
      <c r="B3656" s="14">
        <v>3.45451E-3</v>
      </c>
      <c r="C3656" s="15">
        <v>2.4732299999999999E-3</v>
      </c>
    </row>
    <row r="3657" spans="1:3" x14ac:dyDescent="0.45">
      <c r="A3657" s="11">
        <v>53.28</v>
      </c>
      <c r="B3657" s="14">
        <v>3.4586399999999998E-3</v>
      </c>
      <c r="C3657" s="15">
        <v>2.4757199999999998E-3</v>
      </c>
    </row>
    <row r="3658" spans="1:3" x14ac:dyDescent="0.45">
      <c r="A3658" s="11">
        <v>53.29</v>
      </c>
      <c r="B3658" s="14">
        <v>3.46277E-3</v>
      </c>
      <c r="C3658" s="15">
        <v>2.4782099999999998E-3</v>
      </c>
    </row>
    <row r="3659" spans="1:3" x14ac:dyDescent="0.45">
      <c r="A3659" s="11">
        <v>53.3</v>
      </c>
      <c r="B3659" s="14">
        <v>3.4669000000000002E-3</v>
      </c>
      <c r="C3659" s="15">
        <v>2.4807000000000002E-3</v>
      </c>
    </row>
    <row r="3660" spans="1:3" x14ac:dyDescent="0.45">
      <c r="A3660" s="11">
        <v>53.31</v>
      </c>
      <c r="B3660" s="14">
        <v>3.4710299999999999E-3</v>
      </c>
      <c r="C3660" s="15">
        <v>2.4831900000000001E-3</v>
      </c>
    </row>
    <row r="3661" spans="1:3" x14ac:dyDescent="0.45">
      <c r="A3661" s="11">
        <v>53.32</v>
      </c>
      <c r="B3661" s="14">
        <v>3.4751600000000001E-3</v>
      </c>
      <c r="C3661" s="15">
        <v>2.4856800000000001E-3</v>
      </c>
    </row>
    <row r="3662" spans="1:3" x14ac:dyDescent="0.45">
      <c r="A3662" s="11">
        <v>53.33</v>
      </c>
      <c r="B3662" s="14">
        <v>3.4792899999999999E-3</v>
      </c>
      <c r="C3662" s="15">
        <v>2.4881700000000001E-3</v>
      </c>
    </row>
    <row r="3663" spans="1:3" x14ac:dyDescent="0.45">
      <c r="A3663" s="11">
        <v>53.34</v>
      </c>
      <c r="B3663" s="14">
        <v>3.4834200000000001E-3</v>
      </c>
      <c r="C3663" s="15">
        <v>2.49066E-3</v>
      </c>
    </row>
    <row r="3664" spans="1:3" x14ac:dyDescent="0.45">
      <c r="A3664" s="11">
        <v>53.35</v>
      </c>
      <c r="B3664" s="14">
        <v>3.4875499999999999E-3</v>
      </c>
      <c r="C3664" s="15">
        <v>2.49315E-3</v>
      </c>
    </row>
    <row r="3665" spans="1:3" x14ac:dyDescent="0.45">
      <c r="A3665" s="11">
        <v>53.36</v>
      </c>
      <c r="B3665" s="14">
        <v>3.49168E-3</v>
      </c>
      <c r="C3665" s="15">
        <v>2.4956399999999999E-3</v>
      </c>
    </row>
    <row r="3666" spans="1:3" x14ac:dyDescent="0.45">
      <c r="A3666" s="11">
        <v>53.37</v>
      </c>
      <c r="B3666" s="14">
        <v>3.4958099999999998E-3</v>
      </c>
      <c r="C3666" s="15">
        <v>2.4981299999999999E-3</v>
      </c>
    </row>
    <row r="3667" spans="1:3" x14ac:dyDescent="0.45">
      <c r="A3667" s="11">
        <v>53.38</v>
      </c>
      <c r="B3667" s="14">
        <v>3.49994E-3</v>
      </c>
      <c r="C3667" s="15">
        <v>2.5006199999999998E-3</v>
      </c>
    </row>
    <row r="3668" spans="1:3" x14ac:dyDescent="0.45">
      <c r="A3668" s="11">
        <v>53.39</v>
      </c>
      <c r="B3668" s="14">
        <v>3.5040700000000002E-3</v>
      </c>
      <c r="C3668" s="15">
        <v>2.5031099999999998E-3</v>
      </c>
    </row>
    <row r="3669" spans="1:3" x14ac:dyDescent="0.45">
      <c r="A3669" s="11">
        <v>53.4</v>
      </c>
      <c r="B3669" s="14">
        <v>3.5081999999999999E-3</v>
      </c>
      <c r="C3669" s="15">
        <v>2.5056000000000002E-3</v>
      </c>
    </row>
    <row r="3670" spans="1:3" x14ac:dyDescent="0.45">
      <c r="A3670" s="11">
        <v>53.41</v>
      </c>
      <c r="B3670" s="14">
        <v>3.5123300000000001E-3</v>
      </c>
      <c r="C3670" s="15">
        <v>2.5080900000000001E-3</v>
      </c>
    </row>
    <row r="3671" spans="1:3" x14ac:dyDescent="0.45">
      <c r="A3671" s="11">
        <v>53.42</v>
      </c>
      <c r="B3671" s="14">
        <v>3.5164599999999999E-3</v>
      </c>
      <c r="C3671" s="15">
        <v>2.5105800000000001E-3</v>
      </c>
    </row>
    <row r="3672" spans="1:3" x14ac:dyDescent="0.45">
      <c r="A3672" s="11">
        <v>53.43</v>
      </c>
      <c r="B3672" s="14">
        <v>3.5205900000000001E-3</v>
      </c>
      <c r="C3672" s="15">
        <v>2.5130700000000001E-3</v>
      </c>
    </row>
    <row r="3673" spans="1:3" x14ac:dyDescent="0.45">
      <c r="A3673" s="11">
        <v>53.44</v>
      </c>
      <c r="B3673" s="14">
        <v>3.5247199999999998E-3</v>
      </c>
      <c r="C3673" s="15">
        <v>2.51556E-3</v>
      </c>
    </row>
    <row r="3674" spans="1:3" x14ac:dyDescent="0.45">
      <c r="A3674" s="11">
        <v>53.45</v>
      </c>
      <c r="B3674" s="14">
        <v>3.52885E-3</v>
      </c>
      <c r="C3674" s="15">
        <v>2.51805E-3</v>
      </c>
    </row>
    <row r="3675" spans="1:3" x14ac:dyDescent="0.45">
      <c r="A3675" s="11">
        <v>53.46</v>
      </c>
      <c r="B3675" s="14">
        <v>3.5329799999999998E-3</v>
      </c>
      <c r="C3675" s="15">
        <v>2.5205399999999999E-3</v>
      </c>
    </row>
    <row r="3676" spans="1:3" x14ac:dyDescent="0.45">
      <c r="A3676" s="11">
        <v>53.47</v>
      </c>
      <c r="B3676" s="14">
        <v>3.53711E-3</v>
      </c>
      <c r="C3676" s="15">
        <v>2.5230299999999999E-3</v>
      </c>
    </row>
    <row r="3677" spans="1:3" x14ac:dyDescent="0.45">
      <c r="A3677" s="11">
        <v>53.48</v>
      </c>
      <c r="B3677" s="14">
        <v>3.5412400000000002E-3</v>
      </c>
      <c r="C3677" s="15">
        <v>2.5255199999999998E-3</v>
      </c>
    </row>
    <row r="3678" spans="1:3" x14ac:dyDescent="0.45">
      <c r="A3678" s="11">
        <v>53.49</v>
      </c>
      <c r="B3678" s="14">
        <v>3.5453699999999999E-3</v>
      </c>
      <c r="C3678" s="15">
        <v>2.5280099999999998E-3</v>
      </c>
    </row>
    <row r="3679" spans="1:3" x14ac:dyDescent="0.45">
      <c r="A3679" s="11">
        <v>53.5</v>
      </c>
      <c r="B3679" s="14">
        <v>3.5495000000000001E-3</v>
      </c>
      <c r="C3679" s="15">
        <v>2.5305000000000002E-3</v>
      </c>
    </row>
    <row r="3680" spans="1:3" x14ac:dyDescent="0.45">
      <c r="A3680" s="11">
        <v>53.51</v>
      </c>
      <c r="B3680" s="14">
        <v>3.5536299999999999E-3</v>
      </c>
      <c r="C3680" s="15">
        <v>2.5329900000000002E-3</v>
      </c>
    </row>
    <row r="3681" spans="1:3" x14ac:dyDescent="0.45">
      <c r="A3681" s="11">
        <v>53.52</v>
      </c>
      <c r="B3681" s="14">
        <v>3.5577600000000001E-3</v>
      </c>
      <c r="C3681" s="15">
        <v>2.5354800000000001E-3</v>
      </c>
    </row>
    <row r="3682" spans="1:3" x14ac:dyDescent="0.45">
      <c r="A3682" s="11">
        <v>53.53</v>
      </c>
      <c r="B3682" s="14">
        <v>3.5618899999999998E-3</v>
      </c>
      <c r="C3682" s="15">
        <v>2.5379700000000001E-3</v>
      </c>
    </row>
    <row r="3683" spans="1:3" x14ac:dyDescent="0.45">
      <c r="A3683" s="11">
        <v>53.54</v>
      </c>
      <c r="B3683" s="14">
        <v>3.56602E-3</v>
      </c>
      <c r="C3683" s="15">
        <v>2.54046E-3</v>
      </c>
    </row>
    <row r="3684" spans="1:3" x14ac:dyDescent="0.45">
      <c r="A3684" s="11">
        <v>53.55</v>
      </c>
      <c r="B3684" s="14">
        <v>3.5701499999999998E-3</v>
      </c>
      <c r="C3684" s="15">
        <v>2.54295E-3</v>
      </c>
    </row>
    <row r="3685" spans="1:3" x14ac:dyDescent="0.45">
      <c r="A3685" s="11">
        <v>53.56</v>
      </c>
      <c r="B3685" s="14">
        <v>3.57428E-3</v>
      </c>
      <c r="C3685" s="15">
        <v>2.5454399999999999E-3</v>
      </c>
    </row>
    <row r="3686" spans="1:3" x14ac:dyDescent="0.45">
      <c r="A3686" s="11">
        <v>53.57</v>
      </c>
      <c r="B3686" s="14">
        <v>3.5784100000000002E-3</v>
      </c>
      <c r="C3686" s="15">
        <v>2.5479299999999999E-3</v>
      </c>
    </row>
    <row r="3687" spans="1:3" x14ac:dyDescent="0.45">
      <c r="A3687" s="11">
        <v>53.58</v>
      </c>
      <c r="B3687" s="14">
        <v>3.5825399999999999E-3</v>
      </c>
      <c r="C3687" s="15">
        <v>2.5504199999999999E-3</v>
      </c>
    </row>
    <row r="3688" spans="1:3" x14ac:dyDescent="0.45">
      <c r="A3688" s="11">
        <v>53.59</v>
      </c>
      <c r="B3688" s="14">
        <v>3.5866700000000001E-3</v>
      </c>
      <c r="C3688" s="15">
        <v>2.5529099999999998E-3</v>
      </c>
    </row>
    <row r="3689" spans="1:3" x14ac:dyDescent="0.45">
      <c r="A3689" s="11">
        <v>53.6</v>
      </c>
      <c r="B3689" s="14">
        <v>3.5907999999999999E-3</v>
      </c>
      <c r="C3689" s="15">
        <v>2.5554000000000002E-3</v>
      </c>
    </row>
    <row r="3690" spans="1:3" x14ac:dyDescent="0.45">
      <c r="A3690" s="11">
        <v>53.61</v>
      </c>
      <c r="B3690" s="14">
        <v>3.5949300000000001E-3</v>
      </c>
      <c r="C3690" s="15">
        <v>2.5578900000000002E-3</v>
      </c>
    </row>
    <row r="3691" spans="1:3" x14ac:dyDescent="0.45">
      <c r="A3691" s="11">
        <v>53.62</v>
      </c>
      <c r="B3691" s="14">
        <v>3.5990599999999998E-3</v>
      </c>
      <c r="C3691" s="15">
        <v>2.5603800000000001E-3</v>
      </c>
    </row>
    <row r="3692" spans="1:3" x14ac:dyDescent="0.45">
      <c r="A3692" s="11">
        <v>53.63</v>
      </c>
      <c r="B3692" s="14">
        <v>3.60319E-3</v>
      </c>
      <c r="C3692" s="15">
        <v>2.5628700000000001E-3</v>
      </c>
    </row>
    <row r="3693" spans="1:3" x14ac:dyDescent="0.45">
      <c r="A3693" s="11">
        <v>53.64</v>
      </c>
      <c r="B3693" s="14">
        <v>3.6073199999999998E-3</v>
      </c>
      <c r="C3693" s="15">
        <v>2.56536E-3</v>
      </c>
    </row>
    <row r="3694" spans="1:3" x14ac:dyDescent="0.45">
      <c r="A3694" s="11">
        <v>53.65</v>
      </c>
      <c r="B3694" s="14">
        <v>3.61145E-3</v>
      </c>
      <c r="C3694" s="15">
        <v>2.56785E-3</v>
      </c>
    </row>
    <row r="3695" spans="1:3" x14ac:dyDescent="0.45">
      <c r="A3695" s="11">
        <v>53.66</v>
      </c>
      <c r="B3695" s="14">
        <v>3.6155800000000002E-3</v>
      </c>
      <c r="C3695" s="15">
        <v>2.57034E-3</v>
      </c>
    </row>
    <row r="3696" spans="1:3" x14ac:dyDescent="0.45">
      <c r="A3696" s="11">
        <v>53.67</v>
      </c>
      <c r="B3696" s="14">
        <v>3.6197099999999999E-3</v>
      </c>
      <c r="C3696" s="15">
        <v>2.5728299999999999E-3</v>
      </c>
    </row>
    <row r="3697" spans="1:3" x14ac:dyDescent="0.45">
      <c r="A3697" s="11">
        <v>53.68</v>
      </c>
      <c r="B3697" s="14">
        <v>3.6238400000000001E-3</v>
      </c>
      <c r="C3697" s="15">
        <v>2.5753199999999999E-3</v>
      </c>
    </row>
    <row r="3698" spans="1:3" x14ac:dyDescent="0.45">
      <c r="A3698" s="11">
        <v>53.69</v>
      </c>
      <c r="B3698" s="14">
        <v>3.6279699999999999E-3</v>
      </c>
      <c r="C3698" s="15">
        <v>2.5778099999999998E-3</v>
      </c>
    </row>
    <row r="3699" spans="1:3" x14ac:dyDescent="0.45">
      <c r="A3699" s="11">
        <v>53.7</v>
      </c>
      <c r="B3699" s="14">
        <v>3.6321000000000001E-3</v>
      </c>
      <c r="C3699" s="15">
        <v>2.5803000000000002E-3</v>
      </c>
    </row>
    <row r="3700" spans="1:3" x14ac:dyDescent="0.45">
      <c r="A3700" s="11">
        <v>53.71</v>
      </c>
      <c r="B3700" s="14">
        <v>3.6362299999999998E-3</v>
      </c>
      <c r="C3700" s="15">
        <v>2.5827900000000002E-3</v>
      </c>
    </row>
    <row r="3701" spans="1:3" x14ac:dyDescent="0.45">
      <c r="A3701" s="11">
        <v>53.72</v>
      </c>
      <c r="B3701" s="14">
        <v>3.64036E-3</v>
      </c>
      <c r="C3701" s="15">
        <v>2.5852800000000001E-3</v>
      </c>
    </row>
    <row r="3702" spans="1:3" x14ac:dyDescent="0.45">
      <c r="A3702" s="11">
        <v>53.73</v>
      </c>
      <c r="B3702" s="14">
        <v>3.6444899999999998E-3</v>
      </c>
      <c r="C3702" s="15">
        <v>2.5877700000000001E-3</v>
      </c>
    </row>
    <row r="3703" spans="1:3" x14ac:dyDescent="0.45">
      <c r="A3703" s="11">
        <v>53.74</v>
      </c>
      <c r="B3703" s="14">
        <v>3.64862E-3</v>
      </c>
      <c r="C3703" s="15">
        <v>2.59026E-3</v>
      </c>
    </row>
    <row r="3704" spans="1:3" x14ac:dyDescent="0.45">
      <c r="A3704" s="11">
        <v>53.75</v>
      </c>
      <c r="B3704" s="14">
        <v>3.6527500000000002E-3</v>
      </c>
      <c r="C3704" s="15">
        <v>2.59275E-3</v>
      </c>
    </row>
    <row r="3705" spans="1:3" x14ac:dyDescent="0.45">
      <c r="A3705" s="11">
        <v>53.76</v>
      </c>
      <c r="B3705" s="14">
        <v>3.6568799999999999E-3</v>
      </c>
      <c r="C3705" s="15">
        <v>2.59524E-3</v>
      </c>
    </row>
    <row r="3706" spans="1:3" x14ac:dyDescent="0.45">
      <c r="A3706" s="11">
        <v>53.77</v>
      </c>
      <c r="B3706" s="14">
        <v>3.6610100000000001E-3</v>
      </c>
      <c r="C3706" s="15">
        <v>2.5977299999999999E-3</v>
      </c>
    </row>
    <row r="3707" spans="1:3" x14ac:dyDescent="0.45">
      <c r="A3707" s="11">
        <v>53.78</v>
      </c>
      <c r="B3707" s="14">
        <v>3.6651399999999999E-3</v>
      </c>
      <c r="C3707" s="15">
        <v>2.6002199999999999E-3</v>
      </c>
    </row>
    <row r="3708" spans="1:3" x14ac:dyDescent="0.45">
      <c r="A3708" s="11">
        <v>53.79</v>
      </c>
      <c r="B3708" s="14">
        <v>3.6692700000000001E-3</v>
      </c>
      <c r="C3708" s="15">
        <v>2.6027099999999998E-3</v>
      </c>
    </row>
    <row r="3709" spans="1:3" x14ac:dyDescent="0.45">
      <c r="A3709" s="11">
        <v>53.8</v>
      </c>
      <c r="B3709" s="14">
        <v>3.6733999999999998E-3</v>
      </c>
      <c r="C3709" s="15">
        <v>2.6051999999999998E-3</v>
      </c>
    </row>
    <row r="3710" spans="1:3" x14ac:dyDescent="0.45">
      <c r="A3710" s="11">
        <v>53.81</v>
      </c>
      <c r="B3710" s="14">
        <v>3.67753E-3</v>
      </c>
      <c r="C3710" s="15">
        <v>2.6076900000000002E-3</v>
      </c>
    </row>
    <row r="3711" spans="1:3" x14ac:dyDescent="0.45">
      <c r="A3711" s="11">
        <v>53.82</v>
      </c>
      <c r="B3711" s="14">
        <v>3.6816599999999998E-3</v>
      </c>
      <c r="C3711" s="15">
        <v>2.6101800000000001E-3</v>
      </c>
    </row>
    <row r="3712" spans="1:3" x14ac:dyDescent="0.45">
      <c r="A3712" s="11">
        <v>53.83</v>
      </c>
      <c r="B3712" s="14">
        <v>3.68579E-3</v>
      </c>
      <c r="C3712" s="15">
        <v>2.6126700000000001E-3</v>
      </c>
    </row>
    <row r="3713" spans="1:3" x14ac:dyDescent="0.45">
      <c r="A3713" s="11">
        <v>53.84</v>
      </c>
      <c r="B3713" s="14">
        <v>3.6899200000000002E-3</v>
      </c>
      <c r="C3713" s="15">
        <v>2.6151600000000001E-3</v>
      </c>
    </row>
    <row r="3714" spans="1:3" x14ac:dyDescent="0.45">
      <c r="A3714" s="11">
        <v>53.85</v>
      </c>
      <c r="B3714" s="14">
        <v>3.6940499999999999E-3</v>
      </c>
      <c r="C3714" s="15">
        <v>2.61765E-3</v>
      </c>
    </row>
    <row r="3715" spans="1:3" x14ac:dyDescent="0.45">
      <c r="A3715" s="11">
        <v>53.86</v>
      </c>
      <c r="B3715" s="14">
        <v>3.6981800000000001E-3</v>
      </c>
      <c r="C3715" s="15">
        <v>2.62014E-3</v>
      </c>
    </row>
    <row r="3716" spans="1:3" x14ac:dyDescent="0.45">
      <c r="A3716" s="11">
        <v>53.87</v>
      </c>
      <c r="B3716" s="14">
        <v>3.7023099999999999E-3</v>
      </c>
      <c r="C3716" s="15">
        <v>2.6226299999999999E-3</v>
      </c>
    </row>
    <row r="3717" spans="1:3" x14ac:dyDescent="0.45">
      <c r="A3717" s="11">
        <v>53.88</v>
      </c>
      <c r="B3717" s="14">
        <v>3.7064400000000001E-3</v>
      </c>
      <c r="C3717" s="15">
        <v>2.6251199999999999E-3</v>
      </c>
    </row>
    <row r="3718" spans="1:3" x14ac:dyDescent="0.45">
      <c r="A3718" s="11">
        <v>53.89</v>
      </c>
      <c r="B3718" s="14">
        <v>3.7105699999999998E-3</v>
      </c>
      <c r="C3718" s="15">
        <v>2.6276099999999998E-3</v>
      </c>
    </row>
    <row r="3719" spans="1:3" x14ac:dyDescent="0.45">
      <c r="A3719" s="11">
        <v>53.9</v>
      </c>
      <c r="B3719" s="14">
        <v>3.7147E-3</v>
      </c>
      <c r="C3719" s="15">
        <v>2.6300999999999998E-3</v>
      </c>
    </row>
    <row r="3720" spans="1:3" x14ac:dyDescent="0.45">
      <c r="A3720" s="11">
        <v>53.91</v>
      </c>
      <c r="B3720" s="14">
        <v>3.7188299999999998E-3</v>
      </c>
      <c r="C3720" s="15">
        <v>2.6325900000000002E-3</v>
      </c>
    </row>
    <row r="3721" spans="1:3" x14ac:dyDescent="0.45">
      <c r="A3721" s="11">
        <v>53.92</v>
      </c>
      <c r="B3721" s="14">
        <v>3.72296E-3</v>
      </c>
      <c r="C3721" s="15">
        <v>2.6350800000000001E-3</v>
      </c>
    </row>
    <row r="3722" spans="1:3" x14ac:dyDescent="0.45">
      <c r="A3722" s="11">
        <v>53.93</v>
      </c>
      <c r="B3722" s="14">
        <v>3.7270900000000002E-3</v>
      </c>
      <c r="C3722" s="15">
        <v>2.6375700000000001E-3</v>
      </c>
    </row>
    <row r="3723" spans="1:3" x14ac:dyDescent="0.45">
      <c r="A3723" s="11">
        <v>53.94</v>
      </c>
      <c r="B3723" s="14">
        <v>3.7312199999999999E-3</v>
      </c>
      <c r="C3723" s="15">
        <v>2.6400600000000001E-3</v>
      </c>
    </row>
    <row r="3724" spans="1:3" x14ac:dyDescent="0.45">
      <c r="A3724" s="11">
        <v>53.95</v>
      </c>
      <c r="B3724" s="14">
        <v>3.7353500000000001E-3</v>
      </c>
      <c r="C3724" s="15">
        <v>2.64255E-3</v>
      </c>
    </row>
    <row r="3725" spans="1:3" x14ac:dyDescent="0.45">
      <c r="A3725" s="11">
        <v>53.96</v>
      </c>
      <c r="B3725" s="14">
        <v>3.7394799999999999E-3</v>
      </c>
      <c r="C3725" s="15">
        <v>2.64504E-3</v>
      </c>
    </row>
    <row r="3726" spans="1:3" x14ac:dyDescent="0.45">
      <c r="A3726" s="11">
        <v>53.97</v>
      </c>
      <c r="B3726" s="14">
        <v>3.7436100000000001E-3</v>
      </c>
      <c r="C3726" s="15">
        <v>2.6475299999999999E-3</v>
      </c>
    </row>
    <row r="3727" spans="1:3" x14ac:dyDescent="0.45">
      <c r="A3727" s="11">
        <v>53.98</v>
      </c>
      <c r="B3727" s="14">
        <v>3.7477399999999998E-3</v>
      </c>
      <c r="C3727" s="15">
        <v>2.6500199999999999E-3</v>
      </c>
    </row>
    <row r="3728" spans="1:3" x14ac:dyDescent="0.45">
      <c r="A3728" s="11">
        <v>53.99</v>
      </c>
      <c r="B3728" s="14">
        <v>3.75187E-3</v>
      </c>
      <c r="C3728" s="15">
        <v>2.6525099999999999E-3</v>
      </c>
    </row>
    <row r="3729" spans="1:3" x14ac:dyDescent="0.45">
      <c r="A3729" s="11">
        <v>54</v>
      </c>
      <c r="B3729" s="14">
        <v>3.7559999999999998E-3</v>
      </c>
      <c r="C3729" s="15">
        <v>2.6549999999999998E-3</v>
      </c>
    </row>
    <row r="3730" spans="1:3" x14ac:dyDescent="0.45">
      <c r="A3730" s="11">
        <v>54.01</v>
      </c>
      <c r="B3730" s="14">
        <v>3.7606499999999999E-3</v>
      </c>
      <c r="C3730" s="15">
        <v>2.65775E-3</v>
      </c>
    </row>
    <row r="3731" spans="1:3" x14ac:dyDescent="0.45">
      <c r="A3731" s="11">
        <v>54.02</v>
      </c>
      <c r="B3731" s="14">
        <v>3.7653000000000001E-3</v>
      </c>
      <c r="C3731" s="15">
        <v>2.6605000000000001E-3</v>
      </c>
    </row>
    <row r="3732" spans="1:3" x14ac:dyDescent="0.45">
      <c r="A3732" s="11">
        <v>54.03</v>
      </c>
      <c r="B3732" s="14">
        <v>3.7699500000000002E-3</v>
      </c>
      <c r="C3732" s="15">
        <v>2.6632499999999998E-3</v>
      </c>
    </row>
    <row r="3733" spans="1:3" x14ac:dyDescent="0.45">
      <c r="A3733" s="11">
        <v>54.04</v>
      </c>
      <c r="B3733" s="14">
        <v>3.7745999999999999E-3</v>
      </c>
      <c r="C3733" s="15">
        <v>2.666E-3</v>
      </c>
    </row>
    <row r="3734" spans="1:3" x14ac:dyDescent="0.45">
      <c r="A3734" s="11">
        <v>54.05</v>
      </c>
      <c r="B3734" s="14">
        <v>3.7792500000000001E-3</v>
      </c>
      <c r="C3734" s="15">
        <v>2.6687500000000001E-3</v>
      </c>
    </row>
    <row r="3735" spans="1:3" x14ac:dyDescent="0.45">
      <c r="A3735" s="11">
        <v>54.06</v>
      </c>
      <c r="B3735" s="14">
        <v>3.7839000000000002E-3</v>
      </c>
      <c r="C3735" s="15">
        <v>2.6714999999999998E-3</v>
      </c>
    </row>
    <row r="3736" spans="1:3" x14ac:dyDescent="0.45">
      <c r="A3736" s="11">
        <v>54.07</v>
      </c>
      <c r="B3736" s="14">
        <v>3.7885499999999999E-3</v>
      </c>
      <c r="C3736" s="15">
        <v>2.67425E-3</v>
      </c>
    </row>
    <row r="3737" spans="1:3" x14ac:dyDescent="0.45">
      <c r="A3737" s="11">
        <v>54.08</v>
      </c>
      <c r="B3737" s="14">
        <v>3.7932E-3</v>
      </c>
      <c r="C3737" s="15">
        <v>2.6770000000000001E-3</v>
      </c>
    </row>
    <row r="3738" spans="1:3" x14ac:dyDescent="0.45">
      <c r="A3738" s="11">
        <v>54.09</v>
      </c>
      <c r="B3738" s="14">
        <v>3.7978500000000002E-3</v>
      </c>
      <c r="C3738" s="15">
        <v>2.6797499999999998E-3</v>
      </c>
    </row>
    <row r="3739" spans="1:3" x14ac:dyDescent="0.45">
      <c r="A3739" s="11">
        <v>54.1</v>
      </c>
      <c r="B3739" s="14">
        <v>3.8024999999999999E-3</v>
      </c>
      <c r="C3739" s="15">
        <v>2.6825E-3</v>
      </c>
    </row>
    <row r="3740" spans="1:3" x14ac:dyDescent="0.45">
      <c r="A3740" s="11">
        <v>54.11</v>
      </c>
      <c r="B3740" s="14">
        <v>3.80715E-3</v>
      </c>
      <c r="C3740" s="15">
        <v>2.6852500000000001E-3</v>
      </c>
    </row>
    <row r="3741" spans="1:3" x14ac:dyDescent="0.45">
      <c r="A3741" s="11">
        <v>54.12</v>
      </c>
      <c r="B3741" s="14">
        <v>3.8118000000000002E-3</v>
      </c>
      <c r="C3741" s="15">
        <v>2.6879999999999999E-3</v>
      </c>
    </row>
    <row r="3742" spans="1:3" x14ac:dyDescent="0.45">
      <c r="A3742" s="11">
        <v>54.13</v>
      </c>
      <c r="B3742" s="14">
        <v>3.8164499999999999E-3</v>
      </c>
      <c r="C3742" s="15">
        <v>2.69075E-3</v>
      </c>
    </row>
    <row r="3743" spans="1:3" x14ac:dyDescent="0.45">
      <c r="A3743" s="11">
        <v>54.14</v>
      </c>
      <c r="B3743" s="14">
        <v>3.8211E-3</v>
      </c>
      <c r="C3743" s="15">
        <v>2.6935000000000001E-3</v>
      </c>
    </row>
    <row r="3744" spans="1:3" x14ac:dyDescent="0.45">
      <c r="A3744" s="11">
        <v>54.15</v>
      </c>
      <c r="B3744" s="14">
        <v>3.8257500000000002E-3</v>
      </c>
      <c r="C3744" s="15">
        <v>2.6962499999999999E-3</v>
      </c>
    </row>
    <row r="3745" spans="1:3" x14ac:dyDescent="0.45">
      <c r="A3745" s="11">
        <v>54.16</v>
      </c>
      <c r="B3745" s="14">
        <v>3.8303999999999999E-3</v>
      </c>
      <c r="C3745" s="15">
        <v>2.699E-3</v>
      </c>
    </row>
    <row r="3746" spans="1:3" x14ac:dyDescent="0.45">
      <c r="A3746" s="11">
        <v>54.17</v>
      </c>
      <c r="B3746" s="14">
        <v>3.83505E-3</v>
      </c>
      <c r="C3746" s="15">
        <v>2.7017500000000002E-3</v>
      </c>
    </row>
    <row r="3747" spans="1:3" x14ac:dyDescent="0.45">
      <c r="A3747" s="11">
        <v>54.18</v>
      </c>
      <c r="B3747" s="14">
        <v>3.8397000000000001E-3</v>
      </c>
      <c r="C3747" s="15">
        <v>2.7044999999999999E-3</v>
      </c>
    </row>
    <row r="3748" spans="1:3" x14ac:dyDescent="0.45">
      <c r="A3748" s="11">
        <v>54.19</v>
      </c>
      <c r="B3748" s="14">
        <v>3.8443499999999999E-3</v>
      </c>
      <c r="C3748" s="15">
        <v>2.70725E-3</v>
      </c>
    </row>
    <row r="3749" spans="1:3" x14ac:dyDescent="0.45">
      <c r="A3749" s="11">
        <v>54.2</v>
      </c>
      <c r="B3749" s="14">
        <v>3.849E-3</v>
      </c>
      <c r="C3749" s="15">
        <v>2.7100000000000002E-3</v>
      </c>
    </row>
    <row r="3750" spans="1:3" x14ac:dyDescent="0.45">
      <c r="A3750" s="11">
        <v>54.21</v>
      </c>
      <c r="B3750" s="14">
        <v>3.8536500000000001E-3</v>
      </c>
      <c r="C3750" s="15">
        <v>2.7127499999999999E-3</v>
      </c>
    </row>
    <row r="3751" spans="1:3" x14ac:dyDescent="0.45">
      <c r="A3751" s="11">
        <v>54.22</v>
      </c>
      <c r="B3751" s="14">
        <v>3.8582999999999998E-3</v>
      </c>
      <c r="C3751" s="15">
        <v>2.7155E-3</v>
      </c>
    </row>
    <row r="3752" spans="1:3" x14ac:dyDescent="0.45">
      <c r="A3752" s="11">
        <v>54.23</v>
      </c>
      <c r="B3752" s="14">
        <v>3.86295E-3</v>
      </c>
      <c r="C3752" s="15">
        <v>2.7182500000000002E-3</v>
      </c>
    </row>
    <row r="3753" spans="1:3" x14ac:dyDescent="0.45">
      <c r="A3753" s="11">
        <v>54.24</v>
      </c>
      <c r="B3753" s="14">
        <v>3.8676000000000001E-3</v>
      </c>
      <c r="C3753" s="15">
        <v>2.7209999999999999E-3</v>
      </c>
    </row>
    <row r="3754" spans="1:3" x14ac:dyDescent="0.45">
      <c r="A3754" s="11">
        <v>54.25</v>
      </c>
      <c r="B3754" s="14">
        <v>3.8722499999999998E-3</v>
      </c>
      <c r="C3754" s="15">
        <v>2.72375E-3</v>
      </c>
    </row>
    <row r="3755" spans="1:3" x14ac:dyDescent="0.45">
      <c r="A3755" s="11">
        <v>54.26</v>
      </c>
      <c r="B3755" s="14">
        <v>3.8769E-3</v>
      </c>
      <c r="C3755" s="15">
        <v>2.7265000000000002E-3</v>
      </c>
    </row>
    <row r="3756" spans="1:3" x14ac:dyDescent="0.45">
      <c r="A3756" s="11">
        <v>54.27</v>
      </c>
      <c r="B3756" s="14">
        <v>3.8815500000000001E-3</v>
      </c>
      <c r="C3756" s="15">
        <v>2.7292499999999999E-3</v>
      </c>
    </row>
    <row r="3757" spans="1:3" x14ac:dyDescent="0.45">
      <c r="A3757" s="11">
        <v>54.28</v>
      </c>
      <c r="B3757" s="14">
        <v>3.8861999999999998E-3</v>
      </c>
      <c r="C3757" s="15">
        <v>2.7320000000000001E-3</v>
      </c>
    </row>
    <row r="3758" spans="1:3" x14ac:dyDescent="0.45">
      <c r="A3758" s="11">
        <v>54.29</v>
      </c>
      <c r="B3758" s="14">
        <v>3.89085E-3</v>
      </c>
      <c r="C3758" s="15">
        <v>2.7347500000000002E-3</v>
      </c>
    </row>
    <row r="3759" spans="1:3" x14ac:dyDescent="0.45">
      <c r="A3759" s="11">
        <v>54.3</v>
      </c>
      <c r="B3759" s="14">
        <v>3.8955000000000001E-3</v>
      </c>
      <c r="C3759" s="15">
        <v>2.7374999999999999E-3</v>
      </c>
    </row>
    <row r="3760" spans="1:3" x14ac:dyDescent="0.45">
      <c r="A3760" s="11">
        <v>54.31</v>
      </c>
      <c r="B3760" s="14">
        <v>3.9001499999999998E-3</v>
      </c>
      <c r="C3760" s="15">
        <v>2.7402500000000001E-3</v>
      </c>
    </row>
    <row r="3761" spans="1:3" x14ac:dyDescent="0.45">
      <c r="A3761" s="11">
        <v>54.32</v>
      </c>
      <c r="B3761" s="14">
        <v>3.9047999999999999E-3</v>
      </c>
      <c r="C3761" s="15">
        <v>2.7430000000000002E-3</v>
      </c>
    </row>
    <row r="3762" spans="1:3" x14ac:dyDescent="0.45">
      <c r="A3762" s="11">
        <v>54.33</v>
      </c>
      <c r="B3762" s="14">
        <v>3.9094500000000001E-3</v>
      </c>
      <c r="C3762" s="15">
        <v>2.7457499999999999E-3</v>
      </c>
    </row>
    <row r="3763" spans="1:3" x14ac:dyDescent="0.45">
      <c r="A3763" s="11">
        <v>54.34</v>
      </c>
      <c r="B3763" s="14">
        <v>3.9141000000000002E-3</v>
      </c>
      <c r="C3763" s="15">
        <v>2.7485000000000001E-3</v>
      </c>
    </row>
    <row r="3764" spans="1:3" x14ac:dyDescent="0.45">
      <c r="A3764" s="11">
        <v>54.35</v>
      </c>
      <c r="B3764" s="14">
        <v>3.9187500000000004E-3</v>
      </c>
      <c r="C3764" s="15">
        <v>2.7512499999999998E-3</v>
      </c>
    </row>
    <row r="3765" spans="1:3" x14ac:dyDescent="0.45">
      <c r="A3765" s="11">
        <v>54.36</v>
      </c>
      <c r="B3765" s="14">
        <v>3.9233999999999996E-3</v>
      </c>
      <c r="C3765" s="15">
        <v>2.7539999999999999E-3</v>
      </c>
    </row>
    <row r="3766" spans="1:3" x14ac:dyDescent="0.45">
      <c r="A3766" s="11">
        <v>54.37</v>
      </c>
      <c r="B3766" s="14">
        <v>3.9280499999999998E-3</v>
      </c>
      <c r="C3766" s="15">
        <v>2.7567500000000001E-3</v>
      </c>
    </row>
    <row r="3767" spans="1:3" x14ac:dyDescent="0.45">
      <c r="A3767" s="11">
        <v>54.38</v>
      </c>
      <c r="B3767" s="14">
        <v>3.9326999999999999E-3</v>
      </c>
      <c r="C3767" s="15">
        <v>2.7594999999999998E-3</v>
      </c>
    </row>
    <row r="3768" spans="1:3" x14ac:dyDescent="0.45">
      <c r="A3768" s="11">
        <v>54.39</v>
      </c>
      <c r="B3768" s="14">
        <v>3.9373500000000001E-3</v>
      </c>
      <c r="C3768" s="15">
        <v>2.7622499999999999E-3</v>
      </c>
    </row>
    <row r="3769" spans="1:3" x14ac:dyDescent="0.45">
      <c r="A3769" s="11">
        <v>54.4</v>
      </c>
      <c r="B3769" s="14">
        <v>3.9420000000000002E-3</v>
      </c>
      <c r="C3769" s="15">
        <v>2.7650000000000001E-3</v>
      </c>
    </row>
    <row r="3770" spans="1:3" x14ac:dyDescent="0.45">
      <c r="A3770" s="11">
        <v>54.41</v>
      </c>
      <c r="B3770" s="14">
        <v>3.9466500000000003E-3</v>
      </c>
      <c r="C3770" s="15">
        <v>2.7677499999999998E-3</v>
      </c>
    </row>
    <row r="3771" spans="1:3" x14ac:dyDescent="0.45">
      <c r="A3771" s="11">
        <v>54.42</v>
      </c>
      <c r="B3771" s="14">
        <v>3.9512999999999996E-3</v>
      </c>
      <c r="C3771" s="15">
        <v>2.7705E-3</v>
      </c>
    </row>
    <row r="3772" spans="1:3" x14ac:dyDescent="0.45">
      <c r="A3772" s="11">
        <v>54.43</v>
      </c>
      <c r="B3772" s="14">
        <v>3.9559499999999997E-3</v>
      </c>
      <c r="C3772" s="15">
        <v>2.7732500000000001E-3</v>
      </c>
    </row>
    <row r="3773" spans="1:3" x14ac:dyDescent="0.45">
      <c r="A3773" s="11">
        <v>54.44</v>
      </c>
      <c r="B3773" s="14">
        <v>3.9605999999999999E-3</v>
      </c>
      <c r="C3773" s="15">
        <v>2.7759999999999998E-3</v>
      </c>
    </row>
    <row r="3774" spans="1:3" x14ac:dyDescent="0.45">
      <c r="A3774" s="11">
        <v>54.45</v>
      </c>
      <c r="B3774" s="14">
        <v>3.96525E-3</v>
      </c>
      <c r="C3774" s="15">
        <v>2.77875E-3</v>
      </c>
    </row>
    <row r="3775" spans="1:3" x14ac:dyDescent="0.45">
      <c r="A3775" s="11">
        <v>54.46</v>
      </c>
      <c r="B3775" s="14">
        <v>3.9699000000000002E-3</v>
      </c>
      <c r="C3775" s="15">
        <v>2.7815000000000001E-3</v>
      </c>
    </row>
    <row r="3776" spans="1:3" x14ac:dyDescent="0.45">
      <c r="A3776" s="11">
        <v>54.47</v>
      </c>
      <c r="B3776" s="14">
        <v>3.9745500000000003E-3</v>
      </c>
      <c r="C3776" s="15">
        <v>2.7842499999999998E-3</v>
      </c>
    </row>
    <row r="3777" spans="1:3" x14ac:dyDescent="0.45">
      <c r="A3777" s="11">
        <v>54.48</v>
      </c>
      <c r="B3777" s="14">
        <v>3.9791999999999996E-3</v>
      </c>
      <c r="C3777" s="15">
        <v>2.787E-3</v>
      </c>
    </row>
    <row r="3778" spans="1:3" x14ac:dyDescent="0.45">
      <c r="A3778" s="11">
        <v>54.49</v>
      </c>
      <c r="B3778" s="14">
        <v>3.9838499999999997E-3</v>
      </c>
      <c r="C3778" s="15">
        <v>2.7897500000000001E-3</v>
      </c>
    </row>
    <row r="3779" spans="1:3" x14ac:dyDescent="0.45">
      <c r="A3779" s="11">
        <v>54.5</v>
      </c>
      <c r="B3779" s="14">
        <v>3.9884999999999999E-3</v>
      </c>
      <c r="C3779" s="15">
        <v>2.7924999999999998E-3</v>
      </c>
    </row>
    <row r="3780" spans="1:3" x14ac:dyDescent="0.45">
      <c r="A3780" s="11">
        <v>54.51</v>
      </c>
      <c r="B3780" s="14">
        <v>3.99315E-3</v>
      </c>
      <c r="C3780" s="15">
        <v>2.79525E-3</v>
      </c>
    </row>
    <row r="3781" spans="1:3" x14ac:dyDescent="0.45">
      <c r="A3781" s="11">
        <v>54.52</v>
      </c>
      <c r="B3781" s="14">
        <v>3.9978000000000001E-3</v>
      </c>
      <c r="C3781" s="15">
        <v>2.7980000000000001E-3</v>
      </c>
    </row>
    <row r="3782" spans="1:3" x14ac:dyDescent="0.45">
      <c r="A3782" s="11">
        <v>54.53</v>
      </c>
      <c r="B3782" s="14">
        <v>4.0024500000000003E-3</v>
      </c>
      <c r="C3782" s="15">
        <v>2.8007499999999999E-3</v>
      </c>
    </row>
    <row r="3783" spans="1:3" x14ac:dyDescent="0.45">
      <c r="A3783" s="11">
        <v>54.54</v>
      </c>
      <c r="B3783" s="14">
        <v>4.0071000000000004E-3</v>
      </c>
      <c r="C3783" s="15">
        <v>2.8035E-3</v>
      </c>
    </row>
    <row r="3784" spans="1:3" x14ac:dyDescent="0.45">
      <c r="A3784" s="11">
        <v>54.55</v>
      </c>
      <c r="B3784" s="14">
        <v>4.0117499999999997E-3</v>
      </c>
      <c r="C3784" s="15">
        <v>2.8062500000000002E-3</v>
      </c>
    </row>
    <row r="3785" spans="1:3" x14ac:dyDescent="0.45">
      <c r="A3785" s="11">
        <v>54.56</v>
      </c>
      <c r="B3785" s="14">
        <v>4.0163999999999998E-3</v>
      </c>
      <c r="C3785" s="15">
        <v>2.8089999999999999E-3</v>
      </c>
    </row>
    <row r="3786" spans="1:3" x14ac:dyDescent="0.45">
      <c r="A3786" s="11">
        <v>54.57</v>
      </c>
      <c r="B3786" s="14">
        <v>4.02105E-3</v>
      </c>
      <c r="C3786" s="15">
        <v>2.81175E-3</v>
      </c>
    </row>
    <row r="3787" spans="1:3" x14ac:dyDescent="0.45">
      <c r="A3787" s="11">
        <v>54.58</v>
      </c>
      <c r="B3787" s="14">
        <v>4.0257000000000001E-3</v>
      </c>
      <c r="C3787" s="15">
        <v>2.8145000000000002E-3</v>
      </c>
    </row>
    <row r="3788" spans="1:3" x14ac:dyDescent="0.45">
      <c r="A3788" s="11">
        <v>54.59</v>
      </c>
      <c r="B3788" s="14">
        <v>4.0303500000000003E-3</v>
      </c>
      <c r="C3788" s="15">
        <v>2.8172499999999999E-3</v>
      </c>
    </row>
    <row r="3789" spans="1:3" x14ac:dyDescent="0.45">
      <c r="A3789" s="11">
        <v>54.6</v>
      </c>
      <c r="B3789" s="14">
        <v>4.0350000000000004E-3</v>
      </c>
      <c r="C3789" s="15">
        <v>2.82E-3</v>
      </c>
    </row>
    <row r="3790" spans="1:3" x14ac:dyDescent="0.45">
      <c r="A3790" s="11">
        <v>54.61</v>
      </c>
      <c r="B3790" s="14">
        <v>4.0396499999999997E-3</v>
      </c>
      <c r="C3790" s="15">
        <v>2.8227500000000002E-3</v>
      </c>
    </row>
    <row r="3791" spans="1:3" x14ac:dyDescent="0.45">
      <c r="A3791" s="11">
        <v>54.62</v>
      </c>
      <c r="B3791" s="14">
        <v>4.0442999999999998E-3</v>
      </c>
      <c r="C3791" s="15">
        <v>2.8254999999999999E-3</v>
      </c>
    </row>
    <row r="3792" spans="1:3" x14ac:dyDescent="0.45">
      <c r="A3792" s="11">
        <v>54.63</v>
      </c>
      <c r="B3792" s="14">
        <v>4.0489499999999999E-3</v>
      </c>
      <c r="C3792" s="15">
        <v>2.82825E-3</v>
      </c>
    </row>
    <row r="3793" spans="1:3" x14ac:dyDescent="0.45">
      <c r="A3793" s="11">
        <v>54.64</v>
      </c>
      <c r="B3793" s="14">
        <v>4.0536000000000001E-3</v>
      </c>
      <c r="C3793" s="15">
        <v>2.8310000000000002E-3</v>
      </c>
    </row>
    <row r="3794" spans="1:3" x14ac:dyDescent="0.45">
      <c r="A3794" s="11">
        <v>54.65</v>
      </c>
      <c r="B3794" s="14">
        <v>4.0582500000000002E-3</v>
      </c>
      <c r="C3794" s="15">
        <v>2.8337499999999999E-3</v>
      </c>
    </row>
    <row r="3795" spans="1:3" x14ac:dyDescent="0.45">
      <c r="A3795" s="11">
        <v>54.66</v>
      </c>
      <c r="B3795" s="14">
        <v>4.0629000000000004E-3</v>
      </c>
      <c r="C3795" s="15">
        <v>2.8365E-3</v>
      </c>
    </row>
    <row r="3796" spans="1:3" x14ac:dyDescent="0.45">
      <c r="A3796" s="11">
        <v>54.67</v>
      </c>
      <c r="B3796" s="14">
        <v>4.0675499999999996E-3</v>
      </c>
      <c r="C3796" s="15">
        <v>2.8392500000000002E-3</v>
      </c>
    </row>
    <row r="3797" spans="1:3" x14ac:dyDescent="0.45">
      <c r="A3797" s="11">
        <v>54.68</v>
      </c>
      <c r="B3797" s="14">
        <v>4.0721999999999998E-3</v>
      </c>
      <c r="C3797" s="15">
        <v>2.8419999999999999E-3</v>
      </c>
    </row>
    <row r="3798" spans="1:3" x14ac:dyDescent="0.45">
      <c r="A3798" s="11">
        <v>54.69</v>
      </c>
      <c r="B3798" s="14">
        <v>4.0768499999999999E-3</v>
      </c>
      <c r="C3798" s="15">
        <v>2.8447500000000001E-3</v>
      </c>
    </row>
    <row r="3799" spans="1:3" x14ac:dyDescent="0.45">
      <c r="A3799" s="11">
        <v>54.7</v>
      </c>
      <c r="B3799" s="14">
        <v>4.0815000000000001E-3</v>
      </c>
      <c r="C3799" s="15">
        <v>2.8475000000000002E-3</v>
      </c>
    </row>
    <row r="3800" spans="1:3" x14ac:dyDescent="0.45">
      <c r="A3800" s="11">
        <v>54.71</v>
      </c>
      <c r="B3800" s="14">
        <v>4.0861500000000002E-3</v>
      </c>
      <c r="C3800" s="15">
        <v>2.8502499999999999E-3</v>
      </c>
    </row>
    <row r="3801" spans="1:3" x14ac:dyDescent="0.45">
      <c r="A3801" s="11">
        <v>54.72</v>
      </c>
      <c r="B3801" s="14">
        <v>4.0908000000000003E-3</v>
      </c>
      <c r="C3801" s="15">
        <v>2.8530000000000001E-3</v>
      </c>
    </row>
    <row r="3802" spans="1:3" x14ac:dyDescent="0.45">
      <c r="A3802" s="11">
        <v>54.73</v>
      </c>
      <c r="B3802" s="14">
        <v>4.0954499999999996E-3</v>
      </c>
      <c r="C3802" s="15">
        <v>2.8557500000000002E-3</v>
      </c>
    </row>
    <row r="3803" spans="1:3" x14ac:dyDescent="0.45">
      <c r="A3803" s="11">
        <v>54.74</v>
      </c>
      <c r="B3803" s="14">
        <v>4.1000999999999998E-3</v>
      </c>
      <c r="C3803" s="15">
        <v>2.8584999999999999E-3</v>
      </c>
    </row>
    <row r="3804" spans="1:3" x14ac:dyDescent="0.45">
      <c r="A3804" s="11">
        <v>54.75</v>
      </c>
      <c r="B3804" s="14">
        <v>4.1047499999999999E-3</v>
      </c>
      <c r="C3804" s="15">
        <v>2.8612500000000001E-3</v>
      </c>
    </row>
    <row r="3805" spans="1:3" x14ac:dyDescent="0.45">
      <c r="A3805" s="11">
        <v>54.76</v>
      </c>
      <c r="B3805" s="14">
        <v>4.1094E-3</v>
      </c>
      <c r="C3805" s="15">
        <v>2.8639999999999998E-3</v>
      </c>
    </row>
    <row r="3806" spans="1:3" x14ac:dyDescent="0.45">
      <c r="A3806" s="11">
        <v>54.77</v>
      </c>
      <c r="B3806" s="14">
        <v>4.1140500000000002E-3</v>
      </c>
      <c r="C3806" s="15">
        <v>2.8667499999999999E-3</v>
      </c>
    </row>
    <row r="3807" spans="1:3" x14ac:dyDescent="0.45">
      <c r="A3807" s="11">
        <v>54.78</v>
      </c>
      <c r="B3807" s="14">
        <v>4.1187000000000003E-3</v>
      </c>
      <c r="C3807" s="15">
        <v>2.8695000000000001E-3</v>
      </c>
    </row>
    <row r="3808" spans="1:3" x14ac:dyDescent="0.45">
      <c r="A3808" s="11">
        <v>54.79</v>
      </c>
      <c r="B3808" s="14">
        <v>4.1233499999999996E-3</v>
      </c>
      <c r="C3808" s="15">
        <v>2.8722499999999998E-3</v>
      </c>
    </row>
    <row r="3809" spans="1:3" x14ac:dyDescent="0.45">
      <c r="A3809" s="11">
        <v>54.8</v>
      </c>
      <c r="B3809" s="14">
        <v>4.1279999999999997E-3</v>
      </c>
      <c r="C3809" s="15">
        <v>2.875E-3</v>
      </c>
    </row>
    <row r="3810" spans="1:3" x14ac:dyDescent="0.45">
      <c r="A3810" s="11">
        <v>54.81</v>
      </c>
      <c r="B3810" s="14">
        <v>4.1326499999999999E-3</v>
      </c>
      <c r="C3810" s="15">
        <v>2.8777500000000001E-3</v>
      </c>
    </row>
    <row r="3811" spans="1:3" x14ac:dyDescent="0.45">
      <c r="A3811" s="11">
        <v>54.82</v>
      </c>
      <c r="B3811" s="14">
        <v>4.1373E-3</v>
      </c>
      <c r="C3811" s="15">
        <v>2.8804999999999998E-3</v>
      </c>
    </row>
    <row r="3812" spans="1:3" x14ac:dyDescent="0.45">
      <c r="A3812" s="11">
        <v>54.83</v>
      </c>
      <c r="B3812" s="14">
        <v>4.1419500000000001E-3</v>
      </c>
      <c r="C3812" s="15">
        <v>2.88325E-3</v>
      </c>
    </row>
    <row r="3813" spans="1:3" x14ac:dyDescent="0.45">
      <c r="A3813" s="11">
        <v>54.84</v>
      </c>
      <c r="B3813" s="14">
        <v>4.1466000000000003E-3</v>
      </c>
      <c r="C3813" s="15">
        <v>2.8860000000000001E-3</v>
      </c>
    </row>
    <row r="3814" spans="1:3" x14ac:dyDescent="0.45">
      <c r="A3814" s="11">
        <v>54.85</v>
      </c>
      <c r="B3814" s="14">
        <v>4.1512500000000004E-3</v>
      </c>
      <c r="C3814" s="15">
        <v>2.8887499999999998E-3</v>
      </c>
    </row>
    <row r="3815" spans="1:3" x14ac:dyDescent="0.45">
      <c r="A3815" s="11">
        <v>54.86</v>
      </c>
      <c r="B3815" s="14">
        <v>4.1558999999999997E-3</v>
      </c>
      <c r="C3815" s="15">
        <v>2.8915E-3</v>
      </c>
    </row>
    <row r="3816" spans="1:3" x14ac:dyDescent="0.45">
      <c r="A3816" s="11">
        <v>54.87</v>
      </c>
      <c r="B3816" s="14">
        <v>4.1605499999999998E-3</v>
      </c>
      <c r="C3816" s="15">
        <v>2.8942500000000001E-3</v>
      </c>
    </row>
    <row r="3817" spans="1:3" x14ac:dyDescent="0.45">
      <c r="A3817" s="11">
        <v>54.88</v>
      </c>
      <c r="B3817" s="14">
        <v>4.1652E-3</v>
      </c>
      <c r="C3817" s="15">
        <v>2.8969999999999998E-3</v>
      </c>
    </row>
    <row r="3818" spans="1:3" x14ac:dyDescent="0.45">
      <c r="A3818" s="11">
        <v>54.89</v>
      </c>
      <c r="B3818" s="14">
        <v>4.1698500000000001E-3</v>
      </c>
      <c r="C3818" s="15">
        <v>2.89975E-3</v>
      </c>
    </row>
    <row r="3819" spans="1:3" x14ac:dyDescent="0.45">
      <c r="A3819" s="11">
        <v>54.9</v>
      </c>
      <c r="B3819" s="14">
        <v>4.1745000000000003E-3</v>
      </c>
      <c r="C3819" s="15">
        <v>2.9025000000000001E-3</v>
      </c>
    </row>
    <row r="3820" spans="1:3" x14ac:dyDescent="0.45">
      <c r="A3820" s="11">
        <v>54.91</v>
      </c>
      <c r="B3820" s="14">
        <v>4.1791500000000004E-3</v>
      </c>
      <c r="C3820" s="15">
        <v>2.9052499999999998E-3</v>
      </c>
    </row>
    <row r="3821" spans="1:3" x14ac:dyDescent="0.45">
      <c r="A3821" s="11">
        <v>54.92</v>
      </c>
      <c r="B3821" s="14">
        <v>4.1837999999999997E-3</v>
      </c>
      <c r="C3821" s="15">
        <v>2.908E-3</v>
      </c>
    </row>
    <row r="3822" spans="1:3" x14ac:dyDescent="0.45">
      <c r="A3822" s="11">
        <v>54.93</v>
      </c>
      <c r="B3822" s="14">
        <v>4.1884499999999998E-3</v>
      </c>
      <c r="C3822" s="15">
        <v>2.9107500000000001E-3</v>
      </c>
    </row>
    <row r="3823" spans="1:3" x14ac:dyDescent="0.45">
      <c r="A3823" s="11">
        <v>54.94</v>
      </c>
      <c r="B3823" s="14">
        <v>4.1931E-3</v>
      </c>
      <c r="C3823" s="15">
        <v>2.9134999999999999E-3</v>
      </c>
    </row>
    <row r="3824" spans="1:3" x14ac:dyDescent="0.45">
      <c r="A3824" s="11">
        <v>54.95</v>
      </c>
      <c r="B3824" s="14">
        <v>4.1977500000000001E-3</v>
      </c>
      <c r="C3824" s="15">
        <v>2.91625E-3</v>
      </c>
    </row>
    <row r="3825" spans="1:3" x14ac:dyDescent="0.45">
      <c r="A3825" s="11">
        <v>54.96</v>
      </c>
      <c r="B3825" s="14">
        <v>4.2024000000000002E-3</v>
      </c>
      <c r="C3825" s="15">
        <v>2.9190000000000002E-3</v>
      </c>
    </row>
    <row r="3826" spans="1:3" x14ac:dyDescent="0.45">
      <c r="A3826" s="11">
        <v>54.97</v>
      </c>
      <c r="B3826" s="14">
        <v>4.2070500000000004E-3</v>
      </c>
      <c r="C3826" s="15">
        <v>2.9217499999999999E-3</v>
      </c>
    </row>
    <row r="3827" spans="1:3" x14ac:dyDescent="0.45">
      <c r="A3827" s="11">
        <v>54.98</v>
      </c>
      <c r="B3827" s="14">
        <v>4.2116999999999996E-3</v>
      </c>
      <c r="C3827" s="15">
        <v>2.9245E-3</v>
      </c>
    </row>
    <row r="3828" spans="1:3" x14ac:dyDescent="0.45">
      <c r="A3828" s="11">
        <v>54.99</v>
      </c>
      <c r="B3828" s="14">
        <v>4.2163499999999998E-3</v>
      </c>
      <c r="C3828" s="15">
        <v>2.9272500000000002E-3</v>
      </c>
    </row>
    <row r="3829" spans="1:3" x14ac:dyDescent="0.45">
      <c r="A3829" s="11">
        <v>55</v>
      </c>
      <c r="B3829" s="14">
        <v>4.2209999999999999E-3</v>
      </c>
      <c r="C3829" s="15">
        <v>2.9299999999999999E-3</v>
      </c>
    </row>
    <row r="3830" spans="1:3" x14ac:dyDescent="0.45">
      <c r="A3830" s="11">
        <v>55.01</v>
      </c>
      <c r="B3830" s="14">
        <v>4.2262599999999999E-3</v>
      </c>
      <c r="C3830" s="15">
        <v>2.93305E-3</v>
      </c>
    </row>
    <row r="3831" spans="1:3" x14ac:dyDescent="0.45">
      <c r="A3831" s="11">
        <v>55.02</v>
      </c>
      <c r="B3831" s="14">
        <v>4.2315199999999999E-3</v>
      </c>
      <c r="C3831" s="15">
        <v>2.9361000000000001E-3</v>
      </c>
    </row>
    <row r="3832" spans="1:3" x14ac:dyDescent="0.45">
      <c r="A3832" s="11">
        <v>55.03</v>
      </c>
      <c r="B3832" s="14">
        <v>4.2367799999999999E-3</v>
      </c>
      <c r="C3832" s="15">
        <v>2.9391500000000002E-3</v>
      </c>
    </row>
    <row r="3833" spans="1:3" x14ac:dyDescent="0.45">
      <c r="A3833" s="11">
        <v>55.04</v>
      </c>
      <c r="B3833" s="14">
        <v>4.2420399999999999E-3</v>
      </c>
      <c r="C3833" s="15">
        <v>2.9421999999999999E-3</v>
      </c>
    </row>
    <row r="3834" spans="1:3" x14ac:dyDescent="0.45">
      <c r="A3834" s="11">
        <v>55.05</v>
      </c>
      <c r="B3834" s="14">
        <v>4.2472999999999999E-3</v>
      </c>
      <c r="C3834" s="15">
        <v>2.94525E-3</v>
      </c>
    </row>
    <row r="3835" spans="1:3" x14ac:dyDescent="0.45">
      <c r="A3835" s="11">
        <v>55.06</v>
      </c>
      <c r="B3835" s="14">
        <v>4.2525599999999998E-3</v>
      </c>
      <c r="C3835" s="15">
        <v>2.9483000000000001E-3</v>
      </c>
    </row>
    <row r="3836" spans="1:3" x14ac:dyDescent="0.45">
      <c r="A3836" s="11">
        <v>55.07</v>
      </c>
      <c r="B3836" s="14">
        <v>4.2578199999999998E-3</v>
      </c>
      <c r="C3836" s="15">
        <v>2.9513500000000002E-3</v>
      </c>
    </row>
    <row r="3837" spans="1:3" x14ac:dyDescent="0.45">
      <c r="A3837" s="11">
        <v>55.08</v>
      </c>
      <c r="B3837" s="14">
        <v>4.2630799999999998E-3</v>
      </c>
      <c r="C3837" s="15">
        <v>2.9543999999999998E-3</v>
      </c>
    </row>
    <row r="3838" spans="1:3" x14ac:dyDescent="0.45">
      <c r="A3838" s="11">
        <v>55.09</v>
      </c>
      <c r="B3838" s="14">
        <v>4.2683399999999998E-3</v>
      </c>
      <c r="C3838" s="15">
        <v>2.9574499999999999E-3</v>
      </c>
    </row>
    <row r="3839" spans="1:3" x14ac:dyDescent="0.45">
      <c r="A3839" s="11">
        <v>55.1</v>
      </c>
      <c r="B3839" s="14">
        <v>4.2735999999999998E-3</v>
      </c>
      <c r="C3839" s="15">
        <v>2.9605E-3</v>
      </c>
    </row>
    <row r="3840" spans="1:3" x14ac:dyDescent="0.45">
      <c r="A3840" s="11">
        <v>55.11</v>
      </c>
      <c r="B3840" s="14">
        <v>4.2788599999999998E-3</v>
      </c>
      <c r="C3840" s="15">
        <v>2.9635500000000001E-3</v>
      </c>
    </row>
    <row r="3841" spans="1:3" x14ac:dyDescent="0.45">
      <c r="A3841" s="11">
        <v>55.12</v>
      </c>
      <c r="B3841" s="14">
        <v>4.2841199999999998E-3</v>
      </c>
      <c r="C3841" s="15">
        <v>2.9665999999999998E-3</v>
      </c>
    </row>
    <row r="3842" spans="1:3" x14ac:dyDescent="0.45">
      <c r="A3842" s="11">
        <v>55.13</v>
      </c>
      <c r="B3842" s="14">
        <v>4.2893799999999998E-3</v>
      </c>
      <c r="C3842" s="15">
        <v>2.9696499999999999E-3</v>
      </c>
    </row>
    <row r="3843" spans="1:3" x14ac:dyDescent="0.45">
      <c r="A3843" s="11">
        <v>55.14</v>
      </c>
      <c r="B3843" s="14">
        <v>4.2946399999999997E-3</v>
      </c>
      <c r="C3843" s="15">
        <v>2.9727E-3</v>
      </c>
    </row>
    <row r="3844" spans="1:3" x14ac:dyDescent="0.45">
      <c r="A3844" s="11">
        <v>55.15</v>
      </c>
      <c r="B3844" s="14">
        <v>4.2998999999999997E-3</v>
      </c>
      <c r="C3844" s="15">
        <v>2.9757500000000001E-3</v>
      </c>
    </row>
    <row r="3845" spans="1:3" x14ac:dyDescent="0.45">
      <c r="A3845" s="11">
        <v>55.16</v>
      </c>
      <c r="B3845" s="14">
        <v>4.3051599999999997E-3</v>
      </c>
      <c r="C3845" s="15">
        <v>2.9788000000000002E-3</v>
      </c>
    </row>
    <row r="3846" spans="1:3" x14ac:dyDescent="0.45">
      <c r="A3846" s="11">
        <v>55.17</v>
      </c>
      <c r="B3846" s="14">
        <v>4.3104199999999997E-3</v>
      </c>
      <c r="C3846" s="15">
        <v>2.9818499999999999E-3</v>
      </c>
    </row>
    <row r="3847" spans="1:3" x14ac:dyDescent="0.45">
      <c r="A3847" s="11">
        <v>55.18</v>
      </c>
      <c r="B3847" s="14">
        <v>4.3156799999999997E-3</v>
      </c>
      <c r="C3847" s="15">
        <v>2.9849E-3</v>
      </c>
    </row>
    <row r="3848" spans="1:3" x14ac:dyDescent="0.45">
      <c r="A3848" s="11">
        <v>55.19</v>
      </c>
      <c r="B3848" s="14">
        <v>4.3209399999999997E-3</v>
      </c>
      <c r="C3848" s="15">
        <v>2.9879500000000001E-3</v>
      </c>
    </row>
    <row r="3849" spans="1:3" x14ac:dyDescent="0.45">
      <c r="A3849" s="11">
        <v>55.2</v>
      </c>
      <c r="B3849" s="14">
        <v>4.3261999999999997E-3</v>
      </c>
      <c r="C3849" s="15">
        <v>2.9910000000000002E-3</v>
      </c>
    </row>
    <row r="3850" spans="1:3" x14ac:dyDescent="0.45">
      <c r="A3850" s="11">
        <v>55.21</v>
      </c>
      <c r="B3850" s="14">
        <v>4.3314599999999997E-3</v>
      </c>
      <c r="C3850" s="15">
        <v>2.9940499999999998E-3</v>
      </c>
    </row>
    <row r="3851" spans="1:3" x14ac:dyDescent="0.45">
      <c r="A3851" s="11">
        <v>55.22</v>
      </c>
      <c r="B3851" s="14">
        <v>4.3367199999999996E-3</v>
      </c>
      <c r="C3851" s="15">
        <v>2.9970999999999999E-3</v>
      </c>
    </row>
    <row r="3852" spans="1:3" x14ac:dyDescent="0.45">
      <c r="A3852" s="11">
        <v>55.23</v>
      </c>
      <c r="B3852" s="14">
        <v>4.3419799999999996E-3</v>
      </c>
      <c r="C3852" s="15">
        <v>3.00015E-3</v>
      </c>
    </row>
    <row r="3853" spans="1:3" x14ac:dyDescent="0.45">
      <c r="A3853" s="11">
        <v>55.24</v>
      </c>
      <c r="B3853" s="14">
        <v>4.3472399999999996E-3</v>
      </c>
      <c r="C3853" s="15">
        <v>3.0032000000000001E-3</v>
      </c>
    </row>
    <row r="3854" spans="1:3" x14ac:dyDescent="0.45">
      <c r="A3854" s="11">
        <v>55.25</v>
      </c>
      <c r="B3854" s="14">
        <v>4.3524999999999996E-3</v>
      </c>
      <c r="C3854" s="15">
        <v>3.0062499999999998E-3</v>
      </c>
    </row>
    <row r="3855" spans="1:3" x14ac:dyDescent="0.45">
      <c r="A3855" s="11">
        <v>55.26</v>
      </c>
      <c r="B3855" s="14">
        <v>4.3577599999999996E-3</v>
      </c>
      <c r="C3855" s="15">
        <v>3.0092999999999999E-3</v>
      </c>
    </row>
    <row r="3856" spans="1:3" x14ac:dyDescent="0.45">
      <c r="A3856" s="11">
        <v>55.27</v>
      </c>
      <c r="B3856" s="14">
        <v>4.3630199999999996E-3</v>
      </c>
      <c r="C3856" s="15">
        <v>3.01235E-3</v>
      </c>
    </row>
    <row r="3857" spans="1:3" x14ac:dyDescent="0.45">
      <c r="A3857" s="11">
        <v>55.28</v>
      </c>
      <c r="B3857" s="14">
        <v>4.3682800000000004E-3</v>
      </c>
      <c r="C3857" s="15">
        <v>3.0154000000000001E-3</v>
      </c>
    </row>
    <row r="3858" spans="1:3" x14ac:dyDescent="0.45">
      <c r="A3858" s="11">
        <v>55.29</v>
      </c>
      <c r="B3858" s="14">
        <v>4.3735400000000004E-3</v>
      </c>
      <c r="C3858" s="15">
        <v>3.0184500000000002E-3</v>
      </c>
    </row>
    <row r="3859" spans="1:3" x14ac:dyDescent="0.45">
      <c r="A3859" s="11">
        <v>55.3</v>
      </c>
      <c r="B3859" s="14">
        <v>4.3788000000000004E-3</v>
      </c>
      <c r="C3859" s="15">
        <v>3.0214999999999999E-3</v>
      </c>
    </row>
    <row r="3860" spans="1:3" x14ac:dyDescent="0.45">
      <c r="A3860" s="11">
        <v>55.31</v>
      </c>
      <c r="B3860" s="14">
        <v>4.3840600000000004E-3</v>
      </c>
      <c r="C3860" s="15">
        <v>3.02455E-3</v>
      </c>
    </row>
    <row r="3861" spans="1:3" x14ac:dyDescent="0.45">
      <c r="A3861" s="11">
        <v>55.32</v>
      </c>
      <c r="B3861" s="14">
        <v>4.3893200000000004E-3</v>
      </c>
      <c r="C3861" s="15">
        <v>3.0276000000000001E-3</v>
      </c>
    </row>
    <row r="3862" spans="1:3" x14ac:dyDescent="0.45">
      <c r="A3862" s="11">
        <v>55.33</v>
      </c>
      <c r="B3862" s="14">
        <v>4.3945800000000004E-3</v>
      </c>
      <c r="C3862" s="15">
        <v>3.0306500000000002E-3</v>
      </c>
    </row>
    <row r="3863" spans="1:3" x14ac:dyDescent="0.45">
      <c r="A3863" s="11">
        <v>55.34</v>
      </c>
      <c r="B3863" s="14">
        <v>4.3998400000000003E-3</v>
      </c>
      <c r="C3863" s="15">
        <v>3.0336999999999999E-3</v>
      </c>
    </row>
    <row r="3864" spans="1:3" x14ac:dyDescent="0.45">
      <c r="A3864" s="11">
        <v>55.35</v>
      </c>
      <c r="B3864" s="14">
        <v>4.4051000000000003E-3</v>
      </c>
      <c r="C3864" s="15">
        <v>3.03675E-3</v>
      </c>
    </row>
    <row r="3865" spans="1:3" x14ac:dyDescent="0.45">
      <c r="A3865" s="11">
        <v>55.36</v>
      </c>
      <c r="B3865" s="14">
        <v>4.4103600000000003E-3</v>
      </c>
      <c r="C3865" s="15">
        <v>3.0398000000000001E-3</v>
      </c>
    </row>
    <row r="3866" spans="1:3" x14ac:dyDescent="0.45">
      <c r="A3866" s="11">
        <v>55.37</v>
      </c>
      <c r="B3866" s="14">
        <v>4.4156200000000003E-3</v>
      </c>
      <c r="C3866" s="15">
        <v>3.0428500000000002E-3</v>
      </c>
    </row>
    <row r="3867" spans="1:3" x14ac:dyDescent="0.45">
      <c r="A3867" s="11">
        <v>55.38</v>
      </c>
      <c r="B3867" s="14">
        <v>4.4208800000000003E-3</v>
      </c>
      <c r="C3867" s="15">
        <v>3.0458999999999998E-3</v>
      </c>
    </row>
    <row r="3868" spans="1:3" x14ac:dyDescent="0.45">
      <c r="A3868" s="11">
        <v>55.39</v>
      </c>
      <c r="B3868" s="14">
        <v>4.4261400000000003E-3</v>
      </c>
      <c r="C3868" s="15">
        <v>3.0489499999999999E-3</v>
      </c>
    </row>
    <row r="3869" spans="1:3" x14ac:dyDescent="0.45">
      <c r="A3869" s="11">
        <v>55.4</v>
      </c>
      <c r="B3869" s="14">
        <v>4.4314000000000003E-3</v>
      </c>
      <c r="C3869" s="15">
        <v>3.052E-3</v>
      </c>
    </row>
    <row r="3870" spans="1:3" x14ac:dyDescent="0.45">
      <c r="A3870" s="11">
        <v>55.41</v>
      </c>
      <c r="B3870" s="14">
        <v>4.4366600000000003E-3</v>
      </c>
      <c r="C3870" s="15">
        <v>3.0550500000000001E-3</v>
      </c>
    </row>
    <row r="3871" spans="1:3" x14ac:dyDescent="0.45">
      <c r="A3871" s="11">
        <v>55.42</v>
      </c>
      <c r="B3871" s="14">
        <v>4.4419200000000002E-3</v>
      </c>
      <c r="C3871" s="15">
        <v>3.0580999999999998E-3</v>
      </c>
    </row>
    <row r="3872" spans="1:3" x14ac:dyDescent="0.45">
      <c r="A3872" s="11">
        <v>55.43</v>
      </c>
      <c r="B3872" s="14">
        <v>4.4471800000000002E-3</v>
      </c>
      <c r="C3872" s="15">
        <v>3.0611499999999999E-3</v>
      </c>
    </row>
    <row r="3873" spans="1:3" x14ac:dyDescent="0.45">
      <c r="A3873" s="11">
        <v>55.44</v>
      </c>
      <c r="B3873" s="14">
        <v>4.4524400000000002E-3</v>
      </c>
      <c r="C3873" s="15">
        <v>3.0642E-3</v>
      </c>
    </row>
    <row r="3874" spans="1:3" x14ac:dyDescent="0.45">
      <c r="A3874" s="11">
        <v>55.45</v>
      </c>
      <c r="B3874" s="14">
        <v>4.4577000000000002E-3</v>
      </c>
      <c r="C3874" s="15">
        <v>3.0672500000000001E-3</v>
      </c>
    </row>
    <row r="3875" spans="1:3" x14ac:dyDescent="0.45">
      <c r="A3875" s="11">
        <v>55.46</v>
      </c>
      <c r="B3875" s="14">
        <v>4.4629600000000002E-3</v>
      </c>
      <c r="C3875" s="15">
        <v>3.0703000000000002E-3</v>
      </c>
    </row>
    <row r="3876" spans="1:3" x14ac:dyDescent="0.45">
      <c r="A3876" s="11">
        <v>55.47</v>
      </c>
      <c r="B3876" s="14">
        <v>4.4682200000000002E-3</v>
      </c>
      <c r="C3876" s="15">
        <v>3.0733499999999999E-3</v>
      </c>
    </row>
    <row r="3877" spans="1:3" x14ac:dyDescent="0.45">
      <c r="A3877" s="11">
        <v>55.48</v>
      </c>
      <c r="B3877" s="14">
        <v>4.4734800000000002E-3</v>
      </c>
      <c r="C3877" s="15">
        <v>3.0764E-3</v>
      </c>
    </row>
    <row r="3878" spans="1:3" x14ac:dyDescent="0.45">
      <c r="A3878" s="11">
        <v>55.49</v>
      </c>
      <c r="B3878" s="14">
        <v>4.4787400000000002E-3</v>
      </c>
      <c r="C3878" s="15">
        <v>3.0794500000000001E-3</v>
      </c>
    </row>
    <row r="3879" spans="1:3" x14ac:dyDescent="0.45">
      <c r="A3879" s="11">
        <v>55.5</v>
      </c>
      <c r="B3879" s="14">
        <v>4.4840000000000001E-3</v>
      </c>
      <c r="C3879" s="15">
        <v>3.0825000000000002E-3</v>
      </c>
    </row>
    <row r="3880" spans="1:3" x14ac:dyDescent="0.45">
      <c r="A3880" s="11">
        <v>55.51</v>
      </c>
      <c r="B3880" s="14">
        <v>4.4892600000000001E-3</v>
      </c>
      <c r="C3880" s="15">
        <v>3.0855499999999998E-3</v>
      </c>
    </row>
    <row r="3881" spans="1:3" x14ac:dyDescent="0.45">
      <c r="A3881" s="11">
        <v>55.52</v>
      </c>
      <c r="B3881" s="14">
        <v>4.4945200000000001E-3</v>
      </c>
      <c r="C3881" s="15">
        <v>3.0885999999999999E-3</v>
      </c>
    </row>
    <row r="3882" spans="1:3" x14ac:dyDescent="0.45">
      <c r="A3882" s="11">
        <v>55.53</v>
      </c>
      <c r="B3882" s="14">
        <v>4.4997800000000001E-3</v>
      </c>
      <c r="C3882" s="15">
        <v>3.09165E-3</v>
      </c>
    </row>
    <row r="3883" spans="1:3" x14ac:dyDescent="0.45">
      <c r="A3883" s="11">
        <v>55.54</v>
      </c>
      <c r="B3883" s="14">
        <v>4.5050400000000001E-3</v>
      </c>
      <c r="C3883" s="15">
        <v>3.0947000000000001E-3</v>
      </c>
    </row>
    <row r="3884" spans="1:3" x14ac:dyDescent="0.45">
      <c r="A3884" s="11">
        <v>55.55</v>
      </c>
      <c r="B3884" s="14">
        <v>4.5103000000000001E-3</v>
      </c>
      <c r="C3884" s="15">
        <v>3.0977499999999998E-3</v>
      </c>
    </row>
    <row r="3885" spans="1:3" x14ac:dyDescent="0.45">
      <c r="A3885" s="11">
        <v>55.56</v>
      </c>
      <c r="B3885" s="14">
        <v>4.5155600000000001E-3</v>
      </c>
      <c r="C3885" s="15">
        <v>3.1007999999999999E-3</v>
      </c>
    </row>
    <row r="3886" spans="1:3" x14ac:dyDescent="0.45">
      <c r="A3886" s="11">
        <v>55.57</v>
      </c>
      <c r="B3886" s="14">
        <v>4.52082E-3</v>
      </c>
      <c r="C3886" s="15">
        <v>3.10385E-3</v>
      </c>
    </row>
    <row r="3887" spans="1:3" x14ac:dyDescent="0.45">
      <c r="A3887" s="11">
        <v>55.58</v>
      </c>
      <c r="B3887" s="14">
        <v>4.52608E-3</v>
      </c>
      <c r="C3887" s="15">
        <v>3.1069000000000001E-3</v>
      </c>
    </row>
    <row r="3888" spans="1:3" x14ac:dyDescent="0.45">
      <c r="A3888" s="11">
        <v>55.59</v>
      </c>
      <c r="B3888" s="14">
        <v>4.53134E-3</v>
      </c>
      <c r="C3888" s="15">
        <v>3.1099500000000002E-3</v>
      </c>
    </row>
    <row r="3889" spans="1:3" x14ac:dyDescent="0.45">
      <c r="A3889" s="11">
        <v>55.6</v>
      </c>
      <c r="B3889" s="14">
        <v>4.5366E-3</v>
      </c>
      <c r="C3889" s="15">
        <v>3.1129999999999999E-3</v>
      </c>
    </row>
    <row r="3890" spans="1:3" x14ac:dyDescent="0.45">
      <c r="A3890" s="11">
        <v>55.61</v>
      </c>
      <c r="B3890" s="14">
        <v>4.54186E-3</v>
      </c>
      <c r="C3890" s="15">
        <v>3.11605E-3</v>
      </c>
    </row>
    <row r="3891" spans="1:3" x14ac:dyDescent="0.45">
      <c r="A3891" s="11">
        <v>55.62</v>
      </c>
      <c r="B3891" s="14">
        <v>4.54712E-3</v>
      </c>
      <c r="C3891" s="15">
        <v>3.1191000000000001E-3</v>
      </c>
    </row>
    <row r="3892" spans="1:3" x14ac:dyDescent="0.45">
      <c r="A3892" s="11">
        <v>55.63</v>
      </c>
      <c r="B3892" s="14">
        <v>4.55238E-3</v>
      </c>
      <c r="C3892" s="15">
        <v>3.1221500000000002E-3</v>
      </c>
    </row>
    <row r="3893" spans="1:3" x14ac:dyDescent="0.45">
      <c r="A3893" s="11">
        <v>55.64</v>
      </c>
      <c r="B3893" s="14">
        <v>4.55764E-3</v>
      </c>
      <c r="C3893" s="15">
        <v>3.1251999999999999E-3</v>
      </c>
    </row>
    <row r="3894" spans="1:3" x14ac:dyDescent="0.45">
      <c r="A3894" s="11">
        <v>55.65</v>
      </c>
      <c r="B3894" s="14">
        <v>4.5628999999999999E-3</v>
      </c>
      <c r="C3894" s="15">
        <v>3.12825E-3</v>
      </c>
    </row>
    <row r="3895" spans="1:3" x14ac:dyDescent="0.45">
      <c r="A3895" s="11">
        <v>55.66</v>
      </c>
      <c r="B3895" s="14">
        <v>4.5681599999999999E-3</v>
      </c>
      <c r="C3895" s="15">
        <v>3.1313000000000001E-3</v>
      </c>
    </row>
    <row r="3896" spans="1:3" x14ac:dyDescent="0.45">
      <c r="A3896" s="11">
        <v>55.67</v>
      </c>
      <c r="B3896" s="14">
        <v>4.5734199999999999E-3</v>
      </c>
      <c r="C3896" s="15">
        <v>3.1343500000000002E-3</v>
      </c>
    </row>
    <row r="3897" spans="1:3" x14ac:dyDescent="0.45">
      <c r="A3897" s="11">
        <v>55.68</v>
      </c>
      <c r="B3897" s="14">
        <v>4.5786799999999999E-3</v>
      </c>
      <c r="C3897" s="15">
        <v>3.1373999999999998E-3</v>
      </c>
    </row>
    <row r="3898" spans="1:3" x14ac:dyDescent="0.45">
      <c r="A3898" s="11">
        <v>55.69</v>
      </c>
      <c r="B3898" s="14">
        <v>4.5839399999999999E-3</v>
      </c>
      <c r="C3898" s="15">
        <v>3.1404499999999999E-3</v>
      </c>
    </row>
    <row r="3899" spans="1:3" x14ac:dyDescent="0.45">
      <c r="A3899" s="11">
        <v>55.7</v>
      </c>
      <c r="B3899" s="14">
        <v>4.5891999999999999E-3</v>
      </c>
      <c r="C3899" s="15">
        <v>3.1435E-3</v>
      </c>
    </row>
    <row r="3900" spans="1:3" x14ac:dyDescent="0.45">
      <c r="A3900" s="11">
        <v>55.71</v>
      </c>
      <c r="B3900" s="14">
        <v>4.5944599999999999E-3</v>
      </c>
      <c r="C3900" s="15">
        <v>3.1465500000000001E-3</v>
      </c>
    </row>
    <row r="3901" spans="1:3" x14ac:dyDescent="0.45">
      <c r="A3901" s="11">
        <v>55.72</v>
      </c>
      <c r="B3901" s="14">
        <v>4.5997199999999999E-3</v>
      </c>
      <c r="C3901" s="15">
        <v>3.1495999999999998E-3</v>
      </c>
    </row>
    <row r="3902" spans="1:3" x14ac:dyDescent="0.45">
      <c r="A3902" s="11">
        <v>55.73</v>
      </c>
      <c r="B3902" s="14">
        <v>4.6049799999999998E-3</v>
      </c>
      <c r="C3902" s="15">
        <v>3.1526499999999999E-3</v>
      </c>
    </row>
    <row r="3903" spans="1:3" x14ac:dyDescent="0.45">
      <c r="A3903" s="11">
        <v>55.74</v>
      </c>
      <c r="B3903" s="14">
        <v>4.6102399999999998E-3</v>
      </c>
      <c r="C3903" s="15">
        <v>3.1557E-3</v>
      </c>
    </row>
    <row r="3904" spans="1:3" x14ac:dyDescent="0.45">
      <c r="A3904" s="11">
        <v>55.75</v>
      </c>
      <c r="B3904" s="14">
        <v>4.6154999999999998E-3</v>
      </c>
      <c r="C3904" s="15">
        <v>3.1587500000000001E-3</v>
      </c>
    </row>
    <row r="3905" spans="1:3" x14ac:dyDescent="0.45">
      <c r="A3905" s="11">
        <v>55.76</v>
      </c>
      <c r="B3905" s="14">
        <v>4.6207599999999998E-3</v>
      </c>
      <c r="C3905" s="15">
        <v>3.1618000000000002E-3</v>
      </c>
    </row>
    <row r="3906" spans="1:3" x14ac:dyDescent="0.45">
      <c r="A3906" s="11">
        <v>55.77</v>
      </c>
      <c r="B3906" s="14">
        <v>4.6260199999999998E-3</v>
      </c>
      <c r="C3906" s="15">
        <v>3.1648499999999999E-3</v>
      </c>
    </row>
    <row r="3907" spans="1:3" x14ac:dyDescent="0.45">
      <c r="A3907" s="11">
        <v>55.78</v>
      </c>
      <c r="B3907" s="14">
        <v>4.6312799999999998E-3</v>
      </c>
      <c r="C3907" s="15">
        <v>3.1679E-3</v>
      </c>
    </row>
    <row r="3908" spans="1:3" x14ac:dyDescent="0.45">
      <c r="A3908" s="11">
        <v>55.79</v>
      </c>
      <c r="B3908" s="14">
        <v>4.6365399999999998E-3</v>
      </c>
      <c r="C3908" s="15">
        <v>3.1709500000000001E-3</v>
      </c>
    </row>
    <row r="3909" spans="1:3" x14ac:dyDescent="0.45">
      <c r="A3909" s="11">
        <v>55.8</v>
      </c>
      <c r="B3909" s="14">
        <v>4.6417999999999997E-3</v>
      </c>
      <c r="C3909" s="15">
        <v>3.1740000000000002E-3</v>
      </c>
    </row>
    <row r="3910" spans="1:3" x14ac:dyDescent="0.45">
      <c r="A3910" s="11">
        <v>55.81</v>
      </c>
      <c r="B3910" s="14">
        <v>4.6470599999999997E-3</v>
      </c>
      <c r="C3910" s="15">
        <v>3.1770499999999998E-3</v>
      </c>
    </row>
    <row r="3911" spans="1:3" x14ac:dyDescent="0.45">
      <c r="A3911" s="11">
        <v>55.82</v>
      </c>
      <c r="B3911" s="14">
        <v>4.6523199999999997E-3</v>
      </c>
      <c r="C3911" s="15">
        <v>3.1800999999999999E-3</v>
      </c>
    </row>
    <row r="3912" spans="1:3" x14ac:dyDescent="0.45">
      <c r="A3912" s="11">
        <v>55.83</v>
      </c>
      <c r="B3912" s="14">
        <v>4.6575799999999997E-3</v>
      </c>
      <c r="C3912" s="15">
        <v>3.18315E-3</v>
      </c>
    </row>
    <row r="3913" spans="1:3" x14ac:dyDescent="0.45">
      <c r="A3913" s="11">
        <v>55.84</v>
      </c>
      <c r="B3913" s="14">
        <v>4.6628399999999997E-3</v>
      </c>
      <c r="C3913" s="15">
        <v>3.1862000000000001E-3</v>
      </c>
    </row>
    <row r="3914" spans="1:3" x14ac:dyDescent="0.45">
      <c r="A3914" s="11">
        <v>55.85</v>
      </c>
      <c r="B3914" s="14">
        <v>4.6680999999999997E-3</v>
      </c>
      <c r="C3914" s="15">
        <v>3.1892499999999998E-3</v>
      </c>
    </row>
    <row r="3915" spans="1:3" x14ac:dyDescent="0.45">
      <c r="A3915" s="11">
        <v>55.86</v>
      </c>
      <c r="B3915" s="14">
        <v>4.6733599999999997E-3</v>
      </c>
      <c r="C3915" s="15">
        <v>3.1922999999999999E-3</v>
      </c>
    </row>
    <row r="3916" spans="1:3" x14ac:dyDescent="0.45">
      <c r="A3916" s="11">
        <v>55.87</v>
      </c>
      <c r="B3916" s="14">
        <v>4.6786199999999997E-3</v>
      </c>
      <c r="C3916" s="15">
        <v>3.19535E-3</v>
      </c>
    </row>
    <row r="3917" spans="1:3" x14ac:dyDescent="0.45">
      <c r="A3917" s="11">
        <v>55.88</v>
      </c>
      <c r="B3917" s="14">
        <v>4.6838799999999996E-3</v>
      </c>
      <c r="C3917" s="15">
        <v>3.1984000000000001E-3</v>
      </c>
    </row>
    <row r="3918" spans="1:3" x14ac:dyDescent="0.45">
      <c r="A3918" s="11">
        <v>55.89</v>
      </c>
      <c r="B3918" s="14">
        <v>4.6891399999999996E-3</v>
      </c>
      <c r="C3918" s="15">
        <v>3.2014500000000002E-3</v>
      </c>
    </row>
    <row r="3919" spans="1:3" x14ac:dyDescent="0.45">
      <c r="A3919" s="11">
        <v>55.9</v>
      </c>
      <c r="B3919" s="14">
        <v>4.6943999999999996E-3</v>
      </c>
      <c r="C3919" s="15">
        <v>3.2044999999999999E-3</v>
      </c>
    </row>
    <row r="3920" spans="1:3" x14ac:dyDescent="0.45">
      <c r="A3920" s="11">
        <v>55.91</v>
      </c>
      <c r="B3920" s="14">
        <v>4.6996599999999996E-3</v>
      </c>
      <c r="C3920" s="15">
        <v>3.20755E-3</v>
      </c>
    </row>
    <row r="3921" spans="1:3" x14ac:dyDescent="0.45">
      <c r="A3921" s="11">
        <v>55.92</v>
      </c>
      <c r="B3921" s="14">
        <v>4.7049199999999996E-3</v>
      </c>
      <c r="C3921" s="15">
        <v>3.2106000000000001E-3</v>
      </c>
    </row>
    <row r="3922" spans="1:3" x14ac:dyDescent="0.45">
      <c r="A3922" s="11">
        <v>55.93</v>
      </c>
      <c r="B3922" s="14">
        <v>4.7101799999999996E-3</v>
      </c>
      <c r="C3922" s="15">
        <v>3.2136500000000002E-3</v>
      </c>
    </row>
    <row r="3923" spans="1:3" x14ac:dyDescent="0.45">
      <c r="A3923" s="11">
        <v>55.94</v>
      </c>
      <c r="B3923" s="14">
        <v>4.7154400000000004E-3</v>
      </c>
      <c r="C3923" s="15">
        <v>3.2166999999999999E-3</v>
      </c>
    </row>
    <row r="3924" spans="1:3" x14ac:dyDescent="0.45">
      <c r="A3924" s="11">
        <v>55.95</v>
      </c>
      <c r="B3924" s="14">
        <v>4.7207000000000004E-3</v>
      </c>
      <c r="C3924" s="15">
        <v>3.21975E-3</v>
      </c>
    </row>
    <row r="3925" spans="1:3" x14ac:dyDescent="0.45">
      <c r="A3925" s="11">
        <v>55.96</v>
      </c>
      <c r="B3925" s="14">
        <v>4.7259600000000004E-3</v>
      </c>
      <c r="C3925" s="15">
        <v>3.2228000000000001E-3</v>
      </c>
    </row>
    <row r="3926" spans="1:3" x14ac:dyDescent="0.45">
      <c r="A3926" s="11">
        <v>55.97</v>
      </c>
      <c r="B3926" s="14">
        <v>4.7312200000000004E-3</v>
      </c>
      <c r="C3926" s="15">
        <v>3.2258500000000002E-3</v>
      </c>
    </row>
    <row r="3927" spans="1:3" x14ac:dyDescent="0.45">
      <c r="A3927" s="11">
        <v>55.98</v>
      </c>
      <c r="B3927" s="14">
        <v>4.7364800000000004E-3</v>
      </c>
      <c r="C3927" s="15">
        <v>3.2288999999999998E-3</v>
      </c>
    </row>
    <row r="3928" spans="1:3" x14ac:dyDescent="0.45">
      <c r="A3928" s="11">
        <v>55.99</v>
      </c>
      <c r="B3928" s="14">
        <v>4.7417400000000004E-3</v>
      </c>
      <c r="C3928" s="15">
        <v>3.2319499999999999E-3</v>
      </c>
    </row>
    <row r="3929" spans="1:3" x14ac:dyDescent="0.45">
      <c r="A3929" s="11">
        <v>56</v>
      </c>
      <c r="B3929" s="14">
        <v>4.7470000000000004E-3</v>
      </c>
      <c r="C3929" s="15">
        <v>3.235E-3</v>
      </c>
    </row>
    <row r="3930" spans="1:3" x14ac:dyDescent="0.45">
      <c r="A3930" s="11">
        <v>56.01</v>
      </c>
      <c r="B3930" s="14">
        <v>4.7529299999999998E-3</v>
      </c>
      <c r="C3930" s="15">
        <v>3.23837E-3</v>
      </c>
    </row>
    <row r="3931" spans="1:3" x14ac:dyDescent="0.45">
      <c r="A3931" s="11">
        <v>56.02</v>
      </c>
      <c r="B3931" s="14">
        <v>4.7588600000000002E-3</v>
      </c>
      <c r="C3931" s="15">
        <v>3.2417399999999999E-3</v>
      </c>
    </row>
    <row r="3932" spans="1:3" x14ac:dyDescent="0.45">
      <c r="A3932" s="11">
        <v>56.03</v>
      </c>
      <c r="B3932" s="14">
        <v>4.7647899999999997E-3</v>
      </c>
      <c r="C3932" s="15">
        <v>3.2451099999999998E-3</v>
      </c>
    </row>
    <row r="3933" spans="1:3" x14ac:dyDescent="0.45">
      <c r="A3933" s="11">
        <v>56.04</v>
      </c>
      <c r="B3933" s="14">
        <v>4.77072E-3</v>
      </c>
      <c r="C3933" s="15">
        <v>3.2484800000000002E-3</v>
      </c>
    </row>
    <row r="3934" spans="1:3" x14ac:dyDescent="0.45">
      <c r="A3934" s="11">
        <v>56.05</v>
      </c>
      <c r="B3934" s="14">
        <v>4.7766500000000003E-3</v>
      </c>
      <c r="C3934" s="15">
        <v>3.2518500000000001E-3</v>
      </c>
    </row>
    <row r="3935" spans="1:3" x14ac:dyDescent="0.45">
      <c r="A3935" s="11">
        <v>56.06</v>
      </c>
      <c r="B3935" s="14">
        <v>4.7825799999999998E-3</v>
      </c>
      <c r="C3935" s="15">
        <v>3.2552200000000001E-3</v>
      </c>
    </row>
    <row r="3936" spans="1:3" x14ac:dyDescent="0.45">
      <c r="A3936" s="11">
        <v>56.07</v>
      </c>
      <c r="B3936" s="14">
        <v>4.7885100000000002E-3</v>
      </c>
      <c r="C3936" s="15">
        <v>3.25859E-3</v>
      </c>
    </row>
    <row r="3937" spans="1:3" x14ac:dyDescent="0.45">
      <c r="A3937" s="11">
        <v>56.08</v>
      </c>
      <c r="B3937" s="14">
        <v>4.7944399999999996E-3</v>
      </c>
      <c r="C3937" s="15">
        <v>3.2619599999999999E-3</v>
      </c>
    </row>
    <row r="3938" spans="1:3" x14ac:dyDescent="0.45">
      <c r="A3938" s="11">
        <v>56.09</v>
      </c>
      <c r="B3938" s="14">
        <v>4.80037E-3</v>
      </c>
      <c r="C3938" s="15">
        <v>3.2653299999999999E-3</v>
      </c>
    </row>
    <row r="3939" spans="1:3" x14ac:dyDescent="0.45">
      <c r="A3939" s="11">
        <v>56.1</v>
      </c>
      <c r="B3939" s="14">
        <v>4.8063000000000003E-3</v>
      </c>
      <c r="C3939" s="15">
        <v>3.2686999999999998E-3</v>
      </c>
    </row>
    <row r="3940" spans="1:3" x14ac:dyDescent="0.45">
      <c r="A3940" s="11">
        <v>56.11</v>
      </c>
      <c r="B3940" s="14">
        <v>4.8122299999999998E-3</v>
      </c>
      <c r="C3940" s="15">
        <v>3.2720700000000002E-3</v>
      </c>
    </row>
    <row r="3941" spans="1:3" x14ac:dyDescent="0.45">
      <c r="A3941" s="11">
        <v>56.12</v>
      </c>
      <c r="B3941" s="14">
        <v>4.8181600000000002E-3</v>
      </c>
      <c r="C3941" s="15">
        <v>3.2754400000000001E-3</v>
      </c>
    </row>
    <row r="3942" spans="1:3" x14ac:dyDescent="0.45">
      <c r="A3942" s="11">
        <v>56.13</v>
      </c>
      <c r="B3942" s="14">
        <v>4.8240899999999996E-3</v>
      </c>
      <c r="C3942" s="15">
        <v>3.2788100000000001E-3</v>
      </c>
    </row>
    <row r="3943" spans="1:3" x14ac:dyDescent="0.45">
      <c r="A3943" s="11">
        <v>56.14</v>
      </c>
      <c r="B3943" s="14">
        <v>4.83002E-3</v>
      </c>
      <c r="C3943" s="15">
        <v>3.28218E-3</v>
      </c>
    </row>
    <row r="3944" spans="1:3" x14ac:dyDescent="0.45">
      <c r="A3944" s="11">
        <v>56.15</v>
      </c>
      <c r="B3944" s="14">
        <v>4.8359500000000003E-3</v>
      </c>
      <c r="C3944" s="15">
        <v>3.2855499999999999E-3</v>
      </c>
    </row>
    <row r="3945" spans="1:3" x14ac:dyDescent="0.45">
      <c r="A3945" s="11">
        <v>56.16</v>
      </c>
      <c r="B3945" s="14">
        <v>4.8418799999999998E-3</v>
      </c>
      <c r="C3945" s="15">
        <v>3.2889199999999999E-3</v>
      </c>
    </row>
    <row r="3946" spans="1:3" x14ac:dyDescent="0.45">
      <c r="A3946" s="11">
        <v>56.17</v>
      </c>
      <c r="B3946" s="14">
        <v>4.8478100000000001E-3</v>
      </c>
      <c r="C3946" s="15">
        <v>3.2922899999999998E-3</v>
      </c>
    </row>
    <row r="3947" spans="1:3" x14ac:dyDescent="0.45">
      <c r="A3947" s="11">
        <v>56.18</v>
      </c>
      <c r="B3947" s="14">
        <v>4.8537399999999996E-3</v>
      </c>
      <c r="C3947" s="15">
        <v>3.2956600000000002E-3</v>
      </c>
    </row>
    <row r="3948" spans="1:3" x14ac:dyDescent="0.45">
      <c r="A3948" s="11">
        <v>56.19</v>
      </c>
      <c r="B3948" s="14">
        <v>4.85967E-3</v>
      </c>
      <c r="C3948" s="15">
        <v>3.2990300000000001E-3</v>
      </c>
    </row>
    <row r="3949" spans="1:3" x14ac:dyDescent="0.45">
      <c r="A3949" s="11">
        <v>56.2</v>
      </c>
      <c r="B3949" s="14">
        <v>4.8656000000000003E-3</v>
      </c>
      <c r="C3949" s="15">
        <v>3.3024E-3</v>
      </c>
    </row>
    <row r="3950" spans="1:3" x14ac:dyDescent="0.45">
      <c r="A3950" s="11">
        <v>56.21</v>
      </c>
      <c r="B3950" s="14">
        <v>4.8715299999999998E-3</v>
      </c>
      <c r="C3950" s="15">
        <v>3.30577E-3</v>
      </c>
    </row>
    <row r="3951" spans="1:3" x14ac:dyDescent="0.45">
      <c r="A3951" s="11">
        <v>56.22</v>
      </c>
      <c r="B3951" s="14">
        <v>4.8774600000000001E-3</v>
      </c>
      <c r="C3951" s="15">
        <v>3.3091399999999999E-3</v>
      </c>
    </row>
    <row r="3952" spans="1:3" x14ac:dyDescent="0.45">
      <c r="A3952" s="11">
        <v>56.23</v>
      </c>
      <c r="B3952" s="14">
        <v>4.8833899999999996E-3</v>
      </c>
      <c r="C3952" s="15">
        <v>3.3125099999999998E-3</v>
      </c>
    </row>
    <row r="3953" spans="1:3" x14ac:dyDescent="0.45">
      <c r="A3953" s="11">
        <v>56.24</v>
      </c>
      <c r="B3953" s="14">
        <v>4.88932E-3</v>
      </c>
      <c r="C3953" s="15">
        <v>3.3158800000000002E-3</v>
      </c>
    </row>
    <row r="3954" spans="1:3" x14ac:dyDescent="0.45">
      <c r="A3954" s="11">
        <v>56.25</v>
      </c>
      <c r="B3954" s="14">
        <v>4.8952500000000003E-3</v>
      </c>
      <c r="C3954" s="15">
        <v>3.3192500000000002E-3</v>
      </c>
    </row>
    <row r="3955" spans="1:3" x14ac:dyDescent="0.45">
      <c r="A3955" s="11">
        <v>56.26</v>
      </c>
      <c r="B3955" s="14">
        <v>4.9011799999999998E-3</v>
      </c>
      <c r="C3955" s="15">
        <v>3.3226200000000001E-3</v>
      </c>
    </row>
    <row r="3956" spans="1:3" x14ac:dyDescent="0.45">
      <c r="A3956" s="11">
        <v>56.27</v>
      </c>
      <c r="B3956" s="14">
        <v>4.9071100000000001E-3</v>
      </c>
      <c r="C3956" s="15">
        <v>3.32599E-3</v>
      </c>
    </row>
    <row r="3957" spans="1:3" x14ac:dyDescent="0.45">
      <c r="A3957" s="11">
        <v>56.28</v>
      </c>
      <c r="B3957" s="14">
        <v>4.9130399999999996E-3</v>
      </c>
      <c r="C3957" s="15">
        <v>3.32936E-3</v>
      </c>
    </row>
    <row r="3958" spans="1:3" x14ac:dyDescent="0.45">
      <c r="A3958" s="11">
        <v>56.29</v>
      </c>
      <c r="B3958" s="14">
        <v>4.9189699999999999E-3</v>
      </c>
      <c r="C3958" s="15">
        <v>3.3327299999999999E-3</v>
      </c>
    </row>
    <row r="3959" spans="1:3" x14ac:dyDescent="0.45">
      <c r="A3959" s="11">
        <v>56.3</v>
      </c>
      <c r="B3959" s="14">
        <v>4.9249000000000003E-3</v>
      </c>
      <c r="C3959" s="15">
        <v>3.3360999999999998E-3</v>
      </c>
    </row>
    <row r="3960" spans="1:3" x14ac:dyDescent="0.45">
      <c r="A3960" s="11">
        <v>56.31</v>
      </c>
      <c r="B3960" s="14">
        <v>4.9308299999999998E-3</v>
      </c>
      <c r="C3960" s="15">
        <v>3.3394700000000002E-3</v>
      </c>
    </row>
    <row r="3961" spans="1:3" x14ac:dyDescent="0.45">
      <c r="A3961" s="11">
        <v>56.32</v>
      </c>
      <c r="B3961" s="14">
        <v>4.9367600000000001E-3</v>
      </c>
      <c r="C3961" s="15">
        <v>3.3428400000000001E-3</v>
      </c>
    </row>
    <row r="3962" spans="1:3" x14ac:dyDescent="0.45">
      <c r="A3962" s="11">
        <v>56.33</v>
      </c>
      <c r="B3962" s="14">
        <v>4.9426899999999996E-3</v>
      </c>
      <c r="C3962" s="15">
        <v>3.3462100000000001E-3</v>
      </c>
    </row>
    <row r="3963" spans="1:3" x14ac:dyDescent="0.45">
      <c r="A3963" s="11">
        <v>56.34</v>
      </c>
      <c r="B3963" s="14">
        <v>4.9486199999999999E-3</v>
      </c>
      <c r="C3963" s="15">
        <v>3.34958E-3</v>
      </c>
    </row>
    <row r="3964" spans="1:3" x14ac:dyDescent="0.45">
      <c r="A3964" s="11">
        <v>56.35</v>
      </c>
      <c r="B3964" s="14">
        <v>4.9545500000000003E-3</v>
      </c>
      <c r="C3964" s="15">
        <v>3.3529499999999999E-3</v>
      </c>
    </row>
    <row r="3965" spans="1:3" x14ac:dyDescent="0.45">
      <c r="A3965" s="11">
        <v>56.36</v>
      </c>
      <c r="B3965" s="14">
        <v>4.9604799999999998E-3</v>
      </c>
      <c r="C3965" s="15">
        <v>3.3563199999999999E-3</v>
      </c>
    </row>
    <row r="3966" spans="1:3" x14ac:dyDescent="0.45">
      <c r="A3966" s="11">
        <v>56.37</v>
      </c>
      <c r="B3966" s="14">
        <v>4.9664100000000001E-3</v>
      </c>
      <c r="C3966" s="15">
        <v>3.3596899999999998E-3</v>
      </c>
    </row>
    <row r="3967" spans="1:3" x14ac:dyDescent="0.45">
      <c r="A3967" s="11">
        <v>56.38</v>
      </c>
      <c r="B3967" s="14">
        <v>4.9723399999999996E-3</v>
      </c>
      <c r="C3967" s="15">
        <v>3.3630600000000002E-3</v>
      </c>
    </row>
    <row r="3968" spans="1:3" x14ac:dyDescent="0.45">
      <c r="A3968" s="11">
        <v>56.39</v>
      </c>
      <c r="B3968" s="14">
        <v>4.9782699999999999E-3</v>
      </c>
      <c r="C3968" s="15">
        <v>3.3664300000000001E-3</v>
      </c>
    </row>
    <row r="3969" spans="1:3" x14ac:dyDescent="0.45">
      <c r="A3969" s="11">
        <v>56.4</v>
      </c>
      <c r="B3969" s="14">
        <v>4.9842000000000003E-3</v>
      </c>
      <c r="C3969" s="15">
        <v>3.3698000000000001E-3</v>
      </c>
    </row>
    <row r="3970" spans="1:3" x14ac:dyDescent="0.45">
      <c r="A3970" s="11">
        <v>56.41</v>
      </c>
      <c r="B3970" s="14">
        <v>4.9901299999999997E-3</v>
      </c>
      <c r="C3970" s="15">
        <v>3.37317E-3</v>
      </c>
    </row>
    <row r="3971" spans="1:3" x14ac:dyDescent="0.45">
      <c r="A3971" s="11">
        <v>56.42</v>
      </c>
      <c r="B3971" s="14">
        <v>4.9960600000000001E-3</v>
      </c>
      <c r="C3971" s="15">
        <v>3.3765399999999999E-3</v>
      </c>
    </row>
    <row r="3972" spans="1:3" x14ac:dyDescent="0.45">
      <c r="A3972" s="11">
        <v>56.43</v>
      </c>
      <c r="B3972" s="14">
        <v>5.0019900000000004E-3</v>
      </c>
      <c r="C3972" s="15">
        <v>3.3799099999999999E-3</v>
      </c>
    </row>
    <row r="3973" spans="1:3" x14ac:dyDescent="0.45">
      <c r="A3973" s="11">
        <v>56.44</v>
      </c>
      <c r="B3973" s="14">
        <v>5.0079199999999999E-3</v>
      </c>
      <c r="C3973" s="15">
        <v>3.3832799999999998E-3</v>
      </c>
    </row>
    <row r="3974" spans="1:3" x14ac:dyDescent="0.45">
      <c r="A3974" s="11">
        <v>56.45</v>
      </c>
      <c r="B3974" s="14">
        <v>5.0138500000000003E-3</v>
      </c>
      <c r="C3974" s="15">
        <v>3.3866500000000002E-3</v>
      </c>
    </row>
    <row r="3975" spans="1:3" x14ac:dyDescent="0.45">
      <c r="A3975" s="11">
        <v>56.46</v>
      </c>
      <c r="B3975" s="14">
        <v>5.0197799999999997E-3</v>
      </c>
      <c r="C3975" s="15">
        <v>3.3900200000000001E-3</v>
      </c>
    </row>
    <row r="3976" spans="1:3" x14ac:dyDescent="0.45">
      <c r="A3976" s="11">
        <v>56.47</v>
      </c>
      <c r="B3976" s="14">
        <v>5.0257100000000001E-3</v>
      </c>
      <c r="C3976" s="15">
        <v>3.39339E-3</v>
      </c>
    </row>
    <row r="3977" spans="1:3" x14ac:dyDescent="0.45">
      <c r="A3977" s="11">
        <v>56.48</v>
      </c>
      <c r="B3977" s="14">
        <v>5.0316400000000004E-3</v>
      </c>
      <c r="C3977" s="15">
        <v>3.39676E-3</v>
      </c>
    </row>
    <row r="3978" spans="1:3" x14ac:dyDescent="0.45">
      <c r="A3978" s="11">
        <v>56.49</v>
      </c>
      <c r="B3978" s="14">
        <v>5.0375699999999999E-3</v>
      </c>
      <c r="C3978" s="15">
        <v>3.4001299999999999E-3</v>
      </c>
    </row>
    <row r="3979" spans="1:3" x14ac:dyDescent="0.45">
      <c r="A3979" s="11">
        <v>56.5</v>
      </c>
      <c r="B3979" s="14">
        <v>5.0435000000000002E-3</v>
      </c>
      <c r="C3979" s="15">
        <v>3.4034999999999998E-3</v>
      </c>
    </row>
    <row r="3980" spans="1:3" x14ac:dyDescent="0.45">
      <c r="A3980" s="11">
        <v>56.51</v>
      </c>
      <c r="B3980" s="14">
        <v>5.0494299999999997E-3</v>
      </c>
      <c r="C3980" s="15">
        <v>3.4068700000000002E-3</v>
      </c>
    </row>
    <row r="3981" spans="1:3" x14ac:dyDescent="0.45">
      <c r="A3981" s="11">
        <v>56.52</v>
      </c>
      <c r="B3981" s="14">
        <v>5.0553600000000001E-3</v>
      </c>
      <c r="C3981" s="15">
        <v>3.4102400000000001E-3</v>
      </c>
    </row>
    <row r="3982" spans="1:3" x14ac:dyDescent="0.45">
      <c r="A3982" s="11">
        <v>56.53</v>
      </c>
      <c r="B3982" s="14">
        <v>5.0612900000000004E-3</v>
      </c>
      <c r="C3982" s="15">
        <v>3.4136100000000001E-3</v>
      </c>
    </row>
    <row r="3983" spans="1:3" x14ac:dyDescent="0.45">
      <c r="A3983" s="11">
        <v>56.54</v>
      </c>
      <c r="B3983" s="14">
        <v>5.0672199999999999E-3</v>
      </c>
      <c r="C3983" s="15">
        <v>3.41698E-3</v>
      </c>
    </row>
    <row r="3984" spans="1:3" x14ac:dyDescent="0.45">
      <c r="A3984" s="11">
        <v>56.55</v>
      </c>
      <c r="B3984" s="14">
        <v>5.0731500000000002E-3</v>
      </c>
      <c r="C3984" s="15">
        <v>3.42035E-3</v>
      </c>
    </row>
    <row r="3985" spans="1:3" x14ac:dyDescent="0.45">
      <c r="A3985" s="11">
        <v>56.56</v>
      </c>
      <c r="B3985" s="14">
        <v>5.0790799999999997E-3</v>
      </c>
      <c r="C3985" s="15">
        <v>3.4237199999999999E-3</v>
      </c>
    </row>
    <row r="3986" spans="1:3" x14ac:dyDescent="0.45">
      <c r="A3986" s="11">
        <v>56.57</v>
      </c>
      <c r="B3986" s="14">
        <v>5.0850100000000001E-3</v>
      </c>
      <c r="C3986" s="15">
        <v>3.4270899999999998E-3</v>
      </c>
    </row>
    <row r="3987" spans="1:3" x14ac:dyDescent="0.45">
      <c r="A3987" s="11">
        <v>56.58</v>
      </c>
      <c r="B3987" s="14">
        <v>5.0909400000000004E-3</v>
      </c>
      <c r="C3987" s="15">
        <v>3.4304600000000002E-3</v>
      </c>
    </row>
    <row r="3988" spans="1:3" x14ac:dyDescent="0.45">
      <c r="A3988" s="11">
        <v>56.59</v>
      </c>
      <c r="B3988" s="14">
        <v>5.0968699999999999E-3</v>
      </c>
      <c r="C3988" s="15">
        <v>3.4338300000000001E-3</v>
      </c>
    </row>
    <row r="3989" spans="1:3" x14ac:dyDescent="0.45">
      <c r="A3989" s="11">
        <v>56.6</v>
      </c>
      <c r="B3989" s="14">
        <v>5.1028000000000002E-3</v>
      </c>
      <c r="C3989" s="15">
        <v>3.4372000000000001E-3</v>
      </c>
    </row>
    <row r="3990" spans="1:3" x14ac:dyDescent="0.45">
      <c r="A3990" s="11">
        <v>56.61</v>
      </c>
      <c r="B3990" s="14">
        <v>5.1087299999999997E-3</v>
      </c>
      <c r="C3990" s="15">
        <v>3.44057E-3</v>
      </c>
    </row>
    <row r="3991" spans="1:3" x14ac:dyDescent="0.45">
      <c r="A3991" s="11">
        <v>56.62</v>
      </c>
      <c r="B3991" s="14">
        <v>5.11466E-3</v>
      </c>
      <c r="C3991" s="15">
        <v>3.4439399999999999E-3</v>
      </c>
    </row>
    <row r="3992" spans="1:3" x14ac:dyDescent="0.45">
      <c r="A3992" s="11">
        <v>56.63</v>
      </c>
      <c r="B3992" s="14">
        <v>5.1205900000000004E-3</v>
      </c>
      <c r="C3992" s="15">
        <v>3.4473099999999999E-3</v>
      </c>
    </row>
    <row r="3993" spans="1:3" x14ac:dyDescent="0.45">
      <c r="A3993" s="11">
        <v>56.64</v>
      </c>
      <c r="B3993" s="14">
        <v>5.1265199999999999E-3</v>
      </c>
      <c r="C3993" s="15">
        <v>3.4506799999999998E-3</v>
      </c>
    </row>
    <row r="3994" spans="1:3" x14ac:dyDescent="0.45">
      <c r="A3994" s="11">
        <v>56.65</v>
      </c>
      <c r="B3994" s="14">
        <v>5.1324500000000002E-3</v>
      </c>
      <c r="C3994" s="15">
        <v>3.4540500000000002E-3</v>
      </c>
    </row>
    <row r="3995" spans="1:3" x14ac:dyDescent="0.45">
      <c r="A3995" s="11">
        <v>56.66</v>
      </c>
      <c r="B3995" s="14">
        <v>5.1383799999999997E-3</v>
      </c>
      <c r="C3995" s="15">
        <v>3.4574200000000001E-3</v>
      </c>
    </row>
    <row r="3996" spans="1:3" x14ac:dyDescent="0.45">
      <c r="A3996" s="11">
        <v>56.67</v>
      </c>
      <c r="B3996" s="14">
        <v>5.14431E-3</v>
      </c>
      <c r="C3996" s="15">
        <v>3.46079E-3</v>
      </c>
    </row>
    <row r="3997" spans="1:3" x14ac:dyDescent="0.45">
      <c r="A3997" s="11">
        <v>56.68</v>
      </c>
      <c r="B3997" s="14">
        <v>5.1502400000000004E-3</v>
      </c>
      <c r="C3997" s="15">
        <v>3.46416E-3</v>
      </c>
    </row>
    <row r="3998" spans="1:3" x14ac:dyDescent="0.45">
      <c r="A3998" s="11">
        <v>56.69</v>
      </c>
      <c r="B3998" s="14">
        <v>5.1561699999999999E-3</v>
      </c>
      <c r="C3998" s="15">
        <v>3.4675299999999999E-3</v>
      </c>
    </row>
    <row r="3999" spans="1:3" x14ac:dyDescent="0.45">
      <c r="A3999" s="11">
        <v>56.7</v>
      </c>
      <c r="B3999" s="14">
        <v>5.1621000000000002E-3</v>
      </c>
      <c r="C3999" s="15">
        <v>3.4708999999999999E-3</v>
      </c>
    </row>
    <row r="4000" spans="1:3" x14ac:dyDescent="0.45">
      <c r="A4000" s="11">
        <v>56.71</v>
      </c>
      <c r="B4000" s="14">
        <v>5.1680299999999997E-3</v>
      </c>
      <c r="C4000" s="15">
        <v>3.4742699999999998E-3</v>
      </c>
    </row>
    <row r="4001" spans="1:3" x14ac:dyDescent="0.45">
      <c r="A4001" s="11">
        <v>56.72</v>
      </c>
      <c r="B4001" s="14">
        <v>5.17396E-3</v>
      </c>
      <c r="C4001" s="15">
        <v>3.4776400000000002E-3</v>
      </c>
    </row>
    <row r="4002" spans="1:3" x14ac:dyDescent="0.45">
      <c r="A4002" s="11">
        <v>56.73</v>
      </c>
      <c r="B4002" s="14">
        <v>5.1798900000000004E-3</v>
      </c>
      <c r="C4002" s="15">
        <v>3.4810100000000001E-3</v>
      </c>
    </row>
    <row r="4003" spans="1:3" x14ac:dyDescent="0.45">
      <c r="A4003" s="11">
        <v>56.74</v>
      </c>
      <c r="B4003" s="14">
        <v>5.1858199999999998E-3</v>
      </c>
      <c r="C4003" s="15">
        <v>3.48438E-3</v>
      </c>
    </row>
    <row r="4004" spans="1:3" x14ac:dyDescent="0.45">
      <c r="A4004" s="11">
        <v>56.75</v>
      </c>
      <c r="B4004" s="14">
        <v>5.1917500000000002E-3</v>
      </c>
      <c r="C4004" s="15">
        <v>3.48775E-3</v>
      </c>
    </row>
    <row r="4005" spans="1:3" x14ac:dyDescent="0.45">
      <c r="A4005" s="11">
        <v>56.76</v>
      </c>
      <c r="B4005" s="14">
        <v>5.1976799999999997E-3</v>
      </c>
      <c r="C4005" s="15">
        <v>3.4911199999999999E-3</v>
      </c>
    </row>
    <row r="4006" spans="1:3" x14ac:dyDescent="0.45">
      <c r="A4006" s="11">
        <v>56.77</v>
      </c>
      <c r="B4006" s="14">
        <v>5.20361E-3</v>
      </c>
      <c r="C4006" s="15">
        <v>3.4944899999999998E-3</v>
      </c>
    </row>
    <row r="4007" spans="1:3" x14ac:dyDescent="0.45">
      <c r="A4007" s="11">
        <v>56.78</v>
      </c>
      <c r="B4007" s="14">
        <v>5.2095400000000004E-3</v>
      </c>
      <c r="C4007" s="15">
        <v>3.4978600000000002E-3</v>
      </c>
    </row>
    <row r="4008" spans="1:3" x14ac:dyDescent="0.45">
      <c r="A4008" s="11">
        <v>56.79</v>
      </c>
      <c r="B4008" s="14">
        <v>5.2154699999999998E-3</v>
      </c>
      <c r="C4008" s="15">
        <v>3.5012300000000001E-3</v>
      </c>
    </row>
    <row r="4009" spans="1:3" x14ac:dyDescent="0.45">
      <c r="A4009" s="11">
        <v>56.8</v>
      </c>
      <c r="B4009" s="14">
        <v>5.2214000000000002E-3</v>
      </c>
      <c r="C4009" s="15">
        <v>3.5046000000000001E-3</v>
      </c>
    </row>
    <row r="4010" spans="1:3" x14ac:dyDescent="0.45">
      <c r="A4010" s="11">
        <v>56.81</v>
      </c>
      <c r="B4010" s="14">
        <v>5.2273299999999997E-3</v>
      </c>
      <c r="C4010" s="15">
        <v>3.50797E-3</v>
      </c>
    </row>
    <row r="4011" spans="1:3" x14ac:dyDescent="0.45">
      <c r="A4011" s="11">
        <v>56.82</v>
      </c>
      <c r="B4011" s="14">
        <v>5.23326E-3</v>
      </c>
      <c r="C4011" s="15">
        <v>3.5113399999999999E-3</v>
      </c>
    </row>
    <row r="4012" spans="1:3" x14ac:dyDescent="0.45">
      <c r="A4012" s="11">
        <v>56.83</v>
      </c>
      <c r="B4012" s="14">
        <v>5.2391900000000003E-3</v>
      </c>
      <c r="C4012" s="15">
        <v>3.5147099999999999E-3</v>
      </c>
    </row>
    <row r="4013" spans="1:3" x14ac:dyDescent="0.45">
      <c r="A4013" s="11">
        <v>56.84</v>
      </c>
      <c r="B4013" s="14">
        <v>5.2451199999999998E-3</v>
      </c>
      <c r="C4013" s="15">
        <v>3.5180799999999998E-3</v>
      </c>
    </row>
    <row r="4014" spans="1:3" x14ac:dyDescent="0.45">
      <c r="A4014" s="11">
        <v>56.85</v>
      </c>
      <c r="B4014" s="14">
        <v>5.2510500000000002E-3</v>
      </c>
      <c r="C4014" s="15">
        <v>3.5214500000000002E-3</v>
      </c>
    </row>
    <row r="4015" spans="1:3" x14ac:dyDescent="0.45">
      <c r="A4015" s="11">
        <v>56.86</v>
      </c>
      <c r="B4015" s="14">
        <v>5.2569799999999996E-3</v>
      </c>
      <c r="C4015" s="15">
        <v>3.5248200000000001E-3</v>
      </c>
    </row>
    <row r="4016" spans="1:3" x14ac:dyDescent="0.45">
      <c r="A4016" s="11">
        <v>56.87</v>
      </c>
      <c r="B4016" s="14">
        <v>5.26291E-3</v>
      </c>
      <c r="C4016" s="15">
        <v>3.5281900000000001E-3</v>
      </c>
    </row>
    <row r="4017" spans="1:3" x14ac:dyDescent="0.45">
      <c r="A4017" s="11">
        <v>56.88</v>
      </c>
      <c r="B4017" s="14">
        <v>5.2688400000000003E-3</v>
      </c>
      <c r="C4017" s="15">
        <v>3.53156E-3</v>
      </c>
    </row>
    <row r="4018" spans="1:3" x14ac:dyDescent="0.45">
      <c r="A4018" s="11">
        <v>56.89</v>
      </c>
      <c r="B4018" s="14">
        <v>5.2747699999999998E-3</v>
      </c>
      <c r="C4018" s="15">
        <v>3.5349299999999999E-3</v>
      </c>
    </row>
    <row r="4019" spans="1:3" x14ac:dyDescent="0.45">
      <c r="A4019" s="11">
        <v>56.9</v>
      </c>
      <c r="B4019" s="14">
        <v>5.2807000000000002E-3</v>
      </c>
      <c r="C4019" s="15">
        <v>3.5382999999999999E-3</v>
      </c>
    </row>
    <row r="4020" spans="1:3" x14ac:dyDescent="0.45">
      <c r="A4020" s="11">
        <v>56.91</v>
      </c>
      <c r="B4020" s="14">
        <v>5.2866299999999996E-3</v>
      </c>
      <c r="C4020" s="15">
        <v>3.5416699999999998E-3</v>
      </c>
    </row>
    <row r="4021" spans="1:3" x14ac:dyDescent="0.45">
      <c r="A4021" s="11">
        <v>56.92</v>
      </c>
      <c r="B4021" s="14">
        <v>5.29256E-3</v>
      </c>
      <c r="C4021" s="15">
        <v>3.5450400000000002E-3</v>
      </c>
    </row>
    <row r="4022" spans="1:3" x14ac:dyDescent="0.45">
      <c r="A4022" s="11">
        <v>56.93</v>
      </c>
      <c r="B4022" s="14">
        <v>5.2984900000000003E-3</v>
      </c>
      <c r="C4022" s="15">
        <v>3.5484100000000001E-3</v>
      </c>
    </row>
    <row r="4023" spans="1:3" x14ac:dyDescent="0.45">
      <c r="A4023" s="11">
        <v>56.94</v>
      </c>
      <c r="B4023" s="14">
        <v>5.3044199999999998E-3</v>
      </c>
      <c r="C4023" s="15">
        <v>3.55178E-3</v>
      </c>
    </row>
    <row r="4024" spans="1:3" x14ac:dyDescent="0.45">
      <c r="A4024" s="11">
        <v>56.95</v>
      </c>
      <c r="B4024" s="14">
        <v>5.3103500000000001E-3</v>
      </c>
      <c r="C4024" s="15">
        <v>3.55515E-3</v>
      </c>
    </row>
    <row r="4025" spans="1:3" x14ac:dyDescent="0.45">
      <c r="A4025" s="11">
        <v>56.96</v>
      </c>
      <c r="B4025" s="14">
        <v>5.3162799999999996E-3</v>
      </c>
      <c r="C4025" s="15">
        <v>3.5585199999999999E-3</v>
      </c>
    </row>
    <row r="4026" spans="1:3" x14ac:dyDescent="0.45">
      <c r="A4026" s="11">
        <v>56.97</v>
      </c>
      <c r="B4026" s="14">
        <v>5.32221E-3</v>
      </c>
      <c r="C4026" s="15">
        <v>3.5618899999999998E-3</v>
      </c>
    </row>
    <row r="4027" spans="1:3" x14ac:dyDescent="0.45">
      <c r="A4027" s="11">
        <v>56.98</v>
      </c>
      <c r="B4027" s="14">
        <v>5.3281400000000003E-3</v>
      </c>
      <c r="C4027" s="15">
        <v>3.5652599999999998E-3</v>
      </c>
    </row>
    <row r="4028" spans="1:3" x14ac:dyDescent="0.45">
      <c r="A4028" s="11">
        <v>56.99</v>
      </c>
      <c r="B4028" s="14">
        <v>5.3340699999999998E-3</v>
      </c>
      <c r="C4028" s="15">
        <v>3.5686300000000002E-3</v>
      </c>
    </row>
    <row r="4029" spans="1:3" x14ac:dyDescent="0.45">
      <c r="A4029" s="11">
        <v>57</v>
      </c>
      <c r="B4029" s="14">
        <v>5.3400000000000001E-3</v>
      </c>
      <c r="C4029" s="15">
        <v>3.5720000000000001E-3</v>
      </c>
    </row>
    <row r="4030" spans="1:3" x14ac:dyDescent="0.45">
      <c r="A4030" s="11">
        <v>57.01</v>
      </c>
      <c r="B4030" s="14">
        <v>5.3466499999999997E-3</v>
      </c>
      <c r="C4030" s="15">
        <v>3.5757499999999999E-3</v>
      </c>
    </row>
    <row r="4031" spans="1:3" x14ac:dyDescent="0.45">
      <c r="A4031" s="11">
        <v>57.02</v>
      </c>
      <c r="B4031" s="14">
        <v>5.3533000000000001E-3</v>
      </c>
      <c r="C4031" s="15">
        <v>3.5795000000000002E-3</v>
      </c>
    </row>
    <row r="4032" spans="1:3" x14ac:dyDescent="0.45">
      <c r="A4032" s="11">
        <v>57.03</v>
      </c>
      <c r="B4032" s="14">
        <v>5.3599499999999996E-3</v>
      </c>
      <c r="C4032" s="15">
        <v>3.5832500000000001E-3</v>
      </c>
    </row>
    <row r="4033" spans="1:3" x14ac:dyDescent="0.45">
      <c r="A4033" s="11">
        <v>57.04</v>
      </c>
      <c r="B4033" s="14">
        <v>5.3666E-3</v>
      </c>
      <c r="C4033" s="15">
        <v>3.5869999999999999E-3</v>
      </c>
    </row>
    <row r="4034" spans="1:3" x14ac:dyDescent="0.45">
      <c r="A4034" s="11">
        <v>57.05</v>
      </c>
      <c r="B4034" s="14">
        <v>5.3732500000000004E-3</v>
      </c>
      <c r="C4034" s="15">
        <v>3.5907500000000002E-3</v>
      </c>
    </row>
    <row r="4035" spans="1:3" x14ac:dyDescent="0.45">
      <c r="A4035" s="11">
        <v>57.06</v>
      </c>
      <c r="B4035" s="14">
        <v>5.3799E-3</v>
      </c>
      <c r="C4035" s="15">
        <v>3.5945E-3</v>
      </c>
    </row>
    <row r="4036" spans="1:3" x14ac:dyDescent="0.45">
      <c r="A4036" s="11">
        <v>57.07</v>
      </c>
      <c r="B4036" s="14">
        <v>5.3865500000000004E-3</v>
      </c>
      <c r="C4036" s="15">
        <v>3.5982499999999999E-3</v>
      </c>
    </row>
    <row r="4037" spans="1:3" x14ac:dyDescent="0.45">
      <c r="A4037" s="11">
        <v>57.08</v>
      </c>
      <c r="B4037" s="14">
        <v>5.3931999999999999E-3</v>
      </c>
      <c r="C4037" s="15">
        <v>3.6020000000000002E-3</v>
      </c>
    </row>
    <row r="4038" spans="1:3" x14ac:dyDescent="0.45">
      <c r="A4038" s="11">
        <v>57.09</v>
      </c>
      <c r="B4038" s="14">
        <v>5.3998500000000003E-3</v>
      </c>
      <c r="C4038" s="15">
        <v>3.60575E-3</v>
      </c>
    </row>
    <row r="4039" spans="1:3" x14ac:dyDescent="0.45">
      <c r="A4039" s="11">
        <v>57.1</v>
      </c>
      <c r="B4039" s="14">
        <v>5.4064999999999998E-3</v>
      </c>
      <c r="C4039" s="15">
        <v>3.6094999999999999E-3</v>
      </c>
    </row>
    <row r="4040" spans="1:3" x14ac:dyDescent="0.45">
      <c r="A4040" s="11">
        <v>57.11</v>
      </c>
      <c r="B4040" s="14">
        <v>5.4131500000000003E-3</v>
      </c>
      <c r="C4040" s="15">
        <v>3.6132500000000001E-3</v>
      </c>
    </row>
    <row r="4041" spans="1:3" x14ac:dyDescent="0.45">
      <c r="A4041" s="11">
        <v>57.12</v>
      </c>
      <c r="B4041" s="14">
        <v>5.4197999999999998E-3</v>
      </c>
      <c r="C4041" s="15">
        <v>3.617E-3</v>
      </c>
    </row>
    <row r="4042" spans="1:3" x14ac:dyDescent="0.45">
      <c r="A4042" s="11">
        <v>57.13</v>
      </c>
      <c r="B4042" s="14">
        <v>5.4264500000000002E-3</v>
      </c>
      <c r="C4042" s="15">
        <v>3.6207499999999998E-3</v>
      </c>
    </row>
    <row r="4043" spans="1:3" x14ac:dyDescent="0.45">
      <c r="A4043" s="11">
        <v>57.14</v>
      </c>
      <c r="B4043" s="14">
        <v>5.4330999999999997E-3</v>
      </c>
      <c r="C4043" s="15">
        <v>3.6245000000000001E-3</v>
      </c>
    </row>
    <row r="4044" spans="1:3" x14ac:dyDescent="0.45">
      <c r="A4044" s="11">
        <v>57.15</v>
      </c>
      <c r="B4044" s="14">
        <v>5.4397500000000001E-3</v>
      </c>
      <c r="C4044" s="15">
        <v>3.62825E-3</v>
      </c>
    </row>
    <row r="4045" spans="1:3" x14ac:dyDescent="0.45">
      <c r="A4045" s="11">
        <v>57.16</v>
      </c>
      <c r="B4045" s="14">
        <v>5.4463999999999997E-3</v>
      </c>
      <c r="C4045" s="15">
        <v>3.6319999999999998E-3</v>
      </c>
    </row>
    <row r="4046" spans="1:3" x14ac:dyDescent="0.45">
      <c r="A4046" s="11">
        <v>57.17</v>
      </c>
      <c r="B4046" s="14">
        <v>5.4530500000000001E-3</v>
      </c>
      <c r="C4046" s="15">
        <v>3.6357500000000001E-3</v>
      </c>
    </row>
    <row r="4047" spans="1:3" x14ac:dyDescent="0.45">
      <c r="A4047" s="11">
        <v>57.18</v>
      </c>
      <c r="B4047" s="14">
        <v>5.4596999999999996E-3</v>
      </c>
      <c r="C4047" s="15">
        <v>3.6394999999999999E-3</v>
      </c>
    </row>
    <row r="4048" spans="1:3" x14ac:dyDescent="0.45">
      <c r="A4048" s="11">
        <v>57.19</v>
      </c>
      <c r="B4048" s="14">
        <v>5.46635E-3</v>
      </c>
      <c r="C4048" s="15">
        <v>3.6432499999999998E-3</v>
      </c>
    </row>
    <row r="4049" spans="1:3" x14ac:dyDescent="0.45">
      <c r="A4049" s="11">
        <v>57.2</v>
      </c>
      <c r="B4049" s="14">
        <v>5.4730000000000004E-3</v>
      </c>
      <c r="C4049" s="15">
        <v>3.6470000000000001E-3</v>
      </c>
    </row>
    <row r="4050" spans="1:3" x14ac:dyDescent="0.45">
      <c r="A4050" s="11">
        <v>57.21</v>
      </c>
      <c r="B4050" s="14">
        <v>5.47965E-3</v>
      </c>
      <c r="C4050" s="15">
        <v>3.6507499999999999E-3</v>
      </c>
    </row>
    <row r="4051" spans="1:3" x14ac:dyDescent="0.45">
      <c r="A4051" s="11">
        <v>57.22</v>
      </c>
      <c r="B4051" s="14">
        <v>5.4863000000000004E-3</v>
      </c>
      <c r="C4051" s="15">
        <v>3.6545000000000002E-3</v>
      </c>
    </row>
    <row r="4052" spans="1:3" x14ac:dyDescent="0.45">
      <c r="A4052" s="11">
        <v>57.23</v>
      </c>
      <c r="B4052" s="14">
        <v>5.4929499999999999E-3</v>
      </c>
      <c r="C4052" s="15">
        <v>3.65825E-3</v>
      </c>
    </row>
    <row r="4053" spans="1:3" x14ac:dyDescent="0.45">
      <c r="A4053" s="11">
        <v>57.24</v>
      </c>
      <c r="B4053" s="14">
        <v>5.4996000000000003E-3</v>
      </c>
      <c r="C4053" s="15">
        <v>3.6619999999999999E-3</v>
      </c>
    </row>
    <row r="4054" spans="1:3" x14ac:dyDescent="0.45">
      <c r="A4054" s="11">
        <v>57.25</v>
      </c>
      <c r="B4054" s="14">
        <v>5.5062499999999999E-3</v>
      </c>
      <c r="C4054" s="15">
        <v>3.6657500000000002E-3</v>
      </c>
    </row>
    <row r="4055" spans="1:3" x14ac:dyDescent="0.45">
      <c r="A4055" s="11">
        <v>57.26</v>
      </c>
      <c r="B4055" s="14">
        <v>5.5129000000000003E-3</v>
      </c>
      <c r="C4055" s="15">
        <v>3.6695E-3</v>
      </c>
    </row>
    <row r="4056" spans="1:3" x14ac:dyDescent="0.45">
      <c r="A4056" s="11">
        <v>57.27</v>
      </c>
      <c r="B4056" s="14">
        <v>5.5195499999999998E-3</v>
      </c>
      <c r="C4056" s="15">
        <v>3.6732499999999999E-3</v>
      </c>
    </row>
    <row r="4057" spans="1:3" x14ac:dyDescent="0.45">
      <c r="A4057" s="11">
        <v>57.28</v>
      </c>
      <c r="B4057" s="14">
        <v>5.5262000000000002E-3</v>
      </c>
      <c r="C4057" s="15">
        <v>3.6770000000000001E-3</v>
      </c>
    </row>
    <row r="4058" spans="1:3" x14ac:dyDescent="0.45">
      <c r="A4058" s="11">
        <v>57.29</v>
      </c>
      <c r="B4058" s="14">
        <v>5.5328499999999997E-3</v>
      </c>
      <c r="C4058" s="15">
        <v>3.68075E-3</v>
      </c>
    </row>
    <row r="4059" spans="1:3" x14ac:dyDescent="0.45">
      <c r="A4059" s="11">
        <v>57.3</v>
      </c>
      <c r="B4059" s="14">
        <v>5.5395000000000002E-3</v>
      </c>
      <c r="C4059" s="15">
        <v>3.6844999999999998E-3</v>
      </c>
    </row>
    <row r="4060" spans="1:3" x14ac:dyDescent="0.45">
      <c r="A4060" s="11">
        <v>57.31</v>
      </c>
      <c r="B4060" s="14">
        <v>5.5461499999999997E-3</v>
      </c>
      <c r="C4060" s="15">
        <v>3.6882500000000001E-3</v>
      </c>
    </row>
    <row r="4061" spans="1:3" x14ac:dyDescent="0.45">
      <c r="A4061" s="11">
        <v>57.32</v>
      </c>
      <c r="B4061" s="14">
        <v>5.5528000000000001E-3</v>
      </c>
      <c r="C4061" s="15">
        <v>3.692E-3</v>
      </c>
    </row>
    <row r="4062" spans="1:3" x14ac:dyDescent="0.45">
      <c r="A4062" s="11">
        <v>57.33</v>
      </c>
      <c r="B4062" s="14">
        <v>5.5594499999999996E-3</v>
      </c>
      <c r="C4062" s="15">
        <v>3.6957499999999998E-3</v>
      </c>
    </row>
    <row r="4063" spans="1:3" x14ac:dyDescent="0.45">
      <c r="A4063" s="11">
        <v>57.34</v>
      </c>
      <c r="B4063" s="14">
        <v>5.5661E-3</v>
      </c>
      <c r="C4063" s="15">
        <v>3.6995000000000001E-3</v>
      </c>
    </row>
    <row r="4064" spans="1:3" x14ac:dyDescent="0.45">
      <c r="A4064" s="11">
        <v>57.35</v>
      </c>
      <c r="B4064" s="14">
        <v>5.5727499999999996E-3</v>
      </c>
      <c r="C4064" s="15">
        <v>3.7032499999999999E-3</v>
      </c>
    </row>
    <row r="4065" spans="1:3" x14ac:dyDescent="0.45">
      <c r="A4065" s="11">
        <v>57.36</v>
      </c>
      <c r="B4065" s="14">
        <v>5.5794E-3</v>
      </c>
      <c r="C4065" s="15">
        <v>3.7069999999999998E-3</v>
      </c>
    </row>
    <row r="4066" spans="1:3" x14ac:dyDescent="0.45">
      <c r="A4066" s="11">
        <v>57.37</v>
      </c>
      <c r="B4066" s="14">
        <v>5.5860500000000004E-3</v>
      </c>
      <c r="C4066" s="15">
        <v>3.7107500000000001E-3</v>
      </c>
    </row>
    <row r="4067" spans="1:3" x14ac:dyDescent="0.45">
      <c r="A4067" s="11">
        <v>57.38</v>
      </c>
      <c r="B4067" s="14">
        <v>5.5926999999999999E-3</v>
      </c>
      <c r="C4067" s="15">
        <v>3.7144999999999999E-3</v>
      </c>
    </row>
    <row r="4068" spans="1:3" x14ac:dyDescent="0.45">
      <c r="A4068" s="11">
        <v>57.39</v>
      </c>
      <c r="B4068" s="14">
        <v>5.5993500000000003E-3</v>
      </c>
      <c r="C4068" s="15">
        <v>3.7182500000000002E-3</v>
      </c>
    </row>
    <row r="4069" spans="1:3" x14ac:dyDescent="0.45">
      <c r="A4069" s="11">
        <v>57.4</v>
      </c>
      <c r="B4069" s="14">
        <v>5.6059999999999999E-3</v>
      </c>
      <c r="C4069" s="15">
        <v>3.722E-3</v>
      </c>
    </row>
    <row r="4070" spans="1:3" x14ac:dyDescent="0.45">
      <c r="A4070" s="11">
        <v>57.41</v>
      </c>
      <c r="B4070" s="14">
        <v>5.6126500000000003E-3</v>
      </c>
      <c r="C4070" s="15">
        <v>3.7257499999999999E-3</v>
      </c>
    </row>
    <row r="4071" spans="1:3" x14ac:dyDescent="0.45">
      <c r="A4071" s="11">
        <v>57.42</v>
      </c>
      <c r="B4071" s="14">
        <v>5.6192999999999998E-3</v>
      </c>
      <c r="C4071" s="15">
        <v>3.7295000000000002E-3</v>
      </c>
    </row>
    <row r="4072" spans="1:3" x14ac:dyDescent="0.45">
      <c r="A4072" s="11">
        <v>57.43</v>
      </c>
      <c r="B4072" s="14">
        <v>5.6259500000000002E-3</v>
      </c>
      <c r="C4072" s="15">
        <v>3.73325E-3</v>
      </c>
    </row>
    <row r="4073" spans="1:3" x14ac:dyDescent="0.45">
      <c r="A4073" s="11">
        <v>57.44</v>
      </c>
      <c r="B4073" s="14">
        <v>5.6325999999999998E-3</v>
      </c>
      <c r="C4073" s="15">
        <v>3.7369999999999999E-3</v>
      </c>
    </row>
    <row r="4074" spans="1:3" x14ac:dyDescent="0.45">
      <c r="A4074" s="11">
        <v>57.45</v>
      </c>
      <c r="B4074" s="14">
        <v>5.6392500000000002E-3</v>
      </c>
      <c r="C4074" s="15">
        <v>3.7407500000000002E-3</v>
      </c>
    </row>
    <row r="4075" spans="1:3" x14ac:dyDescent="0.45">
      <c r="A4075" s="11">
        <v>57.46</v>
      </c>
      <c r="B4075" s="14">
        <v>5.6458999999999997E-3</v>
      </c>
      <c r="C4075" s="15">
        <v>3.7445E-3</v>
      </c>
    </row>
    <row r="4076" spans="1:3" x14ac:dyDescent="0.45">
      <c r="A4076" s="11">
        <v>57.47</v>
      </c>
      <c r="B4076" s="14">
        <v>5.6525500000000001E-3</v>
      </c>
      <c r="C4076" s="15">
        <v>3.7482499999999998E-3</v>
      </c>
    </row>
    <row r="4077" spans="1:3" x14ac:dyDescent="0.45">
      <c r="A4077" s="11">
        <v>57.48</v>
      </c>
      <c r="B4077" s="14">
        <v>5.6591999999999996E-3</v>
      </c>
      <c r="C4077" s="15">
        <v>3.7520000000000001E-3</v>
      </c>
    </row>
    <row r="4078" spans="1:3" x14ac:dyDescent="0.45">
      <c r="A4078" s="11">
        <v>57.49</v>
      </c>
      <c r="B4078" s="14">
        <v>5.6658500000000001E-3</v>
      </c>
      <c r="C4078" s="15">
        <v>3.75575E-3</v>
      </c>
    </row>
    <row r="4079" spans="1:3" x14ac:dyDescent="0.45">
      <c r="A4079" s="11">
        <v>57.5</v>
      </c>
      <c r="B4079" s="14">
        <v>5.6724999999999996E-3</v>
      </c>
      <c r="C4079" s="15">
        <v>3.7594999999999998E-3</v>
      </c>
    </row>
    <row r="4080" spans="1:3" x14ac:dyDescent="0.45">
      <c r="A4080" s="11">
        <v>57.51</v>
      </c>
      <c r="B4080" s="14">
        <v>5.67915E-3</v>
      </c>
      <c r="C4080" s="15">
        <v>3.7632500000000001E-3</v>
      </c>
    </row>
    <row r="4081" spans="1:3" x14ac:dyDescent="0.45">
      <c r="A4081" s="11">
        <v>57.52</v>
      </c>
      <c r="B4081" s="14">
        <v>5.6858000000000004E-3</v>
      </c>
      <c r="C4081" s="15">
        <v>3.7669999999999999E-3</v>
      </c>
    </row>
    <row r="4082" spans="1:3" x14ac:dyDescent="0.45">
      <c r="A4082" s="11">
        <v>57.53</v>
      </c>
      <c r="B4082" s="14">
        <v>5.6924499999999999E-3</v>
      </c>
      <c r="C4082" s="15">
        <v>3.7707499999999998E-3</v>
      </c>
    </row>
    <row r="4083" spans="1:3" x14ac:dyDescent="0.45">
      <c r="A4083" s="11">
        <v>57.54</v>
      </c>
      <c r="B4083" s="14">
        <v>5.6991000000000003E-3</v>
      </c>
      <c r="C4083" s="15">
        <v>3.7745000000000001E-3</v>
      </c>
    </row>
    <row r="4084" spans="1:3" x14ac:dyDescent="0.45">
      <c r="A4084" s="11">
        <v>57.55</v>
      </c>
      <c r="B4084" s="14">
        <v>5.7057499999999999E-3</v>
      </c>
      <c r="C4084" s="15">
        <v>3.7782499999999999E-3</v>
      </c>
    </row>
    <row r="4085" spans="1:3" x14ac:dyDescent="0.45">
      <c r="A4085" s="11">
        <v>57.56</v>
      </c>
      <c r="B4085" s="14">
        <v>5.7124000000000003E-3</v>
      </c>
      <c r="C4085" s="15">
        <v>3.7820000000000002E-3</v>
      </c>
    </row>
    <row r="4086" spans="1:3" x14ac:dyDescent="0.45">
      <c r="A4086" s="11">
        <v>57.57</v>
      </c>
      <c r="B4086" s="14">
        <v>5.7190499999999998E-3</v>
      </c>
      <c r="C4086" s="15">
        <v>3.7857500000000001E-3</v>
      </c>
    </row>
    <row r="4087" spans="1:3" x14ac:dyDescent="0.45">
      <c r="A4087" s="11">
        <v>57.58</v>
      </c>
      <c r="B4087" s="14">
        <v>5.7257000000000002E-3</v>
      </c>
      <c r="C4087" s="15">
        <v>3.7894999999999999E-3</v>
      </c>
    </row>
    <row r="4088" spans="1:3" x14ac:dyDescent="0.45">
      <c r="A4088" s="11">
        <v>57.59</v>
      </c>
      <c r="B4088" s="14">
        <v>5.7323499999999998E-3</v>
      </c>
      <c r="C4088" s="15">
        <v>3.7932500000000002E-3</v>
      </c>
    </row>
    <row r="4089" spans="1:3" x14ac:dyDescent="0.45">
      <c r="A4089" s="11">
        <v>57.6</v>
      </c>
      <c r="B4089" s="14">
        <v>5.7390000000000002E-3</v>
      </c>
      <c r="C4089" s="15">
        <v>3.797E-3</v>
      </c>
    </row>
    <row r="4090" spans="1:3" x14ac:dyDescent="0.45">
      <c r="A4090" s="11">
        <v>57.61</v>
      </c>
      <c r="B4090" s="14">
        <v>5.7456499999999997E-3</v>
      </c>
      <c r="C4090" s="15">
        <v>3.8007499999999999E-3</v>
      </c>
    </row>
    <row r="4091" spans="1:3" x14ac:dyDescent="0.45">
      <c r="A4091" s="11">
        <v>57.62</v>
      </c>
      <c r="B4091" s="14">
        <v>5.7523000000000001E-3</v>
      </c>
      <c r="C4091" s="15">
        <v>3.8045000000000002E-3</v>
      </c>
    </row>
    <row r="4092" spans="1:3" x14ac:dyDescent="0.45">
      <c r="A4092" s="11">
        <v>57.63</v>
      </c>
      <c r="B4092" s="14">
        <v>5.7589499999999997E-3</v>
      </c>
      <c r="C4092" s="15">
        <v>3.80825E-3</v>
      </c>
    </row>
    <row r="4093" spans="1:3" x14ac:dyDescent="0.45">
      <c r="A4093" s="11">
        <v>57.64</v>
      </c>
      <c r="B4093" s="14">
        <v>5.7656000000000001E-3</v>
      </c>
      <c r="C4093" s="15">
        <v>3.8119999999999999E-3</v>
      </c>
    </row>
    <row r="4094" spans="1:3" x14ac:dyDescent="0.45">
      <c r="A4094" s="11">
        <v>57.65</v>
      </c>
      <c r="B4094" s="14">
        <v>5.7722499999999996E-3</v>
      </c>
      <c r="C4094" s="15">
        <v>3.8157500000000001E-3</v>
      </c>
    </row>
    <row r="4095" spans="1:3" x14ac:dyDescent="0.45">
      <c r="A4095" s="11">
        <v>57.66</v>
      </c>
      <c r="B4095" s="14">
        <v>5.7789E-3</v>
      </c>
      <c r="C4095" s="15">
        <v>3.8195E-3</v>
      </c>
    </row>
    <row r="4096" spans="1:3" x14ac:dyDescent="0.45">
      <c r="A4096" s="11">
        <v>57.67</v>
      </c>
      <c r="B4096" s="14">
        <v>5.7855500000000004E-3</v>
      </c>
      <c r="C4096" s="15">
        <v>3.8232499999999998E-3</v>
      </c>
    </row>
    <row r="4097" spans="1:3" x14ac:dyDescent="0.45">
      <c r="A4097" s="11">
        <v>57.68</v>
      </c>
      <c r="B4097" s="14">
        <v>5.7922E-3</v>
      </c>
      <c r="C4097" s="15">
        <v>3.8270000000000001E-3</v>
      </c>
    </row>
    <row r="4098" spans="1:3" x14ac:dyDescent="0.45">
      <c r="A4098" s="11">
        <v>57.69</v>
      </c>
      <c r="B4098" s="14">
        <v>5.7988500000000004E-3</v>
      </c>
      <c r="C4098" s="15">
        <v>3.83075E-3</v>
      </c>
    </row>
    <row r="4099" spans="1:3" x14ac:dyDescent="0.45">
      <c r="A4099" s="11">
        <v>57.7</v>
      </c>
      <c r="B4099" s="14">
        <v>5.8054999999999999E-3</v>
      </c>
      <c r="C4099" s="15">
        <v>3.8344999999999998E-3</v>
      </c>
    </row>
    <row r="4100" spans="1:3" x14ac:dyDescent="0.45">
      <c r="A4100" s="11">
        <v>57.71</v>
      </c>
      <c r="B4100" s="14">
        <v>5.8121500000000003E-3</v>
      </c>
      <c r="C4100" s="15">
        <v>3.8382500000000001E-3</v>
      </c>
    </row>
    <row r="4101" spans="1:3" x14ac:dyDescent="0.45">
      <c r="A4101" s="11">
        <v>57.72</v>
      </c>
      <c r="B4101" s="14">
        <v>5.8187999999999998E-3</v>
      </c>
      <c r="C4101" s="15">
        <v>3.8419999999999999E-3</v>
      </c>
    </row>
    <row r="4102" spans="1:3" x14ac:dyDescent="0.45">
      <c r="A4102" s="11">
        <v>57.73</v>
      </c>
      <c r="B4102" s="14">
        <v>5.8254500000000002E-3</v>
      </c>
      <c r="C4102" s="15">
        <v>3.8457500000000002E-3</v>
      </c>
    </row>
    <row r="4103" spans="1:3" x14ac:dyDescent="0.45">
      <c r="A4103" s="11">
        <v>57.74</v>
      </c>
      <c r="B4103" s="14">
        <v>5.8320999999999998E-3</v>
      </c>
      <c r="C4103" s="15">
        <v>3.8495000000000001E-3</v>
      </c>
    </row>
    <row r="4104" spans="1:3" x14ac:dyDescent="0.45">
      <c r="A4104" s="11">
        <v>57.75</v>
      </c>
      <c r="B4104" s="14">
        <v>5.8387500000000002E-3</v>
      </c>
      <c r="C4104" s="15">
        <v>3.8532499999999999E-3</v>
      </c>
    </row>
    <row r="4105" spans="1:3" x14ac:dyDescent="0.45">
      <c r="A4105" s="11">
        <v>57.76</v>
      </c>
      <c r="B4105" s="14">
        <v>5.8453999999999997E-3</v>
      </c>
      <c r="C4105" s="15">
        <v>3.8570000000000002E-3</v>
      </c>
    </row>
    <row r="4106" spans="1:3" x14ac:dyDescent="0.45">
      <c r="A4106" s="11">
        <v>57.77</v>
      </c>
      <c r="B4106" s="14">
        <v>5.8520500000000001E-3</v>
      </c>
      <c r="C4106" s="15">
        <v>3.86075E-3</v>
      </c>
    </row>
    <row r="4107" spans="1:3" x14ac:dyDescent="0.45">
      <c r="A4107" s="11">
        <v>57.78</v>
      </c>
      <c r="B4107" s="14">
        <v>5.8586999999999997E-3</v>
      </c>
      <c r="C4107" s="15">
        <v>3.8644999999999999E-3</v>
      </c>
    </row>
    <row r="4108" spans="1:3" x14ac:dyDescent="0.45">
      <c r="A4108" s="11">
        <v>57.79</v>
      </c>
      <c r="B4108" s="14">
        <v>5.8653500000000001E-3</v>
      </c>
      <c r="C4108" s="15">
        <v>3.8682500000000002E-3</v>
      </c>
    </row>
    <row r="4109" spans="1:3" x14ac:dyDescent="0.45">
      <c r="A4109" s="11">
        <v>57.8</v>
      </c>
      <c r="B4109" s="14">
        <v>5.8719999999999996E-3</v>
      </c>
      <c r="C4109" s="15">
        <v>3.872E-3</v>
      </c>
    </row>
    <row r="4110" spans="1:3" x14ac:dyDescent="0.45">
      <c r="A4110" s="11">
        <v>57.81</v>
      </c>
      <c r="B4110" s="14">
        <v>5.87865E-3</v>
      </c>
      <c r="C4110" s="15">
        <v>3.8757499999999999E-3</v>
      </c>
    </row>
    <row r="4111" spans="1:3" x14ac:dyDescent="0.45">
      <c r="A4111" s="11">
        <v>57.82</v>
      </c>
      <c r="B4111" s="14">
        <v>5.8853000000000004E-3</v>
      </c>
      <c r="C4111" s="15">
        <v>3.8795000000000001E-3</v>
      </c>
    </row>
    <row r="4112" spans="1:3" x14ac:dyDescent="0.45">
      <c r="A4112" s="11">
        <v>57.83</v>
      </c>
      <c r="B4112" s="14">
        <v>5.89195E-3</v>
      </c>
      <c r="C4112" s="15">
        <v>3.88325E-3</v>
      </c>
    </row>
    <row r="4113" spans="1:3" x14ac:dyDescent="0.45">
      <c r="A4113" s="11">
        <v>57.84</v>
      </c>
      <c r="B4113" s="14">
        <v>5.8986000000000004E-3</v>
      </c>
      <c r="C4113" s="15">
        <v>3.8869999999999998E-3</v>
      </c>
    </row>
    <row r="4114" spans="1:3" x14ac:dyDescent="0.45">
      <c r="A4114" s="11">
        <v>57.85</v>
      </c>
      <c r="B4114" s="14">
        <v>5.9052499999999999E-3</v>
      </c>
      <c r="C4114" s="15">
        <v>3.8907500000000001E-3</v>
      </c>
    </row>
    <row r="4115" spans="1:3" x14ac:dyDescent="0.45">
      <c r="A4115" s="11">
        <v>57.86</v>
      </c>
      <c r="B4115" s="14">
        <v>5.9119000000000003E-3</v>
      </c>
      <c r="C4115" s="15">
        <v>3.8945E-3</v>
      </c>
    </row>
    <row r="4116" spans="1:3" x14ac:dyDescent="0.45">
      <c r="A4116" s="11">
        <v>57.87</v>
      </c>
      <c r="B4116" s="14">
        <v>5.9185499999999999E-3</v>
      </c>
      <c r="C4116" s="15">
        <v>3.8982499999999998E-3</v>
      </c>
    </row>
    <row r="4117" spans="1:3" x14ac:dyDescent="0.45">
      <c r="A4117" s="11">
        <v>57.88</v>
      </c>
      <c r="B4117" s="14">
        <v>5.9252000000000003E-3</v>
      </c>
      <c r="C4117" s="15">
        <v>3.9020000000000001E-3</v>
      </c>
    </row>
    <row r="4118" spans="1:3" x14ac:dyDescent="0.45">
      <c r="A4118" s="11">
        <v>57.89</v>
      </c>
      <c r="B4118" s="14">
        <v>5.9318499999999998E-3</v>
      </c>
      <c r="C4118" s="15">
        <v>3.9057499999999999E-3</v>
      </c>
    </row>
    <row r="4119" spans="1:3" x14ac:dyDescent="0.45">
      <c r="A4119" s="11">
        <v>57.9</v>
      </c>
      <c r="B4119" s="14">
        <v>5.9385000000000002E-3</v>
      </c>
      <c r="C4119" s="15">
        <v>3.9094999999999998E-3</v>
      </c>
    </row>
    <row r="4120" spans="1:3" x14ac:dyDescent="0.45">
      <c r="A4120" s="11">
        <v>57.91</v>
      </c>
      <c r="B4120" s="14">
        <v>5.9451499999999997E-3</v>
      </c>
      <c r="C4120" s="15">
        <v>3.9132500000000001E-3</v>
      </c>
    </row>
    <row r="4121" spans="1:3" x14ac:dyDescent="0.45">
      <c r="A4121" s="11">
        <v>57.92</v>
      </c>
      <c r="B4121" s="14">
        <v>5.9518000000000001E-3</v>
      </c>
      <c r="C4121" s="15">
        <v>3.9170000000000003E-3</v>
      </c>
    </row>
    <row r="4122" spans="1:3" x14ac:dyDescent="0.45">
      <c r="A4122" s="11">
        <v>57.93</v>
      </c>
      <c r="B4122" s="14">
        <v>5.9584499999999997E-3</v>
      </c>
      <c r="C4122" s="15">
        <v>3.9207499999999998E-3</v>
      </c>
    </row>
    <row r="4123" spans="1:3" x14ac:dyDescent="0.45">
      <c r="A4123" s="11">
        <v>57.94</v>
      </c>
      <c r="B4123" s="14">
        <v>5.9651000000000001E-3</v>
      </c>
      <c r="C4123" s="15">
        <v>3.9245E-3</v>
      </c>
    </row>
    <row r="4124" spans="1:3" x14ac:dyDescent="0.45">
      <c r="A4124" s="11">
        <v>57.95</v>
      </c>
      <c r="B4124" s="14">
        <v>5.9717499999999996E-3</v>
      </c>
      <c r="C4124" s="15">
        <v>3.9282500000000003E-3</v>
      </c>
    </row>
    <row r="4125" spans="1:3" x14ac:dyDescent="0.45">
      <c r="A4125" s="11">
        <v>57.96</v>
      </c>
      <c r="B4125" s="14">
        <v>5.9784E-3</v>
      </c>
      <c r="C4125" s="15">
        <v>3.9319999999999997E-3</v>
      </c>
    </row>
    <row r="4126" spans="1:3" x14ac:dyDescent="0.45">
      <c r="A4126" s="11">
        <v>57.97</v>
      </c>
      <c r="B4126" s="14">
        <v>5.9850499999999996E-3</v>
      </c>
      <c r="C4126" s="15">
        <v>3.93575E-3</v>
      </c>
    </row>
    <row r="4127" spans="1:3" x14ac:dyDescent="0.45">
      <c r="A4127" s="11">
        <v>57.98</v>
      </c>
      <c r="B4127" s="14">
        <v>5.9917E-3</v>
      </c>
      <c r="C4127" s="15">
        <v>3.9395000000000003E-3</v>
      </c>
    </row>
    <row r="4128" spans="1:3" x14ac:dyDescent="0.45">
      <c r="A4128" s="11">
        <v>57.99</v>
      </c>
      <c r="B4128" s="14">
        <v>5.9983500000000004E-3</v>
      </c>
      <c r="C4128" s="15">
        <v>3.9432499999999997E-3</v>
      </c>
    </row>
    <row r="4129" spans="1:3" x14ac:dyDescent="0.45">
      <c r="A4129" s="11">
        <v>58</v>
      </c>
      <c r="B4129" s="14">
        <v>6.0049999999999999E-3</v>
      </c>
      <c r="C4129" s="15">
        <v>3.947E-3</v>
      </c>
    </row>
    <row r="4130" spans="1:3" x14ac:dyDescent="0.45">
      <c r="A4130" s="11">
        <v>58.01</v>
      </c>
      <c r="B4130" s="14">
        <v>6.0124899999999997E-3</v>
      </c>
      <c r="C4130" s="15">
        <v>3.9511499999999996E-3</v>
      </c>
    </row>
    <row r="4131" spans="1:3" x14ac:dyDescent="0.45">
      <c r="A4131" s="11">
        <v>58.02</v>
      </c>
      <c r="B4131" s="14">
        <v>6.0199800000000003E-3</v>
      </c>
      <c r="C4131" s="15">
        <v>3.9553000000000001E-3</v>
      </c>
    </row>
    <row r="4132" spans="1:3" x14ac:dyDescent="0.45">
      <c r="A4132" s="11">
        <v>58.03</v>
      </c>
      <c r="B4132" s="14">
        <v>6.02747E-3</v>
      </c>
      <c r="C4132" s="15">
        <v>3.9594499999999998E-3</v>
      </c>
    </row>
    <row r="4133" spans="1:3" x14ac:dyDescent="0.45">
      <c r="A4133" s="11">
        <v>58.04</v>
      </c>
      <c r="B4133" s="14">
        <v>6.0349599999999998E-3</v>
      </c>
      <c r="C4133" s="15">
        <v>3.9636000000000003E-3</v>
      </c>
    </row>
    <row r="4134" spans="1:3" x14ac:dyDescent="0.45">
      <c r="A4134" s="11">
        <v>58.05</v>
      </c>
      <c r="B4134" s="14">
        <v>6.0424500000000004E-3</v>
      </c>
      <c r="C4134" s="15">
        <v>3.9677499999999999E-3</v>
      </c>
    </row>
    <row r="4135" spans="1:3" x14ac:dyDescent="0.45">
      <c r="A4135" s="11">
        <v>58.06</v>
      </c>
      <c r="B4135" s="14">
        <v>6.0499400000000002E-3</v>
      </c>
      <c r="C4135" s="15">
        <v>3.9719000000000004E-3</v>
      </c>
    </row>
    <row r="4136" spans="1:3" x14ac:dyDescent="0.45">
      <c r="A4136" s="11">
        <v>58.07</v>
      </c>
      <c r="B4136" s="14">
        <v>6.0574299999999999E-3</v>
      </c>
      <c r="C4136" s="15">
        <v>3.9760500000000001E-3</v>
      </c>
    </row>
    <row r="4137" spans="1:3" x14ac:dyDescent="0.45">
      <c r="A4137" s="11">
        <v>58.08</v>
      </c>
      <c r="B4137" s="14">
        <v>6.0649199999999997E-3</v>
      </c>
      <c r="C4137" s="15">
        <v>3.9801999999999997E-3</v>
      </c>
    </row>
    <row r="4138" spans="1:3" x14ac:dyDescent="0.45">
      <c r="A4138" s="11">
        <v>58.09</v>
      </c>
      <c r="B4138" s="14">
        <v>6.0724100000000003E-3</v>
      </c>
      <c r="C4138" s="15">
        <v>3.9843500000000002E-3</v>
      </c>
    </row>
    <row r="4139" spans="1:3" x14ac:dyDescent="0.45">
      <c r="A4139" s="11">
        <v>58.1</v>
      </c>
      <c r="B4139" s="14">
        <v>6.0799000000000001E-3</v>
      </c>
      <c r="C4139" s="15">
        <v>3.9884999999999999E-3</v>
      </c>
    </row>
    <row r="4140" spans="1:3" x14ac:dyDescent="0.45">
      <c r="A4140" s="11">
        <v>58.11</v>
      </c>
      <c r="B4140" s="14">
        <v>6.0873899999999998E-3</v>
      </c>
      <c r="C4140" s="15">
        <v>3.9926500000000004E-3</v>
      </c>
    </row>
    <row r="4141" spans="1:3" x14ac:dyDescent="0.45">
      <c r="A4141" s="11">
        <v>58.12</v>
      </c>
      <c r="B4141" s="14">
        <v>6.0948799999999996E-3</v>
      </c>
      <c r="C4141" s="15">
        <v>3.9968E-3</v>
      </c>
    </row>
    <row r="4142" spans="1:3" x14ac:dyDescent="0.45">
      <c r="A4142" s="11">
        <v>58.13</v>
      </c>
      <c r="B4142" s="14">
        <v>6.1023700000000002E-3</v>
      </c>
      <c r="C4142" s="15">
        <v>4.0009499999999996E-3</v>
      </c>
    </row>
    <row r="4143" spans="1:3" x14ac:dyDescent="0.45">
      <c r="A4143" s="11">
        <v>58.14</v>
      </c>
      <c r="B4143" s="14">
        <v>6.1098599999999999E-3</v>
      </c>
      <c r="C4143" s="15">
        <v>4.0051000000000002E-3</v>
      </c>
    </row>
    <row r="4144" spans="1:3" x14ac:dyDescent="0.45">
      <c r="A4144" s="11">
        <v>58.15</v>
      </c>
      <c r="B4144" s="14">
        <v>6.1173499999999997E-3</v>
      </c>
      <c r="C4144" s="15">
        <v>4.0092499999999998E-3</v>
      </c>
    </row>
    <row r="4145" spans="1:3" x14ac:dyDescent="0.45">
      <c r="A4145" s="11">
        <v>58.16</v>
      </c>
      <c r="B4145" s="14">
        <v>6.1248400000000003E-3</v>
      </c>
      <c r="C4145" s="15">
        <v>4.0134000000000003E-3</v>
      </c>
    </row>
    <row r="4146" spans="1:3" x14ac:dyDescent="0.45">
      <c r="A4146" s="11">
        <v>58.17</v>
      </c>
      <c r="B4146" s="14">
        <v>6.1323300000000001E-3</v>
      </c>
      <c r="C4146" s="15">
        <v>4.0175499999999999E-3</v>
      </c>
    </row>
    <row r="4147" spans="1:3" x14ac:dyDescent="0.45">
      <c r="A4147" s="11">
        <v>58.18</v>
      </c>
      <c r="B4147" s="14">
        <v>6.1398199999999998E-3</v>
      </c>
      <c r="C4147" s="15">
        <v>4.0216999999999996E-3</v>
      </c>
    </row>
    <row r="4148" spans="1:3" x14ac:dyDescent="0.45">
      <c r="A4148" s="11">
        <v>58.19</v>
      </c>
      <c r="B4148" s="14">
        <v>6.1473099999999996E-3</v>
      </c>
      <c r="C4148" s="15">
        <v>4.0258500000000001E-3</v>
      </c>
    </row>
    <row r="4149" spans="1:3" x14ac:dyDescent="0.45">
      <c r="A4149" s="11">
        <v>58.2</v>
      </c>
      <c r="B4149" s="14">
        <v>6.1548000000000002E-3</v>
      </c>
      <c r="C4149" s="15">
        <v>4.0299999999999997E-3</v>
      </c>
    </row>
    <row r="4150" spans="1:3" x14ac:dyDescent="0.45">
      <c r="A4150" s="11">
        <v>58.21</v>
      </c>
      <c r="B4150" s="14">
        <v>6.16229E-3</v>
      </c>
      <c r="C4150" s="15">
        <v>4.0341500000000002E-3</v>
      </c>
    </row>
    <row r="4151" spans="1:3" x14ac:dyDescent="0.45">
      <c r="A4151" s="11">
        <v>58.22</v>
      </c>
      <c r="B4151" s="14">
        <v>6.1697799999999997E-3</v>
      </c>
      <c r="C4151" s="15">
        <v>4.0382999999999999E-3</v>
      </c>
    </row>
    <row r="4152" spans="1:3" x14ac:dyDescent="0.45">
      <c r="A4152" s="11">
        <v>58.23</v>
      </c>
      <c r="B4152" s="14">
        <v>6.1772700000000003E-3</v>
      </c>
      <c r="C4152" s="15">
        <v>4.0424500000000004E-3</v>
      </c>
    </row>
    <row r="4153" spans="1:3" x14ac:dyDescent="0.45">
      <c r="A4153" s="11">
        <v>58.24</v>
      </c>
      <c r="B4153" s="14">
        <v>6.1847600000000001E-3</v>
      </c>
      <c r="C4153" s="15">
        <v>4.0466E-3</v>
      </c>
    </row>
    <row r="4154" spans="1:3" x14ac:dyDescent="0.45">
      <c r="A4154" s="11">
        <v>58.25</v>
      </c>
      <c r="B4154" s="14">
        <v>6.1922499999999998E-3</v>
      </c>
      <c r="C4154" s="15">
        <v>4.0507499999999997E-3</v>
      </c>
    </row>
    <row r="4155" spans="1:3" x14ac:dyDescent="0.45">
      <c r="A4155" s="11">
        <v>58.26</v>
      </c>
      <c r="B4155" s="14">
        <v>6.1997399999999996E-3</v>
      </c>
      <c r="C4155" s="15">
        <v>4.0549000000000002E-3</v>
      </c>
    </row>
    <row r="4156" spans="1:3" x14ac:dyDescent="0.45">
      <c r="A4156" s="11">
        <v>58.27</v>
      </c>
      <c r="B4156" s="14">
        <v>6.2072300000000002E-3</v>
      </c>
      <c r="C4156" s="15">
        <v>4.0590499999999998E-3</v>
      </c>
    </row>
    <row r="4157" spans="1:3" x14ac:dyDescent="0.45">
      <c r="A4157" s="11">
        <v>58.28</v>
      </c>
      <c r="B4157" s="14">
        <v>6.21472E-3</v>
      </c>
      <c r="C4157" s="15">
        <v>4.0632000000000003E-3</v>
      </c>
    </row>
    <row r="4158" spans="1:3" x14ac:dyDescent="0.45">
      <c r="A4158" s="11">
        <v>58.29</v>
      </c>
      <c r="B4158" s="14">
        <v>6.2222099999999997E-3</v>
      </c>
      <c r="C4158" s="15">
        <v>4.06735E-3</v>
      </c>
    </row>
    <row r="4159" spans="1:3" x14ac:dyDescent="0.45">
      <c r="A4159" s="11">
        <v>58.3</v>
      </c>
      <c r="B4159" s="14">
        <v>6.2297000000000003E-3</v>
      </c>
      <c r="C4159" s="15">
        <v>4.0714999999999996E-3</v>
      </c>
    </row>
    <row r="4160" spans="1:3" x14ac:dyDescent="0.45">
      <c r="A4160" s="11">
        <v>58.31</v>
      </c>
      <c r="B4160" s="14">
        <v>6.2371900000000001E-3</v>
      </c>
      <c r="C4160" s="15">
        <v>4.0756500000000001E-3</v>
      </c>
    </row>
    <row r="4161" spans="1:3" x14ac:dyDescent="0.45">
      <c r="A4161" s="11">
        <v>58.32</v>
      </c>
      <c r="B4161" s="14">
        <v>6.2446799999999998E-3</v>
      </c>
      <c r="C4161" s="15">
        <v>4.0797999999999997E-3</v>
      </c>
    </row>
    <row r="4162" spans="1:3" x14ac:dyDescent="0.45">
      <c r="A4162" s="11">
        <v>58.33</v>
      </c>
      <c r="B4162" s="14">
        <v>6.2521699999999996E-3</v>
      </c>
      <c r="C4162" s="15">
        <v>4.0839500000000003E-3</v>
      </c>
    </row>
    <row r="4163" spans="1:3" x14ac:dyDescent="0.45">
      <c r="A4163" s="11">
        <v>58.34</v>
      </c>
      <c r="B4163" s="14">
        <v>6.2596600000000002E-3</v>
      </c>
      <c r="C4163" s="15">
        <v>4.0880999999999999E-3</v>
      </c>
    </row>
    <row r="4164" spans="1:3" x14ac:dyDescent="0.45">
      <c r="A4164" s="11">
        <v>58.35</v>
      </c>
      <c r="B4164" s="14">
        <v>6.26715E-3</v>
      </c>
      <c r="C4164" s="15">
        <v>4.0922500000000004E-3</v>
      </c>
    </row>
    <row r="4165" spans="1:3" x14ac:dyDescent="0.45">
      <c r="A4165" s="11">
        <v>58.36</v>
      </c>
      <c r="B4165" s="14">
        <v>6.2746399999999997E-3</v>
      </c>
      <c r="C4165" s="15">
        <v>4.0964E-3</v>
      </c>
    </row>
    <row r="4166" spans="1:3" x14ac:dyDescent="0.45">
      <c r="A4166" s="11">
        <v>58.37</v>
      </c>
      <c r="B4166" s="14">
        <v>6.2821300000000004E-3</v>
      </c>
      <c r="C4166" s="15">
        <v>4.1005499999999997E-3</v>
      </c>
    </row>
    <row r="4167" spans="1:3" x14ac:dyDescent="0.45">
      <c r="A4167" s="11">
        <v>58.38</v>
      </c>
      <c r="B4167" s="14">
        <v>6.2896200000000001E-3</v>
      </c>
      <c r="C4167" s="15">
        <v>4.1047000000000002E-3</v>
      </c>
    </row>
    <row r="4168" spans="1:3" x14ac:dyDescent="0.45">
      <c r="A4168" s="11">
        <v>58.39</v>
      </c>
      <c r="B4168" s="14">
        <v>6.2971099999999999E-3</v>
      </c>
      <c r="C4168" s="15">
        <v>4.1088499999999998E-3</v>
      </c>
    </row>
    <row r="4169" spans="1:3" x14ac:dyDescent="0.45">
      <c r="A4169" s="11">
        <v>58.4</v>
      </c>
      <c r="B4169" s="14">
        <v>6.3045999999999996E-3</v>
      </c>
      <c r="C4169" s="15">
        <v>4.1130000000000003E-3</v>
      </c>
    </row>
    <row r="4170" spans="1:3" x14ac:dyDescent="0.45">
      <c r="A4170" s="11">
        <v>58.41</v>
      </c>
      <c r="B4170" s="14">
        <v>6.3120900000000002E-3</v>
      </c>
      <c r="C4170" s="15">
        <v>4.11715E-3</v>
      </c>
    </row>
    <row r="4171" spans="1:3" x14ac:dyDescent="0.45">
      <c r="A4171" s="11">
        <v>58.42</v>
      </c>
      <c r="B4171" s="14">
        <v>6.31958E-3</v>
      </c>
      <c r="C4171" s="15">
        <v>4.1212999999999996E-3</v>
      </c>
    </row>
    <row r="4172" spans="1:3" x14ac:dyDescent="0.45">
      <c r="A4172" s="11">
        <v>58.43</v>
      </c>
      <c r="B4172" s="14">
        <v>6.3270699999999997E-3</v>
      </c>
      <c r="C4172" s="15">
        <v>4.1254500000000001E-3</v>
      </c>
    </row>
    <row r="4173" spans="1:3" x14ac:dyDescent="0.45">
      <c r="A4173" s="11">
        <v>58.44</v>
      </c>
      <c r="B4173" s="14">
        <v>6.3345600000000004E-3</v>
      </c>
      <c r="C4173" s="15">
        <v>4.1295999999999998E-3</v>
      </c>
    </row>
    <row r="4174" spans="1:3" x14ac:dyDescent="0.45">
      <c r="A4174" s="11">
        <v>58.45</v>
      </c>
      <c r="B4174" s="14">
        <v>6.3420500000000001E-3</v>
      </c>
      <c r="C4174" s="15">
        <v>4.1337500000000003E-3</v>
      </c>
    </row>
    <row r="4175" spans="1:3" x14ac:dyDescent="0.45">
      <c r="A4175" s="11">
        <v>58.46</v>
      </c>
      <c r="B4175" s="14">
        <v>6.3495399999999999E-3</v>
      </c>
      <c r="C4175" s="15">
        <v>4.1378999999999999E-3</v>
      </c>
    </row>
    <row r="4176" spans="1:3" x14ac:dyDescent="0.45">
      <c r="A4176" s="11">
        <v>58.47</v>
      </c>
      <c r="B4176" s="14">
        <v>6.3570299999999996E-3</v>
      </c>
      <c r="C4176" s="15">
        <v>4.1420500000000004E-3</v>
      </c>
    </row>
    <row r="4177" spans="1:3" x14ac:dyDescent="0.45">
      <c r="A4177" s="11">
        <v>58.48</v>
      </c>
      <c r="B4177" s="14">
        <v>6.3645200000000002E-3</v>
      </c>
      <c r="C4177" s="15">
        <v>4.1462000000000001E-3</v>
      </c>
    </row>
    <row r="4178" spans="1:3" x14ac:dyDescent="0.45">
      <c r="A4178" s="11">
        <v>58.49</v>
      </c>
      <c r="B4178" s="14">
        <v>6.37201E-3</v>
      </c>
      <c r="C4178" s="15">
        <v>4.1503499999999997E-3</v>
      </c>
    </row>
    <row r="4179" spans="1:3" x14ac:dyDescent="0.45">
      <c r="A4179" s="11">
        <v>58.5</v>
      </c>
      <c r="B4179" s="14">
        <v>6.3794999999999998E-3</v>
      </c>
      <c r="C4179" s="15">
        <v>4.1545000000000002E-3</v>
      </c>
    </row>
    <row r="4180" spans="1:3" x14ac:dyDescent="0.45">
      <c r="A4180" s="11">
        <v>58.51</v>
      </c>
      <c r="B4180" s="14">
        <v>6.3869900000000004E-3</v>
      </c>
      <c r="C4180" s="15">
        <v>4.1586499999999998E-3</v>
      </c>
    </row>
    <row r="4181" spans="1:3" x14ac:dyDescent="0.45">
      <c r="A4181" s="11">
        <v>58.52</v>
      </c>
      <c r="B4181" s="14">
        <v>6.3944800000000001E-3</v>
      </c>
      <c r="C4181" s="15">
        <v>4.1628000000000004E-3</v>
      </c>
    </row>
    <row r="4182" spans="1:3" x14ac:dyDescent="0.45">
      <c r="A4182" s="11">
        <v>58.53</v>
      </c>
      <c r="B4182" s="14">
        <v>6.4019699999999999E-3</v>
      </c>
      <c r="C4182" s="15">
        <v>4.16695E-3</v>
      </c>
    </row>
    <row r="4183" spans="1:3" x14ac:dyDescent="0.45">
      <c r="A4183" s="11">
        <v>58.54</v>
      </c>
      <c r="B4183" s="14">
        <v>6.4094599999999996E-3</v>
      </c>
      <c r="C4183" s="15">
        <v>4.1710999999999996E-3</v>
      </c>
    </row>
    <row r="4184" spans="1:3" x14ac:dyDescent="0.45">
      <c r="A4184" s="11">
        <v>58.55</v>
      </c>
      <c r="B4184" s="14">
        <v>6.4169500000000003E-3</v>
      </c>
      <c r="C4184" s="15">
        <v>4.1752500000000001E-3</v>
      </c>
    </row>
    <row r="4185" spans="1:3" x14ac:dyDescent="0.45">
      <c r="A4185" s="11">
        <v>58.56</v>
      </c>
      <c r="B4185" s="14">
        <v>6.42444E-3</v>
      </c>
      <c r="C4185" s="15">
        <v>4.1793999999999998E-3</v>
      </c>
    </row>
    <row r="4186" spans="1:3" x14ac:dyDescent="0.45">
      <c r="A4186" s="11">
        <v>58.57</v>
      </c>
      <c r="B4186" s="14">
        <v>6.4319299999999998E-3</v>
      </c>
      <c r="C4186" s="15">
        <v>4.1835500000000003E-3</v>
      </c>
    </row>
    <row r="4187" spans="1:3" x14ac:dyDescent="0.45">
      <c r="A4187" s="11">
        <v>58.58</v>
      </c>
      <c r="B4187" s="14">
        <v>6.4394200000000004E-3</v>
      </c>
      <c r="C4187" s="15">
        <v>4.1876999999999999E-3</v>
      </c>
    </row>
    <row r="4188" spans="1:3" x14ac:dyDescent="0.45">
      <c r="A4188" s="11">
        <v>58.59</v>
      </c>
      <c r="B4188" s="14">
        <v>6.4469100000000001E-3</v>
      </c>
      <c r="C4188" s="15">
        <v>4.1918499999999996E-3</v>
      </c>
    </row>
    <row r="4189" spans="1:3" x14ac:dyDescent="0.45">
      <c r="A4189" s="11">
        <v>58.6</v>
      </c>
      <c r="B4189" s="14">
        <v>6.4543999999999999E-3</v>
      </c>
      <c r="C4189" s="15">
        <v>4.1960000000000001E-3</v>
      </c>
    </row>
    <row r="4190" spans="1:3" x14ac:dyDescent="0.45">
      <c r="A4190" s="11">
        <v>58.61</v>
      </c>
      <c r="B4190" s="14">
        <v>6.4618899999999996E-3</v>
      </c>
      <c r="C4190" s="15">
        <v>4.2001499999999997E-3</v>
      </c>
    </row>
    <row r="4191" spans="1:3" x14ac:dyDescent="0.45">
      <c r="A4191" s="11">
        <v>58.62</v>
      </c>
      <c r="B4191" s="14">
        <v>6.4693800000000003E-3</v>
      </c>
      <c r="C4191" s="15">
        <v>4.2043000000000002E-3</v>
      </c>
    </row>
    <row r="4192" spans="1:3" x14ac:dyDescent="0.45">
      <c r="A4192" s="11">
        <v>58.63</v>
      </c>
      <c r="B4192" s="14">
        <v>6.47687E-3</v>
      </c>
      <c r="C4192" s="15">
        <v>4.2084499999999999E-3</v>
      </c>
    </row>
    <row r="4193" spans="1:3" x14ac:dyDescent="0.45">
      <c r="A4193" s="11">
        <v>58.64</v>
      </c>
      <c r="B4193" s="14">
        <v>6.4843599999999998E-3</v>
      </c>
      <c r="C4193" s="15">
        <v>4.2126000000000004E-3</v>
      </c>
    </row>
    <row r="4194" spans="1:3" x14ac:dyDescent="0.45">
      <c r="A4194" s="11">
        <v>58.65</v>
      </c>
      <c r="B4194" s="14">
        <v>6.4918500000000004E-3</v>
      </c>
      <c r="C4194" s="15">
        <v>4.21675E-3</v>
      </c>
    </row>
    <row r="4195" spans="1:3" x14ac:dyDescent="0.45">
      <c r="A4195" s="11">
        <v>58.66</v>
      </c>
      <c r="B4195" s="14">
        <v>6.4993400000000002E-3</v>
      </c>
      <c r="C4195" s="15">
        <v>4.2208999999999997E-3</v>
      </c>
    </row>
    <row r="4196" spans="1:3" x14ac:dyDescent="0.45">
      <c r="A4196" s="11">
        <v>58.67</v>
      </c>
      <c r="B4196" s="14">
        <v>6.5068299999999999E-3</v>
      </c>
      <c r="C4196" s="15">
        <v>4.2250500000000002E-3</v>
      </c>
    </row>
    <row r="4197" spans="1:3" x14ac:dyDescent="0.45">
      <c r="A4197" s="11">
        <v>58.68</v>
      </c>
      <c r="B4197" s="14">
        <v>6.5143199999999997E-3</v>
      </c>
      <c r="C4197" s="15">
        <v>4.2291999999999998E-3</v>
      </c>
    </row>
    <row r="4198" spans="1:3" x14ac:dyDescent="0.45">
      <c r="A4198" s="11">
        <v>58.69</v>
      </c>
      <c r="B4198" s="14">
        <v>6.5218100000000003E-3</v>
      </c>
      <c r="C4198" s="15">
        <v>4.2333500000000003E-3</v>
      </c>
    </row>
    <row r="4199" spans="1:3" x14ac:dyDescent="0.45">
      <c r="A4199" s="11">
        <v>58.7</v>
      </c>
      <c r="B4199" s="14">
        <v>6.5293E-3</v>
      </c>
      <c r="C4199" s="15">
        <v>4.2374999999999999E-3</v>
      </c>
    </row>
    <row r="4200" spans="1:3" x14ac:dyDescent="0.45">
      <c r="A4200" s="11">
        <v>58.71</v>
      </c>
      <c r="B4200" s="14">
        <v>6.5367899999999998E-3</v>
      </c>
      <c r="C4200" s="15">
        <v>4.2416499999999996E-3</v>
      </c>
    </row>
    <row r="4201" spans="1:3" x14ac:dyDescent="0.45">
      <c r="A4201" s="11">
        <v>58.72</v>
      </c>
      <c r="B4201" s="14">
        <v>6.5442800000000004E-3</v>
      </c>
      <c r="C4201" s="15">
        <v>4.2458000000000001E-3</v>
      </c>
    </row>
    <row r="4202" spans="1:3" x14ac:dyDescent="0.45">
      <c r="A4202" s="11">
        <v>58.73</v>
      </c>
      <c r="B4202" s="14">
        <v>6.5517700000000002E-3</v>
      </c>
      <c r="C4202" s="15">
        <v>4.2499499999999997E-3</v>
      </c>
    </row>
    <row r="4203" spans="1:3" x14ac:dyDescent="0.45">
      <c r="A4203" s="11">
        <v>58.74</v>
      </c>
      <c r="B4203" s="14">
        <v>6.5592599999999999E-3</v>
      </c>
      <c r="C4203" s="15">
        <v>4.2541000000000002E-3</v>
      </c>
    </row>
    <row r="4204" spans="1:3" x14ac:dyDescent="0.45">
      <c r="A4204" s="11">
        <v>58.75</v>
      </c>
      <c r="B4204" s="14">
        <v>6.5667499999999997E-3</v>
      </c>
      <c r="C4204" s="15">
        <v>4.2582499999999999E-3</v>
      </c>
    </row>
    <row r="4205" spans="1:3" x14ac:dyDescent="0.45">
      <c r="A4205" s="11">
        <v>58.76</v>
      </c>
      <c r="B4205" s="14">
        <v>6.5742400000000003E-3</v>
      </c>
      <c r="C4205" s="15">
        <v>4.2624000000000004E-3</v>
      </c>
    </row>
    <row r="4206" spans="1:3" x14ac:dyDescent="0.45">
      <c r="A4206" s="11">
        <v>58.77</v>
      </c>
      <c r="B4206" s="14">
        <v>6.58173E-3</v>
      </c>
      <c r="C4206" s="15">
        <v>4.26655E-3</v>
      </c>
    </row>
    <row r="4207" spans="1:3" x14ac:dyDescent="0.45">
      <c r="A4207" s="11">
        <v>58.78</v>
      </c>
      <c r="B4207" s="14">
        <v>6.5892199999999998E-3</v>
      </c>
      <c r="C4207" s="15">
        <v>4.2706999999999997E-3</v>
      </c>
    </row>
    <row r="4208" spans="1:3" x14ac:dyDescent="0.45">
      <c r="A4208" s="11">
        <v>58.79</v>
      </c>
      <c r="B4208" s="14">
        <v>6.5967100000000004E-3</v>
      </c>
      <c r="C4208" s="15">
        <v>4.2748500000000002E-3</v>
      </c>
    </row>
    <row r="4209" spans="1:3" x14ac:dyDescent="0.45">
      <c r="A4209" s="11">
        <v>58.8</v>
      </c>
      <c r="B4209" s="14">
        <v>6.6042000000000002E-3</v>
      </c>
      <c r="C4209" s="15">
        <v>4.2789999999999998E-3</v>
      </c>
    </row>
    <row r="4210" spans="1:3" x14ac:dyDescent="0.45">
      <c r="A4210" s="11">
        <v>58.81</v>
      </c>
      <c r="B4210" s="14">
        <v>6.6116899999999999E-3</v>
      </c>
      <c r="C4210" s="15">
        <v>4.2831500000000003E-3</v>
      </c>
    </row>
    <row r="4211" spans="1:3" x14ac:dyDescent="0.45">
      <c r="A4211" s="11">
        <v>58.82</v>
      </c>
      <c r="B4211" s="14">
        <v>6.6191799999999997E-3</v>
      </c>
      <c r="C4211" s="15">
        <v>4.2873E-3</v>
      </c>
    </row>
    <row r="4212" spans="1:3" x14ac:dyDescent="0.45">
      <c r="A4212" s="11">
        <v>58.83</v>
      </c>
      <c r="B4212" s="14">
        <v>6.6266700000000003E-3</v>
      </c>
      <c r="C4212" s="15">
        <v>4.2914499999999996E-3</v>
      </c>
    </row>
    <row r="4213" spans="1:3" x14ac:dyDescent="0.45">
      <c r="A4213" s="11">
        <v>58.84</v>
      </c>
      <c r="B4213" s="14">
        <v>6.6341600000000001E-3</v>
      </c>
      <c r="C4213" s="15">
        <v>4.2956000000000001E-3</v>
      </c>
    </row>
    <row r="4214" spans="1:3" x14ac:dyDescent="0.45">
      <c r="A4214" s="11">
        <v>58.85</v>
      </c>
      <c r="B4214" s="14">
        <v>6.6416499999999998E-3</v>
      </c>
      <c r="C4214" s="15">
        <v>4.2997499999999998E-3</v>
      </c>
    </row>
    <row r="4215" spans="1:3" x14ac:dyDescent="0.45">
      <c r="A4215" s="11">
        <v>58.86</v>
      </c>
      <c r="B4215" s="14">
        <v>6.6491400000000004E-3</v>
      </c>
      <c r="C4215" s="15">
        <v>4.3039000000000003E-3</v>
      </c>
    </row>
    <row r="4216" spans="1:3" x14ac:dyDescent="0.45">
      <c r="A4216" s="11">
        <v>58.87</v>
      </c>
      <c r="B4216" s="14">
        <v>6.6566300000000002E-3</v>
      </c>
      <c r="C4216" s="15">
        <v>4.3080499999999999E-3</v>
      </c>
    </row>
    <row r="4217" spans="1:3" x14ac:dyDescent="0.45">
      <c r="A4217" s="11">
        <v>58.88</v>
      </c>
      <c r="B4217" s="14">
        <v>6.6641199999999999E-3</v>
      </c>
      <c r="C4217" s="15">
        <v>4.3122000000000004E-3</v>
      </c>
    </row>
    <row r="4218" spans="1:3" x14ac:dyDescent="0.45">
      <c r="A4218" s="11">
        <v>58.89</v>
      </c>
      <c r="B4218" s="14">
        <v>6.6716099999999997E-3</v>
      </c>
      <c r="C4218" s="15">
        <v>4.31635E-3</v>
      </c>
    </row>
    <row r="4219" spans="1:3" x14ac:dyDescent="0.45">
      <c r="A4219" s="11">
        <v>58.9</v>
      </c>
      <c r="B4219" s="14">
        <v>6.6791000000000003E-3</v>
      </c>
      <c r="C4219" s="15">
        <v>4.3204999999999997E-3</v>
      </c>
    </row>
    <row r="4220" spans="1:3" x14ac:dyDescent="0.45">
      <c r="A4220" s="11">
        <v>58.91</v>
      </c>
      <c r="B4220" s="14">
        <v>6.6865900000000001E-3</v>
      </c>
      <c r="C4220" s="15">
        <v>4.3246500000000002E-3</v>
      </c>
    </row>
    <row r="4221" spans="1:3" x14ac:dyDescent="0.45">
      <c r="A4221" s="11">
        <v>58.92</v>
      </c>
      <c r="B4221" s="14">
        <v>6.6940799999999998E-3</v>
      </c>
      <c r="C4221" s="15">
        <v>4.3287999999999998E-3</v>
      </c>
    </row>
    <row r="4222" spans="1:3" x14ac:dyDescent="0.45">
      <c r="A4222" s="11">
        <v>58.93</v>
      </c>
      <c r="B4222" s="14">
        <v>6.7015699999999996E-3</v>
      </c>
      <c r="C4222" s="15">
        <v>4.3329500000000003E-3</v>
      </c>
    </row>
    <row r="4223" spans="1:3" x14ac:dyDescent="0.45">
      <c r="A4223" s="11">
        <v>58.94</v>
      </c>
      <c r="B4223" s="14">
        <v>6.7090600000000002E-3</v>
      </c>
      <c r="C4223" s="15">
        <v>4.3371E-3</v>
      </c>
    </row>
    <row r="4224" spans="1:3" x14ac:dyDescent="0.45">
      <c r="A4224" s="11">
        <v>58.95</v>
      </c>
      <c r="B4224" s="14">
        <v>6.71655E-3</v>
      </c>
      <c r="C4224" s="15">
        <v>4.3412499999999996E-3</v>
      </c>
    </row>
    <row r="4225" spans="1:3" x14ac:dyDescent="0.45">
      <c r="A4225" s="11">
        <v>58.96</v>
      </c>
      <c r="B4225" s="14">
        <v>6.7240399999999997E-3</v>
      </c>
      <c r="C4225" s="15">
        <v>4.3454000000000001E-3</v>
      </c>
    </row>
    <row r="4226" spans="1:3" x14ac:dyDescent="0.45">
      <c r="A4226" s="11">
        <v>58.97</v>
      </c>
      <c r="B4226" s="14">
        <v>6.7315300000000003E-3</v>
      </c>
      <c r="C4226" s="15">
        <v>4.3495499999999998E-3</v>
      </c>
    </row>
    <row r="4227" spans="1:3" x14ac:dyDescent="0.45">
      <c r="A4227" s="11">
        <v>58.98</v>
      </c>
      <c r="B4227" s="14">
        <v>6.7390200000000001E-3</v>
      </c>
      <c r="C4227" s="15">
        <v>4.3537000000000003E-3</v>
      </c>
    </row>
    <row r="4228" spans="1:3" x14ac:dyDescent="0.45">
      <c r="A4228" s="11">
        <v>58.99</v>
      </c>
      <c r="B4228" s="14">
        <v>6.7465099999999998E-3</v>
      </c>
      <c r="C4228" s="15">
        <v>4.3578499999999999E-3</v>
      </c>
    </row>
    <row r="4229" spans="1:3" x14ac:dyDescent="0.45">
      <c r="A4229" s="11">
        <v>59</v>
      </c>
      <c r="B4229" s="14">
        <v>6.7539999999999996E-3</v>
      </c>
      <c r="C4229" s="15">
        <v>4.3620000000000004E-3</v>
      </c>
    </row>
    <row r="4230" spans="1:3" x14ac:dyDescent="0.45">
      <c r="A4230" s="11">
        <v>59.01</v>
      </c>
      <c r="B4230" s="14">
        <v>6.7623900000000001E-3</v>
      </c>
      <c r="C4230" s="15">
        <v>4.3665900000000001E-3</v>
      </c>
    </row>
    <row r="4231" spans="1:3" x14ac:dyDescent="0.45">
      <c r="A4231" s="11">
        <v>59.02</v>
      </c>
      <c r="B4231" s="14">
        <v>6.7707799999999997E-3</v>
      </c>
      <c r="C4231" s="15">
        <v>4.3711799999999997E-3</v>
      </c>
    </row>
    <row r="4232" spans="1:3" x14ac:dyDescent="0.45">
      <c r="A4232" s="11">
        <v>59.03</v>
      </c>
      <c r="B4232" s="14">
        <v>6.7791700000000002E-3</v>
      </c>
      <c r="C4232" s="15">
        <v>4.3757700000000002E-3</v>
      </c>
    </row>
    <row r="4233" spans="1:3" x14ac:dyDescent="0.45">
      <c r="A4233" s="11">
        <v>59.04</v>
      </c>
      <c r="B4233" s="14">
        <v>6.7875599999999998E-3</v>
      </c>
      <c r="C4233" s="15">
        <v>4.3803599999999998E-3</v>
      </c>
    </row>
    <row r="4234" spans="1:3" x14ac:dyDescent="0.45">
      <c r="A4234" s="11">
        <v>59.05</v>
      </c>
      <c r="B4234" s="14">
        <v>6.7959500000000003E-3</v>
      </c>
      <c r="C4234" s="15">
        <v>4.3849500000000003E-3</v>
      </c>
    </row>
    <row r="4235" spans="1:3" x14ac:dyDescent="0.45">
      <c r="A4235" s="11">
        <v>59.06</v>
      </c>
      <c r="B4235" s="14">
        <v>6.8043399999999999E-3</v>
      </c>
      <c r="C4235" s="15">
        <v>4.3895399999999999E-3</v>
      </c>
    </row>
    <row r="4236" spans="1:3" x14ac:dyDescent="0.45">
      <c r="A4236" s="11">
        <v>59.07</v>
      </c>
      <c r="B4236" s="14">
        <v>6.8127300000000003E-3</v>
      </c>
      <c r="C4236" s="15">
        <v>4.3941300000000004E-3</v>
      </c>
    </row>
    <row r="4237" spans="1:3" x14ac:dyDescent="0.45">
      <c r="A4237" s="11">
        <v>59.08</v>
      </c>
      <c r="B4237" s="14">
        <v>6.82112E-3</v>
      </c>
      <c r="C4237" s="15">
        <v>4.3987200000000001E-3</v>
      </c>
    </row>
    <row r="4238" spans="1:3" x14ac:dyDescent="0.45">
      <c r="A4238" s="11">
        <v>59.09</v>
      </c>
      <c r="B4238" s="14">
        <v>6.8295099999999996E-3</v>
      </c>
      <c r="C4238" s="15">
        <v>4.4033099999999997E-3</v>
      </c>
    </row>
    <row r="4239" spans="1:3" x14ac:dyDescent="0.45">
      <c r="A4239" s="11">
        <v>59.1</v>
      </c>
      <c r="B4239" s="14">
        <v>6.8379000000000001E-3</v>
      </c>
      <c r="C4239" s="15">
        <v>4.4079000000000002E-3</v>
      </c>
    </row>
    <row r="4240" spans="1:3" x14ac:dyDescent="0.45">
      <c r="A4240" s="11">
        <v>59.11</v>
      </c>
      <c r="B4240" s="14">
        <v>6.8462899999999997E-3</v>
      </c>
      <c r="C4240" s="15">
        <v>4.4124899999999998E-3</v>
      </c>
    </row>
    <row r="4241" spans="1:3" x14ac:dyDescent="0.45">
      <c r="A4241" s="11">
        <v>59.12</v>
      </c>
      <c r="B4241" s="14">
        <v>6.8546800000000001E-3</v>
      </c>
      <c r="C4241" s="15">
        <v>4.4170800000000003E-3</v>
      </c>
    </row>
    <row r="4242" spans="1:3" x14ac:dyDescent="0.45">
      <c r="A4242" s="11">
        <v>59.13</v>
      </c>
      <c r="B4242" s="14">
        <v>6.8630699999999998E-3</v>
      </c>
      <c r="C4242" s="15">
        <v>4.4216699999999999E-3</v>
      </c>
    </row>
    <row r="4243" spans="1:3" x14ac:dyDescent="0.45">
      <c r="A4243" s="11">
        <v>59.14</v>
      </c>
      <c r="B4243" s="14">
        <v>6.8714600000000002E-3</v>
      </c>
      <c r="C4243" s="15">
        <v>4.4262599999999996E-3</v>
      </c>
    </row>
    <row r="4244" spans="1:3" x14ac:dyDescent="0.45">
      <c r="A4244" s="11">
        <v>59.15</v>
      </c>
      <c r="B4244" s="14">
        <v>6.8798499999999999E-3</v>
      </c>
      <c r="C4244" s="15">
        <v>4.4308500000000001E-3</v>
      </c>
    </row>
    <row r="4245" spans="1:3" x14ac:dyDescent="0.45">
      <c r="A4245" s="11">
        <v>59.16</v>
      </c>
      <c r="B4245" s="14">
        <v>6.8882400000000003E-3</v>
      </c>
      <c r="C4245" s="15">
        <v>4.4354399999999997E-3</v>
      </c>
    </row>
    <row r="4246" spans="1:3" x14ac:dyDescent="0.45">
      <c r="A4246" s="11">
        <v>59.17</v>
      </c>
      <c r="B4246" s="14">
        <v>6.8966299999999999E-3</v>
      </c>
      <c r="C4246" s="15">
        <v>4.4400300000000002E-3</v>
      </c>
    </row>
    <row r="4247" spans="1:3" x14ac:dyDescent="0.45">
      <c r="A4247" s="11">
        <v>59.18</v>
      </c>
      <c r="B4247" s="14">
        <v>6.9050200000000004E-3</v>
      </c>
      <c r="C4247" s="15">
        <v>4.4446199999999998E-3</v>
      </c>
    </row>
    <row r="4248" spans="1:3" x14ac:dyDescent="0.45">
      <c r="A4248" s="11">
        <v>59.19</v>
      </c>
      <c r="B4248" s="14">
        <v>6.91341E-3</v>
      </c>
      <c r="C4248" s="15">
        <v>4.4492100000000003E-3</v>
      </c>
    </row>
    <row r="4249" spans="1:3" x14ac:dyDescent="0.45">
      <c r="A4249" s="11">
        <v>59.2</v>
      </c>
      <c r="B4249" s="14">
        <v>6.9217999999999997E-3</v>
      </c>
      <c r="C4249" s="15">
        <v>4.4537999999999999E-3</v>
      </c>
    </row>
    <row r="4250" spans="1:3" x14ac:dyDescent="0.45">
      <c r="A4250" s="11">
        <v>59.21</v>
      </c>
      <c r="B4250" s="14">
        <v>6.9301900000000001E-3</v>
      </c>
      <c r="C4250" s="15">
        <v>4.4583899999999996E-3</v>
      </c>
    </row>
    <row r="4251" spans="1:3" x14ac:dyDescent="0.45">
      <c r="A4251" s="11">
        <v>59.22</v>
      </c>
      <c r="B4251" s="14">
        <v>6.9385799999999997E-3</v>
      </c>
      <c r="C4251" s="15">
        <v>4.4629800000000001E-3</v>
      </c>
    </row>
    <row r="4252" spans="1:3" x14ac:dyDescent="0.45">
      <c r="A4252" s="11">
        <v>59.23</v>
      </c>
      <c r="B4252" s="14">
        <v>6.9469700000000002E-3</v>
      </c>
      <c r="C4252" s="15">
        <v>4.4675699999999997E-3</v>
      </c>
    </row>
    <row r="4253" spans="1:3" x14ac:dyDescent="0.45">
      <c r="A4253" s="11">
        <v>59.24</v>
      </c>
      <c r="B4253" s="14">
        <v>6.9553599999999998E-3</v>
      </c>
      <c r="C4253" s="15">
        <v>4.4721600000000002E-3</v>
      </c>
    </row>
    <row r="4254" spans="1:3" x14ac:dyDescent="0.45">
      <c r="A4254" s="11">
        <v>59.25</v>
      </c>
      <c r="B4254" s="14">
        <v>6.9637500000000003E-3</v>
      </c>
      <c r="C4254" s="15">
        <v>4.4767499999999998E-3</v>
      </c>
    </row>
    <row r="4255" spans="1:3" x14ac:dyDescent="0.45">
      <c r="A4255" s="11">
        <v>59.26</v>
      </c>
      <c r="B4255" s="14">
        <v>6.9721399999999999E-3</v>
      </c>
      <c r="C4255" s="15">
        <v>4.4813400000000003E-3</v>
      </c>
    </row>
    <row r="4256" spans="1:3" x14ac:dyDescent="0.45">
      <c r="A4256" s="11">
        <v>59.27</v>
      </c>
      <c r="B4256" s="14">
        <v>6.9805300000000004E-3</v>
      </c>
      <c r="C4256" s="15">
        <v>4.48593E-3</v>
      </c>
    </row>
    <row r="4257" spans="1:3" x14ac:dyDescent="0.45">
      <c r="A4257" s="11">
        <v>59.28</v>
      </c>
      <c r="B4257" s="14">
        <v>6.98892E-3</v>
      </c>
      <c r="C4257" s="15">
        <v>4.4905199999999996E-3</v>
      </c>
    </row>
    <row r="4258" spans="1:3" x14ac:dyDescent="0.45">
      <c r="A4258" s="11">
        <v>59.29</v>
      </c>
      <c r="B4258" s="14">
        <v>6.9973099999999996E-3</v>
      </c>
      <c r="C4258" s="15">
        <v>4.4951100000000001E-3</v>
      </c>
    </row>
    <row r="4259" spans="1:3" x14ac:dyDescent="0.45">
      <c r="A4259" s="11">
        <v>59.3</v>
      </c>
      <c r="B4259" s="14">
        <v>7.0057000000000001E-3</v>
      </c>
      <c r="C4259" s="15">
        <v>4.4996999999999997E-3</v>
      </c>
    </row>
    <row r="4260" spans="1:3" x14ac:dyDescent="0.45">
      <c r="A4260" s="11">
        <v>59.31</v>
      </c>
      <c r="B4260" s="14">
        <v>7.0140899999999997E-3</v>
      </c>
      <c r="C4260" s="15">
        <v>4.5042900000000002E-3</v>
      </c>
    </row>
    <row r="4261" spans="1:3" x14ac:dyDescent="0.45">
      <c r="A4261" s="11">
        <v>59.32</v>
      </c>
      <c r="B4261" s="14">
        <v>7.0224800000000002E-3</v>
      </c>
      <c r="C4261" s="15">
        <v>4.5088799999999998E-3</v>
      </c>
    </row>
    <row r="4262" spans="1:3" x14ac:dyDescent="0.45">
      <c r="A4262" s="11">
        <v>59.33</v>
      </c>
      <c r="B4262" s="14">
        <v>7.0308699999999998E-3</v>
      </c>
      <c r="C4262" s="15">
        <v>4.5134700000000003E-3</v>
      </c>
    </row>
    <row r="4263" spans="1:3" x14ac:dyDescent="0.45">
      <c r="A4263" s="11">
        <v>59.34</v>
      </c>
      <c r="B4263" s="14">
        <v>7.0392600000000003E-3</v>
      </c>
      <c r="C4263" s="15">
        <v>4.51806E-3</v>
      </c>
    </row>
    <row r="4264" spans="1:3" x14ac:dyDescent="0.45">
      <c r="A4264" s="11">
        <v>59.35</v>
      </c>
      <c r="B4264" s="14">
        <v>7.0476499999999999E-3</v>
      </c>
      <c r="C4264" s="15">
        <v>4.5226499999999996E-3</v>
      </c>
    </row>
    <row r="4265" spans="1:3" x14ac:dyDescent="0.45">
      <c r="A4265" s="11">
        <v>59.36</v>
      </c>
      <c r="B4265" s="14">
        <v>7.0560400000000004E-3</v>
      </c>
      <c r="C4265" s="15">
        <v>4.5272400000000001E-3</v>
      </c>
    </row>
    <row r="4266" spans="1:3" x14ac:dyDescent="0.45">
      <c r="A4266" s="11">
        <v>59.37</v>
      </c>
      <c r="B4266" s="14">
        <v>7.06443E-3</v>
      </c>
      <c r="C4266" s="15">
        <v>4.5318299999999997E-3</v>
      </c>
    </row>
    <row r="4267" spans="1:3" x14ac:dyDescent="0.45">
      <c r="A4267" s="11">
        <v>59.38</v>
      </c>
      <c r="B4267" s="14">
        <v>7.0728199999999996E-3</v>
      </c>
      <c r="C4267" s="15">
        <v>4.5364200000000002E-3</v>
      </c>
    </row>
    <row r="4268" spans="1:3" x14ac:dyDescent="0.45">
      <c r="A4268" s="11">
        <v>59.39</v>
      </c>
      <c r="B4268" s="14">
        <v>7.0812100000000001E-3</v>
      </c>
      <c r="C4268" s="15">
        <v>4.5410099999999998E-3</v>
      </c>
    </row>
    <row r="4269" spans="1:3" x14ac:dyDescent="0.45">
      <c r="A4269" s="11">
        <v>59.4</v>
      </c>
      <c r="B4269" s="14">
        <v>7.0895999999999997E-3</v>
      </c>
      <c r="C4269" s="15">
        <v>4.5456000000000003E-3</v>
      </c>
    </row>
    <row r="4270" spans="1:3" x14ac:dyDescent="0.45">
      <c r="A4270" s="11">
        <v>59.41</v>
      </c>
      <c r="B4270" s="14">
        <v>7.0979900000000002E-3</v>
      </c>
      <c r="C4270" s="15">
        <v>4.55019E-3</v>
      </c>
    </row>
    <row r="4271" spans="1:3" x14ac:dyDescent="0.45">
      <c r="A4271" s="11">
        <v>59.42</v>
      </c>
      <c r="B4271" s="14">
        <v>7.1063799999999998E-3</v>
      </c>
      <c r="C4271" s="15">
        <v>4.5547799999999996E-3</v>
      </c>
    </row>
    <row r="4272" spans="1:3" x14ac:dyDescent="0.45">
      <c r="A4272" s="11">
        <v>59.43</v>
      </c>
      <c r="B4272" s="14">
        <v>7.1147700000000003E-3</v>
      </c>
      <c r="C4272" s="15">
        <v>4.5593700000000001E-3</v>
      </c>
    </row>
    <row r="4273" spans="1:3" x14ac:dyDescent="0.45">
      <c r="A4273" s="11">
        <v>59.44</v>
      </c>
      <c r="B4273" s="14">
        <v>7.1231599999999999E-3</v>
      </c>
      <c r="C4273" s="15">
        <v>4.5639599999999997E-3</v>
      </c>
    </row>
    <row r="4274" spans="1:3" x14ac:dyDescent="0.45">
      <c r="A4274" s="11">
        <v>59.45</v>
      </c>
      <c r="B4274" s="14">
        <v>7.1315500000000004E-3</v>
      </c>
      <c r="C4274" s="15">
        <v>4.5685500000000002E-3</v>
      </c>
    </row>
    <row r="4275" spans="1:3" x14ac:dyDescent="0.45">
      <c r="A4275" s="11">
        <v>59.46</v>
      </c>
      <c r="B4275" s="14">
        <v>7.13994E-3</v>
      </c>
      <c r="C4275" s="15">
        <v>4.5731399999999998E-3</v>
      </c>
    </row>
    <row r="4276" spans="1:3" x14ac:dyDescent="0.45">
      <c r="A4276" s="11">
        <v>59.47</v>
      </c>
      <c r="B4276" s="14">
        <v>7.1483299999999996E-3</v>
      </c>
      <c r="C4276" s="15">
        <v>4.5777300000000003E-3</v>
      </c>
    </row>
    <row r="4277" spans="1:3" x14ac:dyDescent="0.45">
      <c r="A4277" s="11">
        <v>59.48</v>
      </c>
      <c r="B4277" s="14">
        <v>7.1567200000000001E-3</v>
      </c>
      <c r="C4277" s="15">
        <v>4.58232E-3</v>
      </c>
    </row>
    <row r="4278" spans="1:3" x14ac:dyDescent="0.45">
      <c r="A4278" s="11">
        <v>59.49</v>
      </c>
      <c r="B4278" s="14">
        <v>7.1651099999999997E-3</v>
      </c>
      <c r="C4278" s="15">
        <v>4.5869099999999996E-3</v>
      </c>
    </row>
    <row r="4279" spans="1:3" x14ac:dyDescent="0.45">
      <c r="A4279" s="11">
        <v>59.5</v>
      </c>
      <c r="B4279" s="14">
        <v>7.1735000000000002E-3</v>
      </c>
      <c r="C4279" s="15">
        <v>4.5915000000000001E-3</v>
      </c>
    </row>
    <row r="4280" spans="1:3" x14ac:dyDescent="0.45">
      <c r="A4280" s="11">
        <v>59.51</v>
      </c>
      <c r="B4280" s="14">
        <v>7.1818899999999998E-3</v>
      </c>
      <c r="C4280" s="15">
        <v>4.5960899999999997E-3</v>
      </c>
    </row>
    <row r="4281" spans="1:3" x14ac:dyDescent="0.45">
      <c r="A4281" s="11">
        <v>59.52</v>
      </c>
      <c r="B4281" s="14">
        <v>7.1902800000000003E-3</v>
      </c>
      <c r="C4281" s="15">
        <v>4.6006800000000002E-3</v>
      </c>
    </row>
    <row r="4282" spans="1:3" x14ac:dyDescent="0.45">
      <c r="A4282" s="11">
        <v>59.53</v>
      </c>
      <c r="B4282" s="14">
        <v>7.1986699999999999E-3</v>
      </c>
      <c r="C4282" s="15">
        <v>4.6052699999999998E-3</v>
      </c>
    </row>
    <row r="4283" spans="1:3" x14ac:dyDescent="0.45">
      <c r="A4283" s="11">
        <v>59.54</v>
      </c>
      <c r="B4283" s="14">
        <v>7.2070600000000004E-3</v>
      </c>
      <c r="C4283" s="15">
        <v>4.6098600000000003E-3</v>
      </c>
    </row>
    <row r="4284" spans="1:3" x14ac:dyDescent="0.45">
      <c r="A4284" s="11">
        <v>59.55</v>
      </c>
      <c r="B4284" s="14">
        <v>7.21545E-3</v>
      </c>
      <c r="C4284" s="15">
        <v>4.61445E-3</v>
      </c>
    </row>
    <row r="4285" spans="1:3" x14ac:dyDescent="0.45">
      <c r="A4285" s="11">
        <v>59.56</v>
      </c>
      <c r="B4285" s="14">
        <v>7.2238399999999996E-3</v>
      </c>
      <c r="C4285" s="15">
        <v>4.6190399999999996E-3</v>
      </c>
    </row>
    <row r="4286" spans="1:3" x14ac:dyDescent="0.45">
      <c r="A4286" s="11">
        <v>59.57</v>
      </c>
      <c r="B4286" s="14">
        <v>7.2322300000000001E-3</v>
      </c>
      <c r="C4286" s="15">
        <v>4.6236300000000001E-3</v>
      </c>
    </row>
    <row r="4287" spans="1:3" x14ac:dyDescent="0.45">
      <c r="A4287" s="11">
        <v>59.58</v>
      </c>
      <c r="B4287" s="14">
        <v>7.2406199999999997E-3</v>
      </c>
      <c r="C4287" s="15">
        <v>4.6282199999999997E-3</v>
      </c>
    </row>
    <row r="4288" spans="1:3" x14ac:dyDescent="0.45">
      <c r="A4288" s="11">
        <v>59.59</v>
      </c>
      <c r="B4288" s="14">
        <v>7.2490100000000002E-3</v>
      </c>
      <c r="C4288" s="15">
        <v>4.6328100000000002E-3</v>
      </c>
    </row>
    <row r="4289" spans="1:3" x14ac:dyDescent="0.45">
      <c r="A4289" s="11">
        <v>59.6</v>
      </c>
      <c r="B4289" s="14">
        <v>7.2573999999999998E-3</v>
      </c>
      <c r="C4289" s="15">
        <v>4.6373999999999999E-3</v>
      </c>
    </row>
    <row r="4290" spans="1:3" x14ac:dyDescent="0.45">
      <c r="A4290" s="11">
        <v>59.61</v>
      </c>
      <c r="B4290" s="14">
        <v>7.2657900000000003E-3</v>
      </c>
      <c r="C4290" s="15">
        <v>4.6419900000000004E-3</v>
      </c>
    </row>
    <row r="4291" spans="1:3" x14ac:dyDescent="0.45">
      <c r="A4291" s="11">
        <v>59.62</v>
      </c>
      <c r="B4291" s="14">
        <v>7.2741799999999999E-3</v>
      </c>
      <c r="C4291" s="15">
        <v>4.64658E-3</v>
      </c>
    </row>
    <row r="4292" spans="1:3" x14ac:dyDescent="0.45">
      <c r="A4292" s="11">
        <v>59.63</v>
      </c>
      <c r="B4292" s="14">
        <v>7.2825700000000004E-3</v>
      </c>
      <c r="C4292" s="15">
        <v>4.6511699999999996E-3</v>
      </c>
    </row>
    <row r="4293" spans="1:3" x14ac:dyDescent="0.45">
      <c r="A4293" s="11">
        <v>59.64</v>
      </c>
      <c r="B4293" s="14">
        <v>7.29096E-3</v>
      </c>
      <c r="C4293" s="15">
        <v>4.6557600000000001E-3</v>
      </c>
    </row>
    <row r="4294" spans="1:3" x14ac:dyDescent="0.45">
      <c r="A4294" s="11">
        <v>59.65</v>
      </c>
      <c r="B4294" s="14">
        <v>7.2993499999999996E-3</v>
      </c>
      <c r="C4294" s="15">
        <v>4.6603499999999997E-3</v>
      </c>
    </row>
    <row r="4295" spans="1:3" x14ac:dyDescent="0.45">
      <c r="A4295" s="11">
        <v>59.66</v>
      </c>
      <c r="B4295" s="14">
        <v>7.3077400000000001E-3</v>
      </c>
      <c r="C4295" s="15">
        <v>4.6649400000000002E-3</v>
      </c>
    </row>
    <row r="4296" spans="1:3" x14ac:dyDescent="0.45">
      <c r="A4296" s="11">
        <v>59.67</v>
      </c>
      <c r="B4296" s="14">
        <v>7.3161299999999997E-3</v>
      </c>
      <c r="C4296" s="15">
        <v>4.6695299999999999E-3</v>
      </c>
    </row>
    <row r="4297" spans="1:3" x14ac:dyDescent="0.45">
      <c r="A4297" s="11">
        <v>59.68</v>
      </c>
      <c r="B4297" s="14">
        <v>7.3245200000000002E-3</v>
      </c>
      <c r="C4297" s="15">
        <v>4.6741200000000004E-3</v>
      </c>
    </row>
    <row r="4298" spans="1:3" x14ac:dyDescent="0.45">
      <c r="A4298" s="11">
        <v>59.69</v>
      </c>
      <c r="B4298" s="14">
        <v>7.3329099999999998E-3</v>
      </c>
      <c r="C4298" s="15">
        <v>4.67871E-3</v>
      </c>
    </row>
    <row r="4299" spans="1:3" x14ac:dyDescent="0.45">
      <c r="A4299" s="11">
        <v>59.7</v>
      </c>
      <c r="B4299" s="14">
        <v>7.3413000000000003E-3</v>
      </c>
      <c r="C4299" s="15">
        <v>4.6832999999999996E-3</v>
      </c>
    </row>
    <row r="4300" spans="1:3" x14ac:dyDescent="0.45">
      <c r="A4300" s="11">
        <v>59.71</v>
      </c>
      <c r="B4300" s="14">
        <v>7.3496899999999999E-3</v>
      </c>
      <c r="C4300" s="15">
        <v>4.6878900000000001E-3</v>
      </c>
    </row>
    <row r="4301" spans="1:3" x14ac:dyDescent="0.45">
      <c r="A4301" s="11">
        <v>59.72</v>
      </c>
      <c r="B4301" s="14">
        <v>7.3580800000000003E-3</v>
      </c>
      <c r="C4301" s="15">
        <v>4.6924799999999997E-3</v>
      </c>
    </row>
    <row r="4302" spans="1:3" x14ac:dyDescent="0.45">
      <c r="A4302" s="11">
        <v>59.73</v>
      </c>
      <c r="B4302" s="14">
        <v>7.36647E-3</v>
      </c>
      <c r="C4302" s="15">
        <v>4.6970700000000002E-3</v>
      </c>
    </row>
    <row r="4303" spans="1:3" x14ac:dyDescent="0.45">
      <c r="A4303" s="11">
        <v>59.74</v>
      </c>
      <c r="B4303" s="14">
        <v>7.3748599999999996E-3</v>
      </c>
      <c r="C4303" s="15">
        <v>4.7016599999999999E-3</v>
      </c>
    </row>
    <row r="4304" spans="1:3" x14ac:dyDescent="0.45">
      <c r="A4304" s="11">
        <v>59.75</v>
      </c>
      <c r="B4304" s="14">
        <v>7.3832500000000001E-3</v>
      </c>
      <c r="C4304" s="15">
        <v>4.7062500000000004E-3</v>
      </c>
    </row>
    <row r="4305" spans="1:3" x14ac:dyDescent="0.45">
      <c r="A4305" s="11">
        <v>59.76</v>
      </c>
      <c r="B4305" s="14">
        <v>7.3916399999999997E-3</v>
      </c>
      <c r="C4305" s="15">
        <v>4.71084E-3</v>
      </c>
    </row>
    <row r="4306" spans="1:3" x14ac:dyDescent="0.45">
      <c r="A4306" s="11">
        <v>59.77</v>
      </c>
      <c r="B4306" s="14">
        <v>7.4000300000000001E-3</v>
      </c>
      <c r="C4306" s="15">
        <v>4.7154299999999996E-3</v>
      </c>
    </row>
    <row r="4307" spans="1:3" x14ac:dyDescent="0.45">
      <c r="A4307" s="11">
        <v>59.78</v>
      </c>
      <c r="B4307" s="14">
        <v>7.4084199999999998E-3</v>
      </c>
      <c r="C4307" s="15">
        <v>4.7200200000000001E-3</v>
      </c>
    </row>
    <row r="4308" spans="1:3" x14ac:dyDescent="0.45">
      <c r="A4308" s="11">
        <v>59.79</v>
      </c>
      <c r="B4308" s="14">
        <v>7.4168100000000002E-3</v>
      </c>
      <c r="C4308" s="15">
        <v>4.7246099999999997E-3</v>
      </c>
    </row>
    <row r="4309" spans="1:3" x14ac:dyDescent="0.45">
      <c r="A4309" s="11">
        <v>59.8</v>
      </c>
      <c r="B4309" s="14">
        <v>7.4251999999999999E-3</v>
      </c>
      <c r="C4309" s="15">
        <v>4.7292000000000002E-3</v>
      </c>
    </row>
    <row r="4310" spans="1:3" x14ac:dyDescent="0.45">
      <c r="A4310" s="11">
        <v>59.81</v>
      </c>
      <c r="B4310" s="14">
        <v>7.4335900000000003E-3</v>
      </c>
      <c r="C4310" s="15">
        <v>4.7337899999999999E-3</v>
      </c>
    </row>
    <row r="4311" spans="1:3" x14ac:dyDescent="0.45">
      <c r="A4311" s="11">
        <v>59.82</v>
      </c>
      <c r="B4311" s="14">
        <v>7.4419799999999999E-3</v>
      </c>
      <c r="C4311" s="15">
        <v>4.7383800000000004E-3</v>
      </c>
    </row>
    <row r="4312" spans="1:3" x14ac:dyDescent="0.45">
      <c r="A4312" s="11">
        <v>59.83</v>
      </c>
      <c r="B4312" s="14">
        <v>7.4503700000000004E-3</v>
      </c>
      <c r="C4312" s="15">
        <v>4.74297E-3</v>
      </c>
    </row>
    <row r="4313" spans="1:3" x14ac:dyDescent="0.45">
      <c r="A4313" s="11">
        <v>59.84</v>
      </c>
      <c r="B4313" s="14">
        <v>7.45876E-3</v>
      </c>
      <c r="C4313" s="15">
        <v>4.7475599999999996E-3</v>
      </c>
    </row>
    <row r="4314" spans="1:3" x14ac:dyDescent="0.45">
      <c r="A4314" s="11">
        <v>59.85</v>
      </c>
      <c r="B4314" s="14">
        <v>7.4671499999999997E-3</v>
      </c>
      <c r="C4314" s="15">
        <v>4.7521500000000001E-3</v>
      </c>
    </row>
    <row r="4315" spans="1:3" x14ac:dyDescent="0.45">
      <c r="A4315" s="11">
        <v>59.86</v>
      </c>
      <c r="B4315" s="14">
        <v>7.4755400000000001E-3</v>
      </c>
      <c r="C4315" s="15">
        <v>4.7567399999999998E-3</v>
      </c>
    </row>
    <row r="4316" spans="1:3" x14ac:dyDescent="0.45">
      <c r="A4316" s="11">
        <v>59.87</v>
      </c>
      <c r="B4316" s="14">
        <v>7.4839299999999997E-3</v>
      </c>
      <c r="C4316" s="15">
        <v>4.7613300000000002E-3</v>
      </c>
    </row>
    <row r="4317" spans="1:3" x14ac:dyDescent="0.45">
      <c r="A4317" s="11">
        <v>59.88</v>
      </c>
      <c r="B4317" s="14">
        <v>7.4923200000000002E-3</v>
      </c>
      <c r="C4317" s="15">
        <v>4.7659199999999999E-3</v>
      </c>
    </row>
    <row r="4318" spans="1:3" x14ac:dyDescent="0.45">
      <c r="A4318" s="11">
        <v>59.89</v>
      </c>
      <c r="B4318" s="14">
        <v>7.5007099999999998E-3</v>
      </c>
      <c r="C4318" s="15">
        <v>4.7705100000000004E-3</v>
      </c>
    </row>
    <row r="4319" spans="1:3" x14ac:dyDescent="0.45">
      <c r="A4319" s="11">
        <v>59.9</v>
      </c>
      <c r="B4319" s="14">
        <v>7.5091000000000003E-3</v>
      </c>
      <c r="C4319" s="15">
        <v>4.7751E-3</v>
      </c>
    </row>
    <row r="4320" spans="1:3" x14ac:dyDescent="0.45">
      <c r="A4320" s="11">
        <v>59.91</v>
      </c>
      <c r="B4320" s="14">
        <v>7.5174899999999999E-3</v>
      </c>
      <c r="C4320" s="15">
        <v>4.7796899999999996E-3</v>
      </c>
    </row>
    <row r="4321" spans="1:3" x14ac:dyDescent="0.45">
      <c r="A4321" s="11">
        <v>59.92</v>
      </c>
      <c r="B4321" s="14">
        <v>7.5258800000000004E-3</v>
      </c>
      <c r="C4321" s="15">
        <v>4.7842800000000001E-3</v>
      </c>
    </row>
    <row r="4322" spans="1:3" x14ac:dyDescent="0.45">
      <c r="A4322" s="11">
        <v>59.93</v>
      </c>
      <c r="B4322" s="14">
        <v>7.53427E-3</v>
      </c>
      <c r="C4322" s="15">
        <v>4.7888699999999998E-3</v>
      </c>
    </row>
    <row r="4323" spans="1:3" x14ac:dyDescent="0.45">
      <c r="A4323" s="11">
        <v>59.94</v>
      </c>
      <c r="B4323" s="14">
        <v>7.5426599999999996E-3</v>
      </c>
      <c r="C4323" s="15">
        <v>4.7934600000000003E-3</v>
      </c>
    </row>
    <row r="4324" spans="1:3" x14ac:dyDescent="0.45">
      <c r="A4324" s="11">
        <v>59.95</v>
      </c>
      <c r="B4324" s="14">
        <v>7.5510500000000001E-3</v>
      </c>
      <c r="C4324" s="15">
        <v>4.7980499999999999E-3</v>
      </c>
    </row>
    <row r="4325" spans="1:3" x14ac:dyDescent="0.45">
      <c r="A4325" s="11">
        <v>59.96</v>
      </c>
      <c r="B4325" s="14">
        <v>7.5594399999999997E-3</v>
      </c>
      <c r="C4325" s="15">
        <v>4.8026400000000004E-3</v>
      </c>
    </row>
    <row r="4326" spans="1:3" x14ac:dyDescent="0.45">
      <c r="A4326" s="11">
        <v>59.97</v>
      </c>
      <c r="B4326" s="14">
        <v>7.5678300000000002E-3</v>
      </c>
      <c r="C4326" s="15">
        <v>4.80723E-3</v>
      </c>
    </row>
    <row r="4327" spans="1:3" x14ac:dyDescent="0.45">
      <c r="A4327" s="11">
        <v>59.98</v>
      </c>
      <c r="B4327" s="14">
        <v>7.5762199999999998E-3</v>
      </c>
      <c r="C4327" s="15">
        <v>4.8118199999999996E-3</v>
      </c>
    </row>
    <row r="4328" spans="1:3" x14ac:dyDescent="0.45">
      <c r="A4328" s="11">
        <v>59.99</v>
      </c>
      <c r="B4328" s="14">
        <v>7.5846100000000003E-3</v>
      </c>
      <c r="C4328" s="15">
        <v>4.8164100000000001E-3</v>
      </c>
    </row>
    <row r="4329" spans="1:3" x14ac:dyDescent="0.45">
      <c r="A4329" s="11">
        <v>60</v>
      </c>
      <c r="B4329" s="14">
        <v>7.5929999999999999E-3</v>
      </c>
      <c r="C4329" s="15">
        <v>4.8209999999999998E-3</v>
      </c>
    </row>
    <row r="4330" spans="1:3" x14ac:dyDescent="0.45">
      <c r="A4330" s="11">
        <v>60.01</v>
      </c>
      <c r="B4330" s="14">
        <v>7.6023999999999996E-3</v>
      </c>
      <c r="C4330" s="15">
        <v>4.8260899999999999E-3</v>
      </c>
    </row>
    <row r="4331" spans="1:3" x14ac:dyDescent="0.45">
      <c r="A4331" s="11">
        <v>60.02</v>
      </c>
      <c r="B4331" s="14">
        <v>7.6118000000000002E-3</v>
      </c>
      <c r="C4331" s="15">
        <v>4.83118E-3</v>
      </c>
    </row>
    <row r="4332" spans="1:3" x14ac:dyDescent="0.45">
      <c r="A4332" s="11">
        <v>60.03</v>
      </c>
      <c r="B4332" s="14">
        <v>7.6211999999999998E-3</v>
      </c>
      <c r="C4332" s="15">
        <v>4.8362700000000002E-3</v>
      </c>
    </row>
    <row r="4333" spans="1:3" x14ac:dyDescent="0.45">
      <c r="A4333" s="11">
        <v>60.04</v>
      </c>
      <c r="B4333" s="14">
        <v>7.6306000000000004E-3</v>
      </c>
      <c r="C4333" s="15">
        <v>4.8413600000000003E-3</v>
      </c>
    </row>
    <row r="4334" spans="1:3" x14ac:dyDescent="0.45">
      <c r="A4334" s="11">
        <v>60.05</v>
      </c>
      <c r="B4334" s="14">
        <v>7.6400000000000001E-3</v>
      </c>
      <c r="C4334" s="15">
        <v>4.8464500000000004E-3</v>
      </c>
    </row>
    <row r="4335" spans="1:3" x14ac:dyDescent="0.45">
      <c r="A4335" s="11">
        <v>60.06</v>
      </c>
      <c r="B4335" s="14">
        <v>7.6493999999999998E-3</v>
      </c>
      <c r="C4335" s="15">
        <v>4.8515399999999997E-3</v>
      </c>
    </row>
    <row r="4336" spans="1:3" x14ac:dyDescent="0.45">
      <c r="A4336" s="11">
        <v>60.07</v>
      </c>
      <c r="B4336" s="14">
        <v>7.6588000000000003E-3</v>
      </c>
      <c r="C4336" s="15">
        <v>4.8566299999999998E-3</v>
      </c>
    </row>
    <row r="4337" spans="1:3" x14ac:dyDescent="0.45">
      <c r="A4337" s="11">
        <v>60.08</v>
      </c>
      <c r="B4337" s="14">
        <v>7.6682E-3</v>
      </c>
      <c r="C4337" s="15">
        <v>4.8617199999999999E-3</v>
      </c>
    </row>
    <row r="4338" spans="1:3" x14ac:dyDescent="0.45">
      <c r="A4338" s="11">
        <v>60.09</v>
      </c>
      <c r="B4338" s="14">
        <v>7.6775999999999997E-3</v>
      </c>
      <c r="C4338" s="15">
        <v>4.8668100000000001E-3</v>
      </c>
    </row>
    <row r="4339" spans="1:3" x14ac:dyDescent="0.45">
      <c r="A4339" s="11">
        <v>60.1</v>
      </c>
      <c r="B4339" s="14">
        <v>7.6870000000000003E-3</v>
      </c>
      <c r="C4339" s="15">
        <v>4.8719000000000002E-3</v>
      </c>
    </row>
    <row r="4340" spans="1:3" x14ac:dyDescent="0.45">
      <c r="A4340" s="11">
        <v>60.11</v>
      </c>
      <c r="B4340" s="14">
        <v>7.6963999999999999E-3</v>
      </c>
      <c r="C4340" s="15">
        <v>4.8769900000000003E-3</v>
      </c>
    </row>
    <row r="4341" spans="1:3" x14ac:dyDescent="0.45">
      <c r="A4341" s="11">
        <v>60.12</v>
      </c>
      <c r="B4341" s="14">
        <v>7.7057999999999996E-3</v>
      </c>
      <c r="C4341" s="15">
        <v>4.8820799999999996E-3</v>
      </c>
    </row>
    <row r="4342" spans="1:3" x14ac:dyDescent="0.45">
      <c r="A4342" s="11">
        <v>60.13</v>
      </c>
      <c r="B4342" s="14">
        <v>7.7152000000000002E-3</v>
      </c>
      <c r="C4342" s="15">
        <v>4.8871699999999997E-3</v>
      </c>
    </row>
    <row r="4343" spans="1:3" x14ac:dyDescent="0.45">
      <c r="A4343" s="11">
        <v>60.14</v>
      </c>
      <c r="B4343" s="14">
        <v>7.7245999999999999E-3</v>
      </c>
      <c r="C4343" s="15">
        <v>4.8922599999999998E-3</v>
      </c>
    </row>
    <row r="4344" spans="1:3" x14ac:dyDescent="0.45">
      <c r="A4344" s="11">
        <v>60.15</v>
      </c>
      <c r="B4344" s="14">
        <v>7.7340000000000004E-3</v>
      </c>
      <c r="C4344" s="15">
        <v>4.89735E-3</v>
      </c>
    </row>
    <row r="4345" spans="1:3" x14ac:dyDescent="0.45">
      <c r="A4345" s="11">
        <v>60.16</v>
      </c>
      <c r="B4345" s="14">
        <v>7.7434000000000001E-3</v>
      </c>
      <c r="C4345" s="15">
        <v>4.9024400000000001E-3</v>
      </c>
    </row>
    <row r="4346" spans="1:3" x14ac:dyDescent="0.45">
      <c r="A4346" s="11">
        <v>60.17</v>
      </c>
      <c r="B4346" s="14">
        <v>7.7527999999999998E-3</v>
      </c>
      <c r="C4346" s="15">
        <v>4.9075300000000002E-3</v>
      </c>
    </row>
    <row r="4347" spans="1:3" x14ac:dyDescent="0.45">
      <c r="A4347" s="11">
        <v>60.18</v>
      </c>
      <c r="B4347" s="14">
        <v>7.7622000000000003E-3</v>
      </c>
      <c r="C4347" s="15">
        <v>4.9126200000000004E-3</v>
      </c>
    </row>
    <row r="4348" spans="1:3" x14ac:dyDescent="0.45">
      <c r="A4348" s="11">
        <v>60.19</v>
      </c>
      <c r="B4348" s="14">
        <v>7.7716E-3</v>
      </c>
      <c r="C4348" s="15">
        <v>4.9177099999999996E-3</v>
      </c>
    </row>
    <row r="4349" spans="1:3" x14ac:dyDescent="0.45">
      <c r="A4349" s="11">
        <v>60.2</v>
      </c>
      <c r="B4349" s="14">
        <v>7.7809999999999997E-3</v>
      </c>
      <c r="C4349" s="15">
        <v>4.9227999999999997E-3</v>
      </c>
    </row>
    <row r="4350" spans="1:3" x14ac:dyDescent="0.45">
      <c r="A4350" s="11">
        <v>60.21</v>
      </c>
      <c r="B4350" s="14">
        <v>7.7904000000000003E-3</v>
      </c>
      <c r="C4350" s="15">
        <v>4.9278899999999999E-3</v>
      </c>
    </row>
    <row r="4351" spans="1:3" x14ac:dyDescent="0.45">
      <c r="A4351" s="11">
        <v>60.22</v>
      </c>
      <c r="B4351" s="14">
        <v>7.7998E-3</v>
      </c>
      <c r="C4351" s="15">
        <v>4.93298E-3</v>
      </c>
    </row>
    <row r="4352" spans="1:3" x14ac:dyDescent="0.45">
      <c r="A4352" s="11">
        <v>60.23</v>
      </c>
      <c r="B4352" s="14">
        <v>7.8091999999999996E-3</v>
      </c>
      <c r="C4352" s="15">
        <v>4.9380700000000001E-3</v>
      </c>
    </row>
    <row r="4353" spans="1:3" x14ac:dyDescent="0.45">
      <c r="A4353" s="11">
        <v>60.24</v>
      </c>
      <c r="B4353" s="14">
        <v>7.8186000000000002E-3</v>
      </c>
      <c r="C4353" s="15">
        <v>4.9431600000000003E-3</v>
      </c>
    </row>
    <row r="4354" spans="1:3" x14ac:dyDescent="0.45">
      <c r="A4354" s="11">
        <v>60.25</v>
      </c>
      <c r="B4354" s="14">
        <v>7.8279999999999999E-3</v>
      </c>
      <c r="C4354" s="15">
        <v>4.9482500000000004E-3</v>
      </c>
    </row>
    <row r="4355" spans="1:3" x14ac:dyDescent="0.45">
      <c r="A4355" s="11">
        <v>60.26</v>
      </c>
      <c r="B4355" s="14">
        <v>7.8373999999999996E-3</v>
      </c>
      <c r="C4355" s="15">
        <v>4.9533399999999997E-3</v>
      </c>
    </row>
    <row r="4356" spans="1:3" x14ac:dyDescent="0.45">
      <c r="A4356" s="11">
        <v>60.27</v>
      </c>
      <c r="B4356" s="14">
        <v>7.8467999999999993E-3</v>
      </c>
      <c r="C4356" s="15">
        <v>4.9584299999999998E-3</v>
      </c>
    </row>
    <row r="4357" spans="1:3" x14ac:dyDescent="0.45">
      <c r="A4357" s="11">
        <v>60.28</v>
      </c>
      <c r="B4357" s="14">
        <v>7.8562000000000007E-3</v>
      </c>
      <c r="C4357" s="15">
        <v>4.9635199999999999E-3</v>
      </c>
    </row>
    <row r="4358" spans="1:3" x14ac:dyDescent="0.45">
      <c r="A4358" s="11">
        <v>60.29</v>
      </c>
      <c r="B4358" s="14">
        <v>7.8656000000000004E-3</v>
      </c>
      <c r="C4358" s="15">
        <v>4.96861E-3</v>
      </c>
    </row>
    <row r="4359" spans="1:3" x14ac:dyDescent="0.45">
      <c r="A4359" s="11">
        <v>60.3</v>
      </c>
      <c r="B4359" s="14">
        <v>7.8750000000000001E-3</v>
      </c>
      <c r="C4359" s="15">
        <v>4.9737000000000002E-3</v>
      </c>
    </row>
    <row r="4360" spans="1:3" x14ac:dyDescent="0.45">
      <c r="A4360" s="11">
        <v>60.31</v>
      </c>
      <c r="B4360" s="14">
        <v>7.8843999999999997E-3</v>
      </c>
      <c r="C4360" s="15">
        <v>4.9787900000000003E-3</v>
      </c>
    </row>
    <row r="4361" spans="1:3" x14ac:dyDescent="0.45">
      <c r="A4361" s="11">
        <v>60.32</v>
      </c>
      <c r="B4361" s="14">
        <v>7.8937999999999994E-3</v>
      </c>
      <c r="C4361" s="15">
        <v>4.9838800000000004E-3</v>
      </c>
    </row>
    <row r="4362" spans="1:3" x14ac:dyDescent="0.45">
      <c r="A4362" s="11">
        <v>60.33</v>
      </c>
      <c r="B4362" s="14">
        <v>7.9032000000000008E-3</v>
      </c>
      <c r="C4362" s="15">
        <v>4.9889699999999997E-3</v>
      </c>
    </row>
    <row r="4363" spans="1:3" x14ac:dyDescent="0.45">
      <c r="A4363" s="11">
        <v>60.34</v>
      </c>
      <c r="B4363" s="14">
        <v>7.9126000000000005E-3</v>
      </c>
      <c r="C4363" s="15">
        <v>4.9940599999999998E-3</v>
      </c>
    </row>
    <row r="4364" spans="1:3" x14ac:dyDescent="0.45">
      <c r="A4364" s="11">
        <v>60.35</v>
      </c>
      <c r="B4364" s="14">
        <v>7.9220000000000002E-3</v>
      </c>
      <c r="C4364" s="15">
        <v>4.9991499999999999E-3</v>
      </c>
    </row>
    <row r="4365" spans="1:3" x14ac:dyDescent="0.45">
      <c r="A4365" s="11">
        <v>60.36</v>
      </c>
      <c r="B4365" s="14">
        <v>7.9313999999999999E-3</v>
      </c>
      <c r="C4365" s="15">
        <v>5.0042400000000001E-3</v>
      </c>
    </row>
    <row r="4366" spans="1:3" x14ac:dyDescent="0.45">
      <c r="A4366" s="11">
        <v>60.37</v>
      </c>
      <c r="B4366" s="14">
        <v>7.9407999999999996E-3</v>
      </c>
      <c r="C4366" s="15">
        <v>5.0093300000000002E-3</v>
      </c>
    </row>
    <row r="4367" spans="1:3" x14ac:dyDescent="0.45">
      <c r="A4367" s="11">
        <v>60.38</v>
      </c>
      <c r="B4367" s="14">
        <v>7.9501999999999993E-3</v>
      </c>
      <c r="C4367" s="15">
        <v>5.0144200000000003E-3</v>
      </c>
    </row>
    <row r="4368" spans="1:3" x14ac:dyDescent="0.45">
      <c r="A4368" s="11">
        <v>60.39</v>
      </c>
      <c r="B4368" s="14">
        <v>7.9596000000000007E-3</v>
      </c>
      <c r="C4368" s="15">
        <v>5.0195099999999996E-3</v>
      </c>
    </row>
    <row r="4369" spans="1:3" x14ac:dyDescent="0.45">
      <c r="A4369" s="11">
        <v>60.4</v>
      </c>
      <c r="B4369" s="14">
        <v>7.9690000000000004E-3</v>
      </c>
      <c r="C4369" s="15">
        <v>5.0245999999999997E-3</v>
      </c>
    </row>
    <row r="4370" spans="1:3" x14ac:dyDescent="0.45">
      <c r="A4370" s="11">
        <v>60.41</v>
      </c>
      <c r="B4370" s="14">
        <v>7.9784000000000001E-3</v>
      </c>
      <c r="C4370" s="15">
        <v>5.0296899999999999E-3</v>
      </c>
    </row>
    <row r="4371" spans="1:3" x14ac:dyDescent="0.45">
      <c r="A4371" s="11">
        <v>60.42</v>
      </c>
      <c r="B4371" s="14">
        <v>7.9877999999999998E-3</v>
      </c>
      <c r="C4371" s="15">
        <v>5.03478E-3</v>
      </c>
    </row>
    <row r="4372" spans="1:3" x14ac:dyDescent="0.45">
      <c r="A4372" s="11">
        <v>60.43</v>
      </c>
      <c r="B4372" s="14">
        <v>7.9971999999999994E-3</v>
      </c>
      <c r="C4372" s="15">
        <v>5.0398700000000001E-3</v>
      </c>
    </row>
    <row r="4373" spans="1:3" x14ac:dyDescent="0.45">
      <c r="A4373" s="11">
        <v>60.44</v>
      </c>
      <c r="B4373" s="14">
        <v>8.0065999999999991E-3</v>
      </c>
      <c r="C4373" s="15">
        <v>5.0449600000000002E-3</v>
      </c>
    </row>
    <row r="4374" spans="1:3" x14ac:dyDescent="0.45">
      <c r="A4374" s="11">
        <v>60.45</v>
      </c>
      <c r="B4374" s="14">
        <v>8.0160000000000006E-3</v>
      </c>
      <c r="C4374" s="15">
        <v>5.0500500000000004E-3</v>
      </c>
    </row>
    <row r="4375" spans="1:3" x14ac:dyDescent="0.45">
      <c r="A4375" s="11">
        <v>60.46</v>
      </c>
      <c r="B4375" s="14">
        <v>8.0254000000000002E-3</v>
      </c>
      <c r="C4375" s="15">
        <v>5.0551399999999996E-3</v>
      </c>
    </row>
    <row r="4376" spans="1:3" x14ac:dyDescent="0.45">
      <c r="A4376" s="11">
        <v>60.47</v>
      </c>
      <c r="B4376" s="14">
        <v>8.0347999999999999E-3</v>
      </c>
      <c r="C4376" s="15">
        <v>5.0602299999999998E-3</v>
      </c>
    </row>
    <row r="4377" spans="1:3" x14ac:dyDescent="0.45">
      <c r="A4377" s="11">
        <v>60.48</v>
      </c>
      <c r="B4377" s="14">
        <v>8.0441999999999996E-3</v>
      </c>
      <c r="C4377" s="15">
        <v>5.0653199999999999E-3</v>
      </c>
    </row>
    <row r="4378" spans="1:3" x14ac:dyDescent="0.45">
      <c r="A4378" s="11">
        <v>60.49</v>
      </c>
      <c r="B4378" s="14">
        <v>8.0535999999999993E-3</v>
      </c>
      <c r="C4378" s="15">
        <v>5.07041E-3</v>
      </c>
    </row>
    <row r="4379" spans="1:3" x14ac:dyDescent="0.45">
      <c r="A4379" s="11">
        <v>60.5</v>
      </c>
      <c r="B4379" s="14">
        <v>8.0630000000000007E-3</v>
      </c>
      <c r="C4379" s="15">
        <v>5.0755000000000002E-3</v>
      </c>
    </row>
    <row r="4380" spans="1:3" x14ac:dyDescent="0.45">
      <c r="A4380" s="11">
        <v>60.51</v>
      </c>
      <c r="B4380" s="14">
        <v>8.0724000000000004E-3</v>
      </c>
      <c r="C4380" s="15">
        <v>5.0805900000000003E-3</v>
      </c>
    </row>
    <row r="4381" spans="1:3" x14ac:dyDescent="0.45">
      <c r="A4381" s="11">
        <v>60.52</v>
      </c>
      <c r="B4381" s="14">
        <v>8.0818000000000001E-3</v>
      </c>
      <c r="C4381" s="15">
        <v>5.0856800000000004E-3</v>
      </c>
    </row>
    <row r="4382" spans="1:3" x14ac:dyDescent="0.45">
      <c r="A4382" s="11">
        <v>60.53</v>
      </c>
      <c r="B4382" s="14">
        <v>8.0911999999999998E-3</v>
      </c>
      <c r="C4382" s="15">
        <v>5.0907699999999997E-3</v>
      </c>
    </row>
    <row r="4383" spans="1:3" x14ac:dyDescent="0.45">
      <c r="A4383" s="11">
        <v>60.54</v>
      </c>
      <c r="B4383" s="14">
        <v>8.1005999999999995E-3</v>
      </c>
      <c r="C4383" s="15">
        <v>5.0958599999999998E-3</v>
      </c>
    </row>
    <row r="4384" spans="1:3" x14ac:dyDescent="0.45">
      <c r="A4384" s="11">
        <v>60.55</v>
      </c>
      <c r="B4384" s="14">
        <v>8.1099999999999992E-3</v>
      </c>
      <c r="C4384" s="15">
        <v>5.1009499999999999E-3</v>
      </c>
    </row>
    <row r="4385" spans="1:3" x14ac:dyDescent="0.45">
      <c r="A4385" s="11">
        <v>60.56</v>
      </c>
      <c r="B4385" s="14">
        <v>8.1194000000000006E-3</v>
      </c>
      <c r="C4385" s="15">
        <v>5.1060400000000001E-3</v>
      </c>
    </row>
    <row r="4386" spans="1:3" x14ac:dyDescent="0.45">
      <c r="A4386" s="11">
        <v>60.57</v>
      </c>
      <c r="B4386" s="14">
        <v>8.1288000000000003E-3</v>
      </c>
      <c r="C4386" s="15">
        <v>5.1111300000000002E-3</v>
      </c>
    </row>
    <row r="4387" spans="1:3" x14ac:dyDescent="0.45">
      <c r="A4387" s="11">
        <v>60.58</v>
      </c>
      <c r="B4387" s="14">
        <v>8.1381999999999999E-3</v>
      </c>
      <c r="C4387" s="15">
        <v>5.1162200000000003E-3</v>
      </c>
    </row>
    <row r="4388" spans="1:3" x14ac:dyDescent="0.45">
      <c r="A4388" s="11">
        <v>60.59</v>
      </c>
      <c r="B4388" s="14">
        <v>8.1475999999999996E-3</v>
      </c>
      <c r="C4388" s="15">
        <v>5.1213099999999996E-3</v>
      </c>
    </row>
    <row r="4389" spans="1:3" x14ac:dyDescent="0.45">
      <c r="A4389" s="11">
        <v>60.6</v>
      </c>
      <c r="B4389" s="14">
        <v>8.1569999999999993E-3</v>
      </c>
      <c r="C4389" s="15">
        <v>5.1263999999999997E-3</v>
      </c>
    </row>
    <row r="4390" spans="1:3" x14ac:dyDescent="0.45">
      <c r="A4390" s="11">
        <v>60.61</v>
      </c>
      <c r="B4390" s="14">
        <v>8.1664000000000007E-3</v>
      </c>
      <c r="C4390" s="15">
        <v>5.1314899999999998E-3</v>
      </c>
    </row>
    <row r="4391" spans="1:3" x14ac:dyDescent="0.45">
      <c r="A4391" s="11">
        <v>60.62</v>
      </c>
      <c r="B4391" s="14">
        <v>8.1758000000000004E-3</v>
      </c>
      <c r="C4391" s="15">
        <v>5.13658E-3</v>
      </c>
    </row>
    <row r="4392" spans="1:3" x14ac:dyDescent="0.45">
      <c r="A4392" s="11">
        <v>60.63</v>
      </c>
      <c r="B4392" s="14">
        <v>8.1852000000000001E-3</v>
      </c>
      <c r="C4392" s="15">
        <v>5.1416700000000001E-3</v>
      </c>
    </row>
    <row r="4393" spans="1:3" x14ac:dyDescent="0.45">
      <c r="A4393" s="11">
        <v>60.64</v>
      </c>
      <c r="B4393" s="14">
        <v>8.1945999999999998E-3</v>
      </c>
      <c r="C4393" s="15">
        <v>5.1467600000000002E-3</v>
      </c>
    </row>
    <row r="4394" spans="1:3" x14ac:dyDescent="0.45">
      <c r="A4394" s="11">
        <v>60.65</v>
      </c>
      <c r="B4394" s="14">
        <v>8.2039999999999995E-3</v>
      </c>
      <c r="C4394" s="15">
        <v>5.1518500000000004E-3</v>
      </c>
    </row>
    <row r="4395" spans="1:3" x14ac:dyDescent="0.45">
      <c r="A4395" s="11">
        <v>60.66</v>
      </c>
      <c r="B4395" s="14">
        <v>8.2133999999999992E-3</v>
      </c>
      <c r="C4395" s="15">
        <v>5.1569399999999996E-3</v>
      </c>
    </row>
    <row r="4396" spans="1:3" x14ac:dyDescent="0.45">
      <c r="A4396" s="11">
        <v>60.67</v>
      </c>
      <c r="B4396" s="14">
        <v>8.2228000000000006E-3</v>
      </c>
      <c r="C4396" s="15">
        <v>5.1620299999999997E-3</v>
      </c>
    </row>
    <row r="4397" spans="1:3" x14ac:dyDescent="0.45">
      <c r="A4397" s="11">
        <v>60.68</v>
      </c>
      <c r="B4397" s="14">
        <v>8.2322000000000003E-3</v>
      </c>
      <c r="C4397" s="15">
        <v>5.1671199999999999E-3</v>
      </c>
    </row>
    <row r="4398" spans="1:3" x14ac:dyDescent="0.45">
      <c r="A4398" s="11">
        <v>60.69</v>
      </c>
      <c r="B4398" s="14">
        <v>8.2416E-3</v>
      </c>
      <c r="C4398" s="15">
        <v>5.17221E-3</v>
      </c>
    </row>
    <row r="4399" spans="1:3" x14ac:dyDescent="0.45">
      <c r="A4399" s="11">
        <v>60.7</v>
      </c>
      <c r="B4399" s="14">
        <v>8.2509999999999997E-3</v>
      </c>
      <c r="C4399" s="15">
        <v>5.1773000000000001E-3</v>
      </c>
    </row>
    <row r="4400" spans="1:3" x14ac:dyDescent="0.45">
      <c r="A4400" s="11">
        <v>60.71</v>
      </c>
      <c r="B4400" s="14">
        <v>8.2603999999999993E-3</v>
      </c>
      <c r="C4400" s="15">
        <v>5.1823900000000003E-3</v>
      </c>
    </row>
    <row r="4401" spans="1:3" x14ac:dyDescent="0.45">
      <c r="A4401" s="11">
        <v>60.72</v>
      </c>
      <c r="B4401" s="14">
        <v>8.2698000000000008E-3</v>
      </c>
      <c r="C4401" s="15">
        <v>5.1874800000000004E-3</v>
      </c>
    </row>
    <row r="4402" spans="1:3" x14ac:dyDescent="0.45">
      <c r="A4402" s="11">
        <v>60.73</v>
      </c>
      <c r="B4402" s="14">
        <v>8.2792000000000004E-3</v>
      </c>
      <c r="C4402" s="15">
        <v>5.1925699999999997E-3</v>
      </c>
    </row>
    <row r="4403" spans="1:3" x14ac:dyDescent="0.45">
      <c r="A4403" s="11">
        <v>60.74</v>
      </c>
      <c r="B4403" s="14">
        <v>8.2886000000000001E-3</v>
      </c>
      <c r="C4403" s="15">
        <v>5.1976599999999998E-3</v>
      </c>
    </row>
    <row r="4404" spans="1:3" x14ac:dyDescent="0.45">
      <c r="A4404" s="11">
        <v>60.75</v>
      </c>
      <c r="B4404" s="14">
        <v>8.2979999999999998E-3</v>
      </c>
      <c r="C4404" s="15">
        <v>5.2027499999999999E-3</v>
      </c>
    </row>
    <row r="4405" spans="1:3" x14ac:dyDescent="0.45">
      <c r="A4405" s="11">
        <v>60.76</v>
      </c>
      <c r="B4405" s="14">
        <v>8.3073999999999995E-3</v>
      </c>
      <c r="C4405" s="15">
        <v>5.20784E-3</v>
      </c>
    </row>
    <row r="4406" spans="1:3" x14ac:dyDescent="0.45">
      <c r="A4406" s="11">
        <v>60.77</v>
      </c>
      <c r="B4406" s="14">
        <v>8.3167999999999992E-3</v>
      </c>
      <c r="C4406" s="15">
        <v>5.2129300000000002E-3</v>
      </c>
    </row>
    <row r="4407" spans="1:3" x14ac:dyDescent="0.45">
      <c r="A4407" s="11">
        <v>60.78</v>
      </c>
      <c r="B4407" s="14">
        <v>8.3262000000000006E-3</v>
      </c>
      <c r="C4407" s="15">
        <v>5.2180200000000003E-3</v>
      </c>
    </row>
    <row r="4408" spans="1:3" x14ac:dyDescent="0.45">
      <c r="A4408" s="11">
        <v>60.79</v>
      </c>
      <c r="B4408" s="14">
        <v>8.3356000000000003E-3</v>
      </c>
      <c r="C4408" s="15">
        <v>5.2231100000000004E-3</v>
      </c>
    </row>
    <row r="4409" spans="1:3" x14ac:dyDescent="0.45">
      <c r="A4409" s="11">
        <v>60.8</v>
      </c>
      <c r="B4409" s="14">
        <v>8.345E-3</v>
      </c>
      <c r="C4409" s="15">
        <v>5.2281999999999997E-3</v>
      </c>
    </row>
    <row r="4410" spans="1:3" x14ac:dyDescent="0.45">
      <c r="A4410" s="11">
        <v>60.81</v>
      </c>
      <c r="B4410" s="14">
        <v>8.3543999999999997E-3</v>
      </c>
      <c r="C4410" s="15">
        <v>5.2332899999999998E-3</v>
      </c>
    </row>
    <row r="4411" spans="1:3" x14ac:dyDescent="0.45">
      <c r="A4411" s="11">
        <v>60.82</v>
      </c>
      <c r="B4411" s="14">
        <v>8.3637999999999994E-3</v>
      </c>
      <c r="C4411" s="15">
        <v>5.2383799999999999E-3</v>
      </c>
    </row>
    <row r="4412" spans="1:3" x14ac:dyDescent="0.45">
      <c r="A4412" s="11">
        <v>60.83</v>
      </c>
      <c r="B4412" s="14">
        <v>8.3732000000000008E-3</v>
      </c>
      <c r="C4412" s="15">
        <v>5.2434700000000001E-3</v>
      </c>
    </row>
    <row r="4413" spans="1:3" x14ac:dyDescent="0.45">
      <c r="A4413" s="11">
        <v>60.84</v>
      </c>
      <c r="B4413" s="14">
        <v>8.3826000000000005E-3</v>
      </c>
      <c r="C4413" s="15">
        <v>5.2485600000000002E-3</v>
      </c>
    </row>
    <row r="4414" spans="1:3" x14ac:dyDescent="0.45">
      <c r="A4414" s="11">
        <v>60.85</v>
      </c>
      <c r="B4414" s="14">
        <v>8.3920000000000002E-3</v>
      </c>
      <c r="C4414" s="15">
        <v>5.2536500000000003E-3</v>
      </c>
    </row>
    <row r="4415" spans="1:3" x14ac:dyDescent="0.45">
      <c r="A4415" s="11">
        <v>60.86</v>
      </c>
      <c r="B4415" s="14">
        <v>8.4013999999999998E-3</v>
      </c>
      <c r="C4415" s="15">
        <v>5.2587399999999996E-3</v>
      </c>
    </row>
    <row r="4416" spans="1:3" x14ac:dyDescent="0.45">
      <c r="A4416" s="11">
        <v>60.87</v>
      </c>
      <c r="B4416" s="14">
        <v>8.4107999999999995E-3</v>
      </c>
      <c r="C4416" s="15">
        <v>5.2638299999999997E-3</v>
      </c>
    </row>
    <row r="4417" spans="1:3" x14ac:dyDescent="0.45">
      <c r="A4417" s="11">
        <v>60.88</v>
      </c>
      <c r="B4417" s="14">
        <v>8.4201999999999992E-3</v>
      </c>
      <c r="C4417" s="15">
        <v>5.2689199999999999E-3</v>
      </c>
    </row>
    <row r="4418" spans="1:3" x14ac:dyDescent="0.45">
      <c r="A4418" s="11">
        <v>60.89</v>
      </c>
      <c r="B4418" s="14">
        <v>8.4296000000000006E-3</v>
      </c>
      <c r="C4418" s="15">
        <v>5.27401E-3</v>
      </c>
    </row>
    <row r="4419" spans="1:3" x14ac:dyDescent="0.45">
      <c r="A4419" s="11">
        <v>60.9</v>
      </c>
      <c r="B4419" s="14">
        <v>8.4390000000000003E-3</v>
      </c>
      <c r="C4419" s="15">
        <v>5.2791000000000001E-3</v>
      </c>
    </row>
    <row r="4420" spans="1:3" x14ac:dyDescent="0.45">
      <c r="A4420" s="11">
        <v>60.91</v>
      </c>
      <c r="B4420" s="14">
        <v>8.4484E-3</v>
      </c>
      <c r="C4420" s="15">
        <v>5.2841900000000002E-3</v>
      </c>
    </row>
    <row r="4421" spans="1:3" x14ac:dyDescent="0.45">
      <c r="A4421" s="11">
        <v>60.92</v>
      </c>
      <c r="B4421" s="14">
        <v>8.4577999999999997E-3</v>
      </c>
      <c r="C4421" s="15">
        <v>5.2892800000000004E-3</v>
      </c>
    </row>
    <row r="4422" spans="1:3" x14ac:dyDescent="0.45">
      <c r="A4422" s="11">
        <v>60.93</v>
      </c>
      <c r="B4422" s="14">
        <v>8.4671999999999994E-3</v>
      </c>
      <c r="C4422" s="15">
        <v>5.2943699999999996E-3</v>
      </c>
    </row>
    <row r="4423" spans="1:3" x14ac:dyDescent="0.45">
      <c r="A4423" s="11">
        <v>60.94</v>
      </c>
      <c r="B4423" s="14">
        <v>8.4766000000000008E-3</v>
      </c>
      <c r="C4423" s="15">
        <v>5.2994599999999998E-3</v>
      </c>
    </row>
    <row r="4424" spans="1:3" x14ac:dyDescent="0.45">
      <c r="A4424" s="11">
        <v>60.95</v>
      </c>
      <c r="B4424" s="14">
        <v>8.4860000000000005E-3</v>
      </c>
      <c r="C4424" s="15">
        <v>5.3045499999999999E-3</v>
      </c>
    </row>
    <row r="4425" spans="1:3" x14ac:dyDescent="0.45">
      <c r="A4425" s="11">
        <v>60.96</v>
      </c>
      <c r="B4425" s="14">
        <v>8.4954000000000002E-3</v>
      </c>
      <c r="C4425" s="15">
        <v>5.30964E-3</v>
      </c>
    </row>
    <row r="4426" spans="1:3" x14ac:dyDescent="0.45">
      <c r="A4426" s="11">
        <v>60.97</v>
      </c>
      <c r="B4426" s="14">
        <v>8.5047999999999999E-3</v>
      </c>
      <c r="C4426" s="15">
        <v>5.3147300000000001E-3</v>
      </c>
    </row>
    <row r="4427" spans="1:3" x14ac:dyDescent="0.45">
      <c r="A4427" s="11">
        <v>60.98</v>
      </c>
      <c r="B4427" s="14">
        <v>8.5141999999999995E-3</v>
      </c>
      <c r="C4427" s="15">
        <v>5.3198200000000003E-3</v>
      </c>
    </row>
    <row r="4428" spans="1:3" x14ac:dyDescent="0.45">
      <c r="A4428" s="11">
        <v>60.99</v>
      </c>
      <c r="B4428" s="14">
        <v>8.5235999999999992E-3</v>
      </c>
      <c r="C4428" s="15">
        <v>5.3249100000000004E-3</v>
      </c>
    </row>
    <row r="4429" spans="1:3" x14ac:dyDescent="0.45">
      <c r="A4429" s="11">
        <v>61</v>
      </c>
      <c r="B4429" s="14">
        <v>8.5330000000000007E-3</v>
      </c>
      <c r="C4429" s="15">
        <v>5.3299999999999997E-3</v>
      </c>
    </row>
    <row r="4430" spans="1:3" x14ac:dyDescent="0.45">
      <c r="A4430" s="11">
        <v>61.01</v>
      </c>
      <c r="B4430" s="14">
        <v>8.5435300000000006E-3</v>
      </c>
      <c r="C4430" s="15">
        <v>5.3356499999999999E-3</v>
      </c>
    </row>
    <row r="4431" spans="1:3" x14ac:dyDescent="0.45">
      <c r="A4431" s="11">
        <v>61.02</v>
      </c>
      <c r="B4431" s="14">
        <v>8.5540600000000005E-3</v>
      </c>
      <c r="C4431" s="15">
        <v>5.3413000000000002E-3</v>
      </c>
    </row>
    <row r="4432" spans="1:3" x14ac:dyDescent="0.45">
      <c r="A4432" s="11">
        <v>61.03</v>
      </c>
      <c r="B4432" s="14">
        <v>8.5645900000000004E-3</v>
      </c>
      <c r="C4432" s="15">
        <v>5.3469499999999996E-3</v>
      </c>
    </row>
    <row r="4433" spans="1:3" x14ac:dyDescent="0.45">
      <c r="A4433" s="11">
        <v>61.04</v>
      </c>
      <c r="B4433" s="14">
        <v>8.5751200000000003E-3</v>
      </c>
      <c r="C4433" s="15">
        <v>5.3525999999999999E-3</v>
      </c>
    </row>
    <row r="4434" spans="1:3" x14ac:dyDescent="0.45">
      <c r="A4434" s="11">
        <v>61.05</v>
      </c>
      <c r="B4434" s="14">
        <v>8.5856500000000002E-3</v>
      </c>
      <c r="C4434" s="15">
        <v>5.3582500000000002E-3</v>
      </c>
    </row>
    <row r="4435" spans="1:3" x14ac:dyDescent="0.45">
      <c r="A4435" s="11">
        <v>61.06</v>
      </c>
      <c r="B4435" s="14">
        <v>8.5961800000000001E-3</v>
      </c>
      <c r="C4435" s="15">
        <v>5.3638999999999996E-3</v>
      </c>
    </row>
    <row r="4436" spans="1:3" x14ac:dyDescent="0.45">
      <c r="A4436" s="11">
        <v>61.07</v>
      </c>
      <c r="B4436" s="14">
        <v>8.6067100000000001E-3</v>
      </c>
      <c r="C4436" s="15">
        <v>5.3695499999999998E-3</v>
      </c>
    </row>
    <row r="4437" spans="1:3" x14ac:dyDescent="0.45">
      <c r="A4437" s="11">
        <v>61.08</v>
      </c>
      <c r="B4437" s="14">
        <v>8.61724E-3</v>
      </c>
      <c r="C4437" s="15">
        <v>5.3752000000000001E-3</v>
      </c>
    </row>
    <row r="4438" spans="1:3" x14ac:dyDescent="0.45">
      <c r="A4438" s="11">
        <v>61.09</v>
      </c>
      <c r="B4438" s="14">
        <v>8.6277699999999999E-3</v>
      </c>
      <c r="C4438" s="15">
        <v>5.3808500000000004E-3</v>
      </c>
    </row>
    <row r="4439" spans="1:3" x14ac:dyDescent="0.45">
      <c r="A4439" s="11">
        <v>61.1</v>
      </c>
      <c r="B4439" s="14">
        <v>8.6382999999999998E-3</v>
      </c>
      <c r="C4439" s="15">
        <v>5.3864999999999998E-3</v>
      </c>
    </row>
    <row r="4440" spans="1:3" x14ac:dyDescent="0.45">
      <c r="A4440" s="11">
        <v>61.11</v>
      </c>
      <c r="B4440" s="14">
        <v>8.6488299999999997E-3</v>
      </c>
      <c r="C4440" s="15">
        <v>5.3921500000000001E-3</v>
      </c>
    </row>
    <row r="4441" spans="1:3" x14ac:dyDescent="0.45">
      <c r="A4441" s="11">
        <v>61.12</v>
      </c>
      <c r="B4441" s="14">
        <v>8.6593599999999996E-3</v>
      </c>
      <c r="C4441" s="15">
        <v>5.3978000000000003E-3</v>
      </c>
    </row>
    <row r="4442" spans="1:3" x14ac:dyDescent="0.45">
      <c r="A4442" s="11">
        <v>61.13</v>
      </c>
      <c r="B4442" s="14">
        <v>8.6698899999999995E-3</v>
      </c>
      <c r="C4442" s="15">
        <v>5.4034499999999997E-3</v>
      </c>
    </row>
    <row r="4443" spans="1:3" x14ac:dyDescent="0.45">
      <c r="A4443" s="11">
        <v>61.14</v>
      </c>
      <c r="B4443" s="14">
        <v>8.6804199999999995E-3</v>
      </c>
      <c r="C4443" s="15">
        <v>5.4091E-3</v>
      </c>
    </row>
    <row r="4444" spans="1:3" x14ac:dyDescent="0.45">
      <c r="A4444" s="11">
        <v>61.15</v>
      </c>
      <c r="B4444" s="14">
        <v>8.6909499999999994E-3</v>
      </c>
      <c r="C4444" s="15">
        <v>5.4147500000000003E-3</v>
      </c>
    </row>
    <row r="4445" spans="1:3" x14ac:dyDescent="0.45">
      <c r="A4445" s="11">
        <v>61.16</v>
      </c>
      <c r="B4445" s="14">
        <v>8.7014799999999993E-3</v>
      </c>
      <c r="C4445" s="15">
        <v>5.4203999999999997E-3</v>
      </c>
    </row>
    <row r="4446" spans="1:3" x14ac:dyDescent="0.45">
      <c r="A4446" s="11">
        <v>61.17</v>
      </c>
      <c r="B4446" s="14">
        <v>8.7120099999999992E-3</v>
      </c>
      <c r="C4446" s="15">
        <v>5.42605E-3</v>
      </c>
    </row>
    <row r="4447" spans="1:3" x14ac:dyDescent="0.45">
      <c r="A4447" s="11">
        <v>61.18</v>
      </c>
      <c r="B4447" s="14">
        <v>8.7225400000000008E-3</v>
      </c>
      <c r="C4447" s="15">
        <v>5.4317000000000002E-3</v>
      </c>
    </row>
    <row r="4448" spans="1:3" x14ac:dyDescent="0.45">
      <c r="A4448" s="11">
        <v>61.19</v>
      </c>
      <c r="B4448" s="14">
        <v>8.7330700000000008E-3</v>
      </c>
      <c r="C4448" s="15">
        <v>5.4373499999999996E-3</v>
      </c>
    </row>
    <row r="4449" spans="1:3" x14ac:dyDescent="0.45">
      <c r="A4449" s="11">
        <v>61.2</v>
      </c>
      <c r="B4449" s="14">
        <v>8.7436000000000007E-3</v>
      </c>
      <c r="C4449" s="15">
        <v>5.4429999999999999E-3</v>
      </c>
    </row>
    <row r="4450" spans="1:3" x14ac:dyDescent="0.45">
      <c r="A4450" s="11">
        <v>61.21</v>
      </c>
      <c r="B4450" s="14">
        <v>8.7541300000000006E-3</v>
      </c>
      <c r="C4450" s="15">
        <v>5.4486500000000002E-3</v>
      </c>
    </row>
    <row r="4451" spans="1:3" x14ac:dyDescent="0.45">
      <c r="A4451" s="11">
        <v>61.22</v>
      </c>
      <c r="B4451" s="14">
        <v>8.7646600000000005E-3</v>
      </c>
      <c r="C4451" s="15">
        <v>5.4542999999999996E-3</v>
      </c>
    </row>
    <row r="4452" spans="1:3" x14ac:dyDescent="0.45">
      <c r="A4452" s="11">
        <v>61.23</v>
      </c>
      <c r="B4452" s="14">
        <v>8.7751900000000004E-3</v>
      </c>
      <c r="C4452" s="15">
        <v>5.4599499999999999E-3</v>
      </c>
    </row>
    <row r="4453" spans="1:3" x14ac:dyDescent="0.45">
      <c r="A4453" s="11">
        <v>61.24</v>
      </c>
      <c r="B4453" s="14">
        <v>8.7857200000000003E-3</v>
      </c>
      <c r="C4453" s="15">
        <v>5.4656000000000001E-3</v>
      </c>
    </row>
    <row r="4454" spans="1:3" x14ac:dyDescent="0.45">
      <c r="A4454" s="11">
        <v>61.25</v>
      </c>
      <c r="B4454" s="14">
        <v>8.7962500000000002E-3</v>
      </c>
      <c r="C4454" s="15">
        <v>5.4712500000000004E-3</v>
      </c>
    </row>
    <row r="4455" spans="1:3" x14ac:dyDescent="0.45">
      <c r="A4455" s="11">
        <v>61.26</v>
      </c>
      <c r="B4455" s="14">
        <v>8.8067800000000002E-3</v>
      </c>
      <c r="C4455" s="15">
        <v>5.4768999999999998E-3</v>
      </c>
    </row>
    <row r="4456" spans="1:3" x14ac:dyDescent="0.45">
      <c r="A4456" s="11">
        <v>61.27</v>
      </c>
      <c r="B4456" s="14">
        <v>8.8173100000000001E-3</v>
      </c>
      <c r="C4456" s="15">
        <v>5.4825500000000001E-3</v>
      </c>
    </row>
    <row r="4457" spans="1:3" x14ac:dyDescent="0.45">
      <c r="A4457" s="11">
        <v>61.28</v>
      </c>
      <c r="B4457" s="14">
        <v>8.82784E-3</v>
      </c>
      <c r="C4457" s="15">
        <v>5.4882000000000004E-3</v>
      </c>
    </row>
    <row r="4458" spans="1:3" x14ac:dyDescent="0.45">
      <c r="A4458" s="11">
        <v>61.29</v>
      </c>
      <c r="B4458" s="14">
        <v>8.8383699999999999E-3</v>
      </c>
      <c r="C4458" s="15">
        <v>5.4938499999999998E-3</v>
      </c>
    </row>
    <row r="4459" spans="1:3" x14ac:dyDescent="0.45">
      <c r="A4459" s="11">
        <v>61.3</v>
      </c>
      <c r="B4459" s="14">
        <v>8.8488999999999998E-3</v>
      </c>
      <c r="C4459" s="15">
        <v>5.4995E-3</v>
      </c>
    </row>
    <row r="4460" spans="1:3" x14ac:dyDescent="0.45">
      <c r="A4460" s="11">
        <v>61.31</v>
      </c>
      <c r="B4460" s="14">
        <v>8.8594299999999997E-3</v>
      </c>
      <c r="C4460" s="15">
        <v>5.5051500000000003E-3</v>
      </c>
    </row>
    <row r="4461" spans="1:3" x14ac:dyDescent="0.45">
      <c r="A4461" s="11">
        <v>61.32</v>
      </c>
      <c r="B4461" s="14">
        <v>8.8699599999999997E-3</v>
      </c>
      <c r="C4461" s="15">
        <v>5.5107999999999997E-3</v>
      </c>
    </row>
    <row r="4462" spans="1:3" x14ac:dyDescent="0.45">
      <c r="A4462" s="11">
        <v>61.33</v>
      </c>
      <c r="B4462" s="14">
        <v>8.8804899999999996E-3</v>
      </c>
      <c r="C4462" s="15">
        <v>5.51645E-3</v>
      </c>
    </row>
    <row r="4463" spans="1:3" x14ac:dyDescent="0.45">
      <c r="A4463" s="11">
        <v>61.34</v>
      </c>
      <c r="B4463" s="14">
        <v>8.8910199999999995E-3</v>
      </c>
      <c r="C4463" s="15">
        <v>5.5221000000000003E-3</v>
      </c>
    </row>
    <row r="4464" spans="1:3" x14ac:dyDescent="0.45">
      <c r="A4464" s="11">
        <v>61.35</v>
      </c>
      <c r="B4464" s="14">
        <v>8.9015499999999994E-3</v>
      </c>
      <c r="C4464" s="15">
        <v>5.5277499999999997E-3</v>
      </c>
    </row>
    <row r="4465" spans="1:3" x14ac:dyDescent="0.45">
      <c r="A4465" s="11">
        <v>61.36</v>
      </c>
      <c r="B4465" s="14">
        <v>8.9120799999999993E-3</v>
      </c>
      <c r="C4465" s="15">
        <v>5.5334E-3</v>
      </c>
    </row>
    <row r="4466" spans="1:3" x14ac:dyDescent="0.45">
      <c r="A4466" s="11">
        <v>61.37</v>
      </c>
      <c r="B4466" s="14">
        <v>8.9226099999999992E-3</v>
      </c>
      <c r="C4466" s="15">
        <v>5.5390500000000002E-3</v>
      </c>
    </row>
    <row r="4467" spans="1:3" x14ac:dyDescent="0.45">
      <c r="A4467" s="11">
        <v>61.38</v>
      </c>
      <c r="B4467" s="14">
        <v>8.9331399999999991E-3</v>
      </c>
      <c r="C4467" s="15">
        <v>5.5446999999999996E-3</v>
      </c>
    </row>
    <row r="4468" spans="1:3" x14ac:dyDescent="0.45">
      <c r="A4468" s="11">
        <v>61.39</v>
      </c>
      <c r="B4468" s="14">
        <v>8.9436700000000008E-3</v>
      </c>
      <c r="C4468" s="15">
        <v>5.5503499999999999E-3</v>
      </c>
    </row>
    <row r="4469" spans="1:3" x14ac:dyDescent="0.45">
      <c r="A4469" s="11">
        <v>61.4</v>
      </c>
      <c r="B4469" s="14">
        <v>8.9542000000000007E-3</v>
      </c>
      <c r="C4469" s="15">
        <v>5.5560000000000002E-3</v>
      </c>
    </row>
    <row r="4470" spans="1:3" x14ac:dyDescent="0.45">
      <c r="A4470" s="11">
        <v>61.41</v>
      </c>
      <c r="B4470" s="14">
        <v>8.9647300000000006E-3</v>
      </c>
      <c r="C4470" s="15">
        <v>5.5616499999999996E-3</v>
      </c>
    </row>
    <row r="4471" spans="1:3" x14ac:dyDescent="0.45">
      <c r="A4471" s="11">
        <v>61.42</v>
      </c>
      <c r="B4471" s="14">
        <v>8.9752600000000005E-3</v>
      </c>
      <c r="C4471" s="15">
        <v>5.5672999999999999E-3</v>
      </c>
    </row>
    <row r="4472" spans="1:3" x14ac:dyDescent="0.45">
      <c r="A4472" s="11">
        <v>61.43</v>
      </c>
      <c r="B4472" s="14">
        <v>8.9857900000000004E-3</v>
      </c>
      <c r="C4472" s="15">
        <v>5.5729500000000001E-3</v>
      </c>
    </row>
    <row r="4473" spans="1:3" x14ac:dyDescent="0.45">
      <c r="A4473" s="11">
        <v>61.44</v>
      </c>
      <c r="B4473" s="14">
        <v>8.9963200000000004E-3</v>
      </c>
      <c r="C4473" s="15">
        <v>5.5786000000000004E-3</v>
      </c>
    </row>
    <row r="4474" spans="1:3" x14ac:dyDescent="0.45">
      <c r="A4474" s="11">
        <v>61.45</v>
      </c>
      <c r="B4474" s="14">
        <v>9.0068500000000003E-3</v>
      </c>
      <c r="C4474" s="15">
        <v>5.5842499999999998E-3</v>
      </c>
    </row>
    <row r="4475" spans="1:3" x14ac:dyDescent="0.45">
      <c r="A4475" s="11">
        <v>61.46</v>
      </c>
      <c r="B4475" s="14">
        <v>9.0173800000000002E-3</v>
      </c>
      <c r="C4475" s="15">
        <v>5.5899000000000001E-3</v>
      </c>
    </row>
    <row r="4476" spans="1:3" x14ac:dyDescent="0.45">
      <c r="A4476" s="11">
        <v>61.47</v>
      </c>
      <c r="B4476" s="14">
        <v>9.0279100000000001E-3</v>
      </c>
      <c r="C4476" s="15">
        <v>5.5955500000000003E-3</v>
      </c>
    </row>
    <row r="4477" spans="1:3" x14ac:dyDescent="0.45">
      <c r="A4477" s="11">
        <v>61.48</v>
      </c>
      <c r="B4477" s="14">
        <v>9.03844E-3</v>
      </c>
      <c r="C4477" s="15">
        <v>5.6011999999999998E-3</v>
      </c>
    </row>
    <row r="4478" spans="1:3" x14ac:dyDescent="0.45">
      <c r="A4478" s="11">
        <v>61.49</v>
      </c>
      <c r="B4478" s="14">
        <v>9.0489699999999999E-3</v>
      </c>
      <c r="C4478" s="15">
        <v>5.60685E-3</v>
      </c>
    </row>
    <row r="4479" spans="1:3" x14ac:dyDescent="0.45">
      <c r="A4479" s="11">
        <v>61.5</v>
      </c>
      <c r="B4479" s="14">
        <v>9.0594999999999998E-3</v>
      </c>
      <c r="C4479" s="15">
        <v>5.6125000000000003E-3</v>
      </c>
    </row>
    <row r="4480" spans="1:3" x14ac:dyDescent="0.45">
      <c r="A4480" s="11">
        <v>61.51</v>
      </c>
      <c r="B4480" s="14">
        <v>9.0700299999999998E-3</v>
      </c>
      <c r="C4480" s="15">
        <v>5.6181499999999997E-3</v>
      </c>
    </row>
    <row r="4481" spans="1:3" x14ac:dyDescent="0.45">
      <c r="A4481" s="11">
        <v>61.52</v>
      </c>
      <c r="B4481" s="14">
        <v>9.0805599999999997E-3</v>
      </c>
      <c r="C4481" s="15">
        <v>5.6238E-3</v>
      </c>
    </row>
    <row r="4482" spans="1:3" x14ac:dyDescent="0.45">
      <c r="A4482" s="11">
        <v>61.53</v>
      </c>
      <c r="B4482" s="14">
        <v>9.0910899999999996E-3</v>
      </c>
      <c r="C4482" s="15">
        <v>5.6294500000000003E-3</v>
      </c>
    </row>
    <row r="4483" spans="1:3" x14ac:dyDescent="0.45">
      <c r="A4483" s="11">
        <v>61.54</v>
      </c>
      <c r="B4483" s="14">
        <v>9.1016199999999995E-3</v>
      </c>
      <c r="C4483" s="15">
        <v>5.6350999999999997E-3</v>
      </c>
    </row>
    <row r="4484" spans="1:3" x14ac:dyDescent="0.45">
      <c r="A4484" s="11">
        <v>61.55</v>
      </c>
      <c r="B4484" s="14">
        <v>9.1121499999999994E-3</v>
      </c>
      <c r="C4484" s="15">
        <v>5.6407499999999999E-3</v>
      </c>
    </row>
    <row r="4485" spans="1:3" x14ac:dyDescent="0.45">
      <c r="A4485" s="11">
        <v>61.56</v>
      </c>
      <c r="B4485" s="14">
        <v>9.1226799999999993E-3</v>
      </c>
      <c r="C4485" s="15">
        <v>5.6464000000000002E-3</v>
      </c>
    </row>
    <row r="4486" spans="1:3" x14ac:dyDescent="0.45">
      <c r="A4486" s="11">
        <v>61.57</v>
      </c>
      <c r="B4486" s="14">
        <v>9.1332099999999992E-3</v>
      </c>
      <c r="C4486" s="15">
        <v>5.6520499999999996E-3</v>
      </c>
    </row>
    <row r="4487" spans="1:3" x14ac:dyDescent="0.45">
      <c r="A4487" s="11">
        <v>61.58</v>
      </c>
      <c r="B4487" s="14">
        <v>9.1437399999999992E-3</v>
      </c>
      <c r="C4487" s="15">
        <v>5.6576999999999999E-3</v>
      </c>
    </row>
    <row r="4488" spans="1:3" x14ac:dyDescent="0.45">
      <c r="A4488" s="11">
        <v>61.59</v>
      </c>
      <c r="B4488" s="14">
        <v>9.1542700000000008E-3</v>
      </c>
      <c r="C4488" s="15">
        <v>5.6633500000000002E-3</v>
      </c>
    </row>
    <row r="4489" spans="1:3" x14ac:dyDescent="0.45">
      <c r="A4489" s="11">
        <v>61.6</v>
      </c>
      <c r="B4489" s="14">
        <v>9.1648000000000007E-3</v>
      </c>
      <c r="C4489" s="15">
        <v>5.6690000000000004E-3</v>
      </c>
    </row>
    <row r="4490" spans="1:3" x14ac:dyDescent="0.45">
      <c r="A4490" s="11">
        <v>61.61</v>
      </c>
      <c r="B4490" s="14">
        <v>9.1753300000000006E-3</v>
      </c>
      <c r="C4490" s="15">
        <v>5.6746499999999998E-3</v>
      </c>
    </row>
    <row r="4491" spans="1:3" x14ac:dyDescent="0.45">
      <c r="A4491" s="11">
        <v>61.62</v>
      </c>
      <c r="B4491" s="14">
        <v>9.1858600000000006E-3</v>
      </c>
      <c r="C4491" s="15">
        <v>5.6803000000000001E-3</v>
      </c>
    </row>
    <row r="4492" spans="1:3" x14ac:dyDescent="0.45">
      <c r="A4492" s="11">
        <v>61.63</v>
      </c>
      <c r="B4492" s="14">
        <v>9.1963900000000005E-3</v>
      </c>
      <c r="C4492" s="15">
        <v>5.6859500000000004E-3</v>
      </c>
    </row>
    <row r="4493" spans="1:3" x14ac:dyDescent="0.45">
      <c r="A4493" s="11">
        <v>61.64</v>
      </c>
      <c r="B4493" s="14">
        <v>9.2069200000000004E-3</v>
      </c>
      <c r="C4493" s="15">
        <v>5.6915999999999998E-3</v>
      </c>
    </row>
    <row r="4494" spans="1:3" x14ac:dyDescent="0.45">
      <c r="A4494" s="11">
        <v>61.65</v>
      </c>
      <c r="B4494" s="14">
        <v>9.2174500000000003E-3</v>
      </c>
      <c r="C4494" s="15">
        <v>5.6972500000000001E-3</v>
      </c>
    </row>
    <row r="4495" spans="1:3" x14ac:dyDescent="0.45">
      <c r="A4495" s="11">
        <v>61.66</v>
      </c>
      <c r="B4495" s="14">
        <v>9.2279800000000002E-3</v>
      </c>
      <c r="C4495" s="15">
        <v>5.7029000000000003E-3</v>
      </c>
    </row>
    <row r="4496" spans="1:3" x14ac:dyDescent="0.45">
      <c r="A4496" s="11">
        <v>61.67</v>
      </c>
      <c r="B4496" s="14">
        <v>9.2385100000000001E-3</v>
      </c>
      <c r="C4496" s="15">
        <v>5.7085499999999997E-3</v>
      </c>
    </row>
    <row r="4497" spans="1:3" x14ac:dyDescent="0.45">
      <c r="A4497" s="11">
        <v>61.68</v>
      </c>
      <c r="B4497" s="14">
        <v>9.24904E-3</v>
      </c>
      <c r="C4497" s="15">
        <v>5.7142E-3</v>
      </c>
    </row>
    <row r="4498" spans="1:3" x14ac:dyDescent="0.45">
      <c r="A4498" s="11">
        <v>61.69</v>
      </c>
      <c r="B4498" s="14">
        <v>9.25957E-3</v>
      </c>
      <c r="C4498" s="15">
        <v>5.7198500000000003E-3</v>
      </c>
    </row>
    <row r="4499" spans="1:3" x14ac:dyDescent="0.45">
      <c r="A4499" s="11">
        <v>61.7</v>
      </c>
      <c r="B4499" s="14">
        <v>9.2700999999999999E-3</v>
      </c>
      <c r="C4499" s="15">
        <v>5.7254999999999997E-3</v>
      </c>
    </row>
    <row r="4500" spans="1:3" x14ac:dyDescent="0.45">
      <c r="A4500" s="11">
        <v>61.71</v>
      </c>
      <c r="B4500" s="14">
        <v>9.2806299999999998E-3</v>
      </c>
      <c r="C4500" s="15">
        <v>5.73115E-3</v>
      </c>
    </row>
    <row r="4501" spans="1:3" x14ac:dyDescent="0.45">
      <c r="A4501" s="11">
        <v>61.72</v>
      </c>
      <c r="B4501" s="14">
        <v>9.2911599999999997E-3</v>
      </c>
      <c r="C4501" s="15">
        <v>5.7368000000000002E-3</v>
      </c>
    </row>
    <row r="4502" spans="1:3" x14ac:dyDescent="0.45">
      <c r="A4502" s="11">
        <v>61.73</v>
      </c>
      <c r="B4502" s="14">
        <v>9.3016899999999996E-3</v>
      </c>
      <c r="C4502" s="15">
        <v>5.7424499999999996E-3</v>
      </c>
    </row>
    <row r="4503" spans="1:3" x14ac:dyDescent="0.45">
      <c r="A4503" s="11">
        <v>61.74</v>
      </c>
      <c r="B4503" s="14">
        <v>9.3122199999999995E-3</v>
      </c>
      <c r="C4503" s="15">
        <v>5.7480999999999999E-3</v>
      </c>
    </row>
    <row r="4504" spans="1:3" x14ac:dyDescent="0.45">
      <c r="A4504" s="11">
        <v>61.75</v>
      </c>
      <c r="B4504" s="14">
        <v>9.3227499999999994E-3</v>
      </c>
      <c r="C4504" s="15">
        <v>5.7537500000000002E-3</v>
      </c>
    </row>
    <row r="4505" spans="1:3" x14ac:dyDescent="0.45">
      <c r="A4505" s="11">
        <v>61.76</v>
      </c>
      <c r="B4505" s="14">
        <v>9.3332799999999994E-3</v>
      </c>
      <c r="C4505" s="15">
        <v>5.7593999999999996E-3</v>
      </c>
    </row>
    <row r="4506" spans="1:3" x14ac:dyDescent="0.45">
      <c r="A4506" s="11">
        <v>61.77</v>
      </c>
      <c r="B4506" s="14">
        <v>9.3438099999999993E-3</v>
      </c>
      <c r="C4506" s="15">
        <v>5.7650499999999999E-3</v>
      </c>
    </row>
    <row r="4507" spans="1:3" x14ac:dyDescent="0.45">
      <c r="A4507" s="11">
        <v>61.78</v>
      </c>
      <c r="B4507" s="14">
        <v>9.3543399999999992E-3</v>
      </c>
      <c r="C4507" s="15">
        <v>5.7707000000000001E-3</v>
      </c>
    </row>
    <row r="4508" spans="1:3" x14ac:dyDescent="0.45">
      <c r="A4508" s="11">
        <v>61.79</v>
      </c>
      <c r="B4508" s="14">
        <v>9.3648700000000008E-3</v>
      </c>
      <c r="C4508" s="15">
        <v>5.7763500000000004E-3</v>
      </c>
    </row>
    <row r="4509" spans="1:3" x14ac:dyDescent="0.45">
      <c r="A4509" s="11">
        <v>61.8</v>
      </c>
      <c r="B4509" s="14">
        <v>9.3754000000000007E-3</v>
      </c>
      <c r="C4509" s="15">
        <v>5.7819999999999998E-3</v>
      </c>
    </row>
    <row r="4510" spans="1:3" x14ac:dyDescent="0.45">
      <c r="A4510" s="11">
        <v>61.81</v>
      </c>
      <c r="B4510" s="14">
        <v>9.3859300000000007E-3</v>
      </c>
      <c r="C4510" s="15">
        <v>5.7876500000000001E-3</v>
      </c>
    </row>
    <row r="4511" spans="1:3" x14ac:dyDescent="0.45">
      <c r="A4511" s="11">
        <v>61.82</v>
      </c>
      <c r="B4511" s="14">
        <v>9.3964600000000006E-3</v>
      </c>
      <c r="C4511" s="15">
        <v>5.7933000000000004E-3</v>
      </c>
    </row>
    <row r="4512" spans="1:3" x14ac:dyDescent="0.45">
      <c r="A4512" s="11">
        <v>61.83</v>
      </c>
      <c r="B4512" s="14">
        <v>9.4069900000000005E-3</v>
      </c>
      <c r="C4512" s="15">
        <v>5.7989499999999998E-3</v>
      </c>
    </row>
    <row r="4513" spans="1:3" x14ac:dyDescent="0.45">
      <c r="A4513" s="11">
        <v>61.84</v>
      </c>
      <c r="B4513" s="14">
        <v>9.4175200000000004E-3</v>
      </c>
      <c r="C4513" s="15">
        <v>5.8046E-3</v>
      </c>
    </row>
    <row r="4514" spans="1:3" x14ac:dyDescent="0.45">
      <c r="A4514" s="11">
        <v>61.85</v>
      </c>
      <c r="B4514" s="14">
        <v>9.4280500000000003E-3</v>
      </c>
      <c r="C4514" s="15">
        <v>5.8102500000000003E-3</v>
      </c>
    </row>
    <row r="4515" spans="1:3" x14ac:dyDescent="0.45">
      <c r="A4515" s="11">
        <v>61.86</v>
      </c>
      <c r="B4515" s="14">
        <v>9.4385800000000002E-3</v>
      </c>
      <c r="C4515" s="15">
        <v>5.8158999999999997E-3</v>
      </c>
    </row>
    <row r="4516" spans="1:3" x14ac:dyDescent="0.45">
      <c r="A4516" s="11">
        <v>61.87</v>
      </c>
      <c r="B4516" s="14">
        <v>9.4491100000000001E-3</v>
      </c>
      <c r="C4516" s="15">
        <v>5.82155E-3</v>
      </c>
    </row>
    <row r="4517" spans="1:3" x14ac:dyDescent="0.45">
      <c r="A4517" s="11">
        <v>61.88</v>
      </c>
      <c r="B4517" s="14">
        <v>9.4596400000000001E-3</v>
      </c>
      <c r="C4517" s="15">
        <v>5.8272000000000003E-3</v>
      </c>
    </row>
    <row r="4518" spans="1:3" x14ac:dyDescent="0.45">
      <c r="A4518" s="11">
        <v>61.89</v>
      </c>
      <c r="B4518" s="14">
        <v>9.47017E-3</v>
      </c>
      <c r="C4518" s="15">
        <v>5.8328499999999997E-3</v>
      </c>
    </row>
    <row r="4519" spans="1:3" x14ac:dyDescent="0.45">
      <c r="A4519" s="11">
        <v>61.9</v>
      </c>
      <c r="B4519" s="14">
        <v>9.4806999999999999E-3</v>
      </c>
      <c r="C4519" s="15">
        <v>5.8384999999999999E-3</v>
      </c>
    </row>
    <row r="4520" spans="1:3" x14ac:dyDescent="0.45">
      <c r="A4520" s="11">
        <v>61.91</v>
      </c>
      <c r="B4520" s="14">
        <v>9.4912299999999998E-3</v>
      </c>
      <c r="C4520" s="15">
        <v>5.8441500000000002E-3</v>
      </c>
    </row>
    <row r="4521" spans="1:3" x14ac:dyDescent="0.45">
      <c r="A4521" s="11">
        <v>61.92</v>
      </c>
      <c r="B4521" s="14">
        <v>9.5017599999999997E-3</v>
      </c>
      <c r="C4521" s="15">
        <v>5.8497999999999996E-3</v>
      </c>
    </row>
    <row r="4522" spans="1:3" x14ac:dyDescent="0.45">
      <c r="A4522" s="11">
        <v>61.93</v>
      </c>
      <c r="B4522" s="14">
        <v>9.5122899999999996E-3</v>
      </c>
      <c r="C4522" s="15">
        <v>5.8554499999999999E-3</v>
      </c>
    </row>
    <row r="4523" spans="1:3" x14ac:dyDescent="0.45">
      <c r="A4523" s="11">
        <v>61.94</v>
      </c>
      <c r="B4523" s="14">
        <v>9.5228199999999995E-3</v>
      </c>
      <c r="C4523" s="15">
        <v>5.8611000000000002E-3</v>
      </c>
    </row>
    <row r="4524" spans="1:3" x14ac:dyDescent="0.45">
      <c r="A4524" s="11">
        <v>61.95</v>
      </c>
      <c r="B4524" s="14">
        <v>9.5333499999999995E-3</v>
      </c>
      <c r="C4524" s="15">
        <v>5.8667499999999996E-3</v>
      </c>
    </row>
    <row r="4525" spans="1:3" x14ac:dyDescent="0.45">
      <c r="A4525" s="11">
        <v>61.96</v>
      </c>
      <c r="B4525" s="14">
        <v>9.5438799999999994E-3</v>
      </c>
      <c r="C4525" s="15">
        <v>5.8723999999999998E-3</v>
      </c>
    </row>
    <row r="4526" spans="1:3" x14ac:dyDescent="0.45">
      <c r="A4526" s="11">
        <v>61.97</v>
      </c>
      <c r="B4526" s="14">
        <v>9.5544099999999993E-3</v>
      </c>
      <c r="C4526" s="15">
        <v>5.8780500000000001E-3</v>
      </c>
    </row>
    <row r="4527" spans="1:3" x14ac:dyDescent="0.45">
      <c r="A4527" s="11">
        <v>61.98</v>
      </c>
      <c r="B4527" s="14">
        <v>9.5649399999999992E-3</v>
      </c>
      <c r="C4527" s="15">
        <v>5.8837000000000004E-3</v>
      </c>
    </row>
    <row r="4528" spans="1:3" x14ac:dyDescent="0.45">
      <c r="A4528" s="11">
        <v>61.99</v>
      </c>
      <c r="B4528" s="14">
        <v>9.5754700000000009E-3</v>
      </c>
      <c r="C4528" s="15">
        <v>5.8893499999999998E-3</v>
      </c>
    </row>
    <row r="4529" spans="1:3" x14ac:dyDescent="0.45">
      <c r="A4529" s="11">
        <v>62</v>
      </c>
      <c r="B4529" s="14">
        <v>9.5860000000000008E-3</v>
      </c>
      <c r="C4529" s="15">
        <v>5.8950000000000001E-3</v>
      </c>
    </row>
    <row r="4530" spans="1:3" x14ac:dyDescent="0.45">
      <c r="A4530" s="11">
        <v>62.01</v>
      </c>
      <c r="B4530" s="14">
        <v>9.5977700000000003E-3</v>
      </c>
      <c r="C4530" s="15">
        <v>5.9012600000000002E-3</v>
      </c>
    </row>
    <row r="4531" spans="1:3" x14ac:dyDescent="0.45">
      <c r="A4531" s="11">
        <v>62.02</v>
      </c>
      <c r="B4531" s="14">
        <v>9.6095399999999997E-3</v>
      </c>
      <c r="C4531" s="15">
        <v>5.9075200000000003E-3</v>
      </c>
    </row>
    <row r="4532" spans="1:3" x14ac:dyDescent="0.45">
      <c r="A4532" s="11">
        <v>62.03</v>
      </c>
      <c r="B4532" s="14">
        <v>9.6213099999999992E-3</v>
      </c>
      <c r="C4532" s="15">
        <v>5.9137800000000004E-3</v>
      </c>
    </row>
    <row r="4533" spans="1:3" x14ac:dyDescent="0.45">
      <c r="A4533" s="11">
        <v>62.04</v>
      </c>
      <c r="B4533" s="14">
        <v>9.6330800000000005E-3</v>
      </c>
      <c r="C4533" s="15">
        <v>5.9200399999999997E-3</v>
      </c>
    </row>
    <row r="4534" spans="1:3" x14ac:dyDescent="0.45">
      <c r="A4534" s="11">
        <v>62.05</v>
      </c>
      <c r="B4534" s="14">
        <v>9.64485E-3</v>
      </c>
      <c r="C4534" s="15">
        <v>5.9262999999999998E-3</v>
      </c>
    </row>
    <row r="4535" spans="1:3" x14ac:dyDescent="0.45">
      <c r="A4535" s="11">
        <v>62.06</v>
      </c>
      <c r="B4535" s="14">
        <v>9.6566199999999994E-3</v>
      </c>
      <c r="C4535" s="15">
        <v>5.9325599999999999E-3</v>
      </c>
    </row>
    <row r="4536" spans="1:3" x14ac:dyDescent="0.45">
      <c r="A4536" s="11">
        <v>62.07</v>
      </c>
      <c r="B4536" s="14">
        <v>9.6683900000000007E-3</v>
      </c>
      <c r="C4536" s="15">
        <v>5.93882E-3</v>
      </c>
    </row>
    <row r="4537" spans="1:3" x14ac:dyDescent="0.45">
      <c r="A4537" s="11">
        <v>62.08</v>
      </c>
      <c r="B4537" s="14">
        <v>9.6801600000000002E-3</v>
      </c>
      <c r="C4537" s="15">
        <v>5.9450800000000002E-3</v>
      </c>
    </row>
    <row r="4538" spans="1:3" x14ac:dyDescent="0.45">
      <c r="A4538" s="11">
        <v>62.09</v>
      </c>
      <c r="B4538" s="14">
        <v>9.6919299999999996E-3</v>
      </c>
      <c r="C4538" s="15">
        <v>5.9513400000000003E-3</v>
      </c>
    </row>
    <row r="4539" spans="1:3" x14ac:dyDescent="0.45">
      <c r="A4539" s="11">
        <v>62.1</v>
      </c>
      <c r="B4539" s="14">
        <v>9.7037000000000009E-3</v>
      </c>
      <c r="C4539" s="15">
        <v>5.9576000000000004E-3</v>
      </c>
    </row>
    <row r="4540" spans="1:3" x14ac:dyDescent="0.45">
      <c r="A4540" s="11">
        <v>62.11</v>
      </c>
      <c r="B4540" s="14">
        <v>9.7154700000000004E-3</v>
      </c>
      <c r="C4540" s="15">
        <v>5.9638599999999996E-3</v>
      </c>
    </row>
    <row r="4541" spans="1:3" x14ac:dyDescent="0.45">
      <c r="A4541" s="11">
        <v>62.12</v>
      </c>
      <c r="B4541" s="14">
        <v>9.7272399999999998E-3</v>
      </c>
      <c r="C4541" s="15">
        <v>5.9701199999999998E-3</v>
      </c>
    </row>
    <row r="4542" spans="1:3" x14ac:dyDescent="0.45">
      <c r="A4542" s="11">
        <v>62.13</v>
      </c>
      <c r="B4542" s="14">
        <v>9.7390099999999993E-3</v>
      </c>
      <c r="C4542" s="15">
        <v>5.9763799999999999E-3</v>
      </c>
    </row>
    <row r="4543" spans="1:3" x14ac:dyDescent="0.45">
      <c r="A4543" s="11">
        <v>62.14</v>
      </c>
      <c r="B4543" s="14">
        <v>9.7507800000000006E-3</v>
      </c>
      <c r="C4543" s="15">
        <v>5.98264E-3</v>
      </c>
    </row>
    <row r="4544" spans="1:3" x14ac:dyDescent="0.45">
      <c r="A4544" s="11">
        <v>62.15</v>
      </c>
      <c r="B4544" s="14">
        <v>9.76255E-3</v>
      </c>
      <c r="C4544" s="15">
        <v>5.9889000000000001E-3</v>
      </c>
    </row>
    <row r="4545" spans="1:3" x14ac:dyDescent="0.45">
      <c r="A4545" s="11">
        <v>62.16</v>
      </c>
      <c r="B4545" s="14">
        <v>9.7743199999999995E-3</v>
      </c>
      <c r="C4545" s="15">
        <v>5.9951600000000002E-3</v>
      </c>
    </row>
    <row r="4546" spans="1:3" x14ac:dyDescent="0.45">
      <c r="A4546" s="11">
        <v>62.17</v>
      </c>
      <c r="B4546" s="14">
        <v>9.7860900000000008E-3</v>
      </c>
      <c r="C4546" s="15">
        <v>6.0014200000000004E-3</v>
      </c>
    </row>
    <row r="4547" spans="1:3" x14ac:dyDescent="0.45">
      <c r="A4547" s="11">
        <v>62.18</v>
      </c>
      <c r="B4547" s="14">
        <v>9.7978600000000002E-3</v>
      </c>
      <c r="C4547" s="15">
        <v>6.0076799999999996E-3</v>
      </c>
    </row>
    <row r="4548" spans="1:3" x14ac:dyDescent="0.45">
      <c r="A4548" s="11">
        <v>62.19</v>
      </c>
      <c r="B4548" s="14">
        <v>9.8096299999999997E-3</v>
      </c>
      <c r="C4548" s="15">
        <v>6.0139399999999997E-3</v>
      </c>
    </row>
    <row r="4549" spans="1:3" x14ac:dyDescent="0.45">
      <c r="A4549" s="11">
        <v>62.2</v>
      </c>
      <c r="B4549" s="14">
        <v>9.8213999999999992E-3</v>
      </c>
      <c r="C4549" s="15">
        <v>6.0201999999999999E-3</v>
      </c>
    </row>
    <row r="4550" spans="1:3" x14ac:dyDescent="0.45">
      <c r="A4550" s="11">
        <v>62.21</v>
      </c>
      <c r="B4550" s="14">
        <v>9.8331700000000005E-3</v>
      </c>
      <c r="C4550" s="15">
        <v>6.02646E-3</v>
      </c>
    </row>
    <row r="4551" spans="1:3" x14ac:dyDescent="0.45">
      <c r="A4551" s="11">
        <v>62.22</v>
      </c>
      <c r="B4551" s="14">
        <v>9.8449399999999999E-3</v>
      </c>
      <c r="C4551" s="15">
        <v>6.0327200000000001E-3</v>
      </c>
    </row>
    <row r="4552" spans="1:3" x14ac:dyDescent="0.45">
      <c r="A4552" s="11">
        <v>62.23</v>
      </c>
      <c r="B4552" s="14">
        <v>9.8567099999999994E-3</v>
      </c>
      <c r="C4552" s="15">
        <v>6.0389800000000002E-3</v>
      </c>
    </row>
    <row r="4553" spans="1:3" x14ac:dyDescent="0.45">
      <c r="A4553" s="11">
        <v>62.24</v>
      </c>
      <c r="B4553" s="14">
        <v>9.8684800000000007E-3</v>
      </c>
      <c r="C4553" s="15">
        <v>6.0452400000000003E-3</v>
      </c>
    </row>
    <row r="4554" spans="1:3" x14ac:dyDescent="0.45">
      <c r="A4554" s="11">
        <v>62.25</v>
      </c>
      <c r="B4554" s="14">
        <v>9.8802500000000001E-3</v>
      </c>
      <c r="C4554" s="15">
        <v>6.0514999999999996E-3</v>
      </c>
    </row>
    <row r="4555" spans="1:3" x14ac:dyDescent="0.45">
      <c r="A4555" s="11">
        <v>62.26</v>
      </c>
      <c r="B4555" s="14">
        <v>9.8920199999999996E-3</v>
      </c>
      <c r="C4555" s="15">
        <v>6.0577599999999997E-3</v>
      </c>
    </row>
    <row r="4556" spans="1:3" x14ac:dyDescent="0.45">
      <c r="A4556" s="11">
        <v>62.27</v>
      </c>
      <c r="B4556" s="14">
        <v>9.9037900000000009E-3</v>
      </c>
      <c r="C4556" s="15">
        <v>6.0640199999999998E-3</v>
      </c>
    </row>
    <row r="4557" spans="1:3" x14ac:dyDescent="0.45">
      <c r="A4557" s="11">
        <v>62.28</v>
      </c>
      <c r="B4557" s="14">
        <v>9.9155600000000003E-3</v>
      </c>
      <c r="C4557" s="15">
        <v>6.0702799999999999E-3</v>
      </c>
    </row>
    <row r="4558" spans="1:3" x14ac:dyDescent="0.45">
      <c r="A4558" s="11">
        <v>62.29</v>
      </c>
      <c r="B4558" s="14">
        <v>9.9273299999999998E-3</v>
      </c>
      <c r="C4558" s="15">
        <v>6.0765400000000001E-3</v>
      </c>
    </row>
    <row r="4559" spans="1:3" x14ac:dyDescent="0.45">
      <c r="A4559" s="11">
        <v>62.3</v>
      </c>
      <c r="B4559" s="14">
        <v>9.9390999999999993E-3</v>
      </c>
      <c r="C4559" s="15">
        <v>6.0828000000000002E-3</v>
      </c>
    </row>
    <row r="4560" spans="1:3" x14ac:dyDescent="0.45">
      <c r="A4560" s="11">
        <v>62.31</v>
      </c>
      <c r="B4560" s="14">
        <v>9.9508700000000005E-3</v>
      </c>
      <c r="C4560" s="15">
        <v>6.0890600000000003E-3</v>
      </c>
    </row>
    <row r="4561" spans="1:3" x14ac:dyDescent="0.45">
      <c r="A4561" s="11">
        <v>62.32</v>
      </c>
      <c r="B4561" s="14">
        <v>9.96264E-3</v>
      </c>
      <c r="C4561" s="15">
        <v>6.0953200000000004E-3</v>
      </c>
    </row>
    <row r="4562" spans="1:3" x14ac:dyDescent="0.45">
      <c r="A4562" s="11">
        <v>62.33</v>
      </c>
      <c r="B4562" s="14">
        <v>9.9744099999999995E-3</v>
      </c>
      <c r="C4562" s="15">
        <v>6.1015799999999997E-3</v>
      </c>
    </row>
    <row r="4563" spans="1:3" x14ac:dyDescent="0.45">
      <c r="A4563" s="11">
        <v>62.34</v>
      </c>
      <c r="B4563" s="14">
        <v>9.9861800000000008E-3</v>
      </c>
      <c r="C4563" s="15">
        <v>6.1078399999999998E-3</v>
      </c>
    </row>
    <row r="4564" spans="1:3" x14ac:dyDescent="0.45">
      <c r="A4564" s="11">
        <v>62.35</v>
      </c>
      <c r="B4564" s="14">
        <v>9.9979500000000002E-3</v>
      </c>
      <c r="C4564" s="15">
        <v>6.1140999999999999E-3</v>
      </c>
    </row>
    <row r="4565" spans="1:3" x14ac:dyDescent="0.45">
      <c r="A4565" s="11">
        <v>62.36</v>
      </c>
      <c r="B4565" s="14">
        <v>1.000972E-2</v>
      </c>
      <c r="C4565" s="15">
        <v>6.12036E-3</v>
      </c>
    </row>
    <row r="4566" spans="1:3" x14ac:dyDescent="0.45">
      <c r="A4566" s="11">
        <v>62.37</v>
      </c>
      <c r="B4566" s="14">
        <v>1.0021489999999999E-2</v>
      </c>
      <c r="C4566" s="15">
        <v>6.1266200000000002E-3</v>
      </c>
    </row>
    <row r="4567" spans="1:3" x14ac:dyDescent="0.45">
      <c r="A4567" s="11">
        <v>62.38</v>
      </c>
      <c r="B4567" s="14">
        <v>1.003326E-2</v>
      </c>
      <c r="C4567" s="15">
        <v>6.1328800000000003E-3</v>
      </c>
    </row>
    <row r="4568" spans="1:3" x14ac:dyDescent="0.45">
      <c r="A4568" s="11">
        <v>62.39</v>
      </c>
      <c r="B4568" s="14">
        <v>1.004503E-2</v>
      </c>
      <c r="C4568" s="15">
        <v>6.1391400000000004E-3</v>
      </c>
    </row>
    <row r="4569" spans="1:3" x14ac:dyDescent="0.45">
      <c r="A4569" s="11">
        <v>62.4</v>
      </c>
      <c r="B4569" s="14">
        <v>1.0056799999999999E-2</v>
      </c>
      <c r="C4569" s="15">
        <v>6.1453999999999996E-3</v>
      </c>
    </row>
    <row r="4570" spans="1:3" x14ac:dyDescent="0.45">
      <c r="A4570" s="11">
        <v>62.41</v>
      </c>
      <c r="B4570" s="14">
        <v>1.0068570000000001E-2</v>
      </c>
      <c r="C4570" s="15">
        <v>6.1516599999999998E-3</v>
      </c>
    </row>
    <row r="4571" spans="1:3" x14ac:dyDescent="0.45">
      <c r="A4571" s="11">
        <v>62.42</v>
      </c>
      <c r="B4571" s="14">
        <v>1.008034E-2</v>
      </c>
      <c r="C4571" s="15">
        <v>6.1579199999999999E-3</v>
      </c>
    </row>
    <row r="4572" spans="1:3" x14ac:dyDescent="0.45">
      <c r="A4572" s="11">
        <v>62.43</v>
      </c>
      <c r="B4572" s="14">
        <v>1.009211E-2</v>
      </c>
      <c r="C4572" s="15">
        <v>6.16418E-3</v>
      </c>
    </row>
    <row r="4573" spans="1:3" x14ac:dyDescent="0.45">
      <c r="A4573" s="11">
        <v>62.44</v>
      </c>
      <c r="B4573" s="14">
        <v>1.0103880000000001E-2</v>
      </c>
      <c r="C4573" s="15">
        <v>6.1704400000000001E-3</v>
      </c>
    </row>
    <row r="4574" spans="1:3" x14ac:dyDescent="0.45">
      <c r="A4574" s="11">
        <v>62.45</v>
      </c>
      <c r="B4574" s="14">
        <v>1.011565E-2</v>
      </c>
      <c r="C4574" s="15">
        <v>6.1767000000000002E-3</v>
      </c>
    </row>
    <row r="4575" spans="1:3" x14ac:dyDescent="0.45">
      <c r="A4575" s="11">
        <v>62.46</v>
      </c>
      <c r="B4575" s="14">
        <v>1.012742E-2</v>
      </c>
      <c r="C4575" s="15">
        <v>6.1829600000000004E-3</v>
      </c>
    </row>
    <row r="4576" spans="1:3" x14ac:dyDescent="0.45">
      <c r="A4576" s="11">
        <v>62.47</v>
      </c>
      <c r="B4576" s="14">
        <v>1.0139189999999999E-2</v>
      </c>
      <c r="C4576" s="15">
        <v>6.1892199999999996E-3</v>
      </c>
    </row>
    <row r="4577" spans="1:3" x14ac:dyDescent="0.45">
      <c r="A4577" s="11">
        <v>62.48</v>
      </c>
      <c r="B4577" s="14">
        <v>1.0150960000000001E-2</v>
      </c>
      <c r="C4577" s="15">
        <v>6.1954799999999997E-3</v>
      </c>
    </row>
    <row r="4578" spans="1:3" x14ac:dyDescent="0.45">
      <c r="A4578" s="11">
        <v>62.49</v>
      </c>
      <c r="B4578" s="14">
        <v>1.016273E-2</v>
      </c>
      <c r="C4578" s="15">
        <v>6.2017399999999999E-3</v>
      </c>
    </row>
    <row r="4579" spans="1:3" x14ac:dyDescent="0.45">
      <c r="A4579" s="11">
        <v>62.5</v>
      </c>
      <c r="B4579" s="14">
        <v>1.01745E-2</v>
      </c>
      <c r="C4579" s="15">
        <v>6.208E-3</v>
      </c>
    </row>
    <row r="4580" spans="1:3" x14ac:dyDescent="0.45">
      <c r="A4580" s="11">
        <v>62.51</v>
      </c>
      <c r="B4580" s="14">
        <v>1.0186270000000001E-2</v>
      </c>
      <c r="C4580" s="15">
        <v>6.2142600000000001E-3</v>
      </c>
    </row>
    <row r="4581" spans="1:3" x14ac:dyDescent="0.45">
      <c r="A4581" s="11">
        <v>62.52</v>
      </c>
      <c r="B4581" s="14">
        <v>1.019804E-2</v>
      </c>
      <c r="C4581" s="15">
        <v>6.2205200000000002E-3</v>
      </c>
    </row>
    <row r="4582" spans="1:3" x14ac:dyDescent="0.45">
      <c r="A4582" s="11">
        <v>62.53</v>
      </c>
      <c r="B4582" s="14">
        <v>1.020981E-2</v>
      </c>
      <c r="C4582" s="15">
        <v>6.2267800000000003E-3</v>
      </c>
    </row>
    <row r="4583" spans="1:3" x14ac:dyDescent="0.45">
      <c r="A4583" s="11">
        <v>62.54</v>
      </c>
      <c r="B4583" s="14">
        <v>1.0221579999999999E-2</v>
      </c>
      <c r="C4583" s="15">
        <v>6.2330399999999996E-3</v>
      </c>
    </row>
    <row r="4584" spans="1:3" x14ac:dyDescent="0.45">
      <c r="A4584" s="11">
        <v>62.55</v>
      </c>
      <c r="B4584" s="14">
        <v>1.023335E-2</v>
      </c>
      <c r="C4584" s="15">
        <v>6.2392999999999997E-3</v>
      </c>
    </row>
    <row r="4585" spans="1:3" x14ac:dyDescent="0.45">
      <c r="A4585" s="11">
        <v>62.56</v>
      </c>
      <c r="B4585" s="14">
        <v>1.024512E-2</v>
      </c>
      <c r="C4585" s="15">
        <v>6.2455599999999998E-3</v>
      </c>
    </row>
    <row r="4586" spans="1:3" x14ac:dyDescent="0.45">
      <c r="A4586" s="11">
        <v>62.57</v>
      </c>
      <c r="B4586" s="14">
        <v>1.0256889999999999E-2</v>
      </c>
      <c r="C4586" s="15">
        <v>6.2518199999999999E-3</v>
      </c>
    </row>
    <row r="4587" spans="1:3" x14ac:dyDescent="0.45">
      <c r="A4587" s="11">
        <v>62.58</v>
      </c>
      <c r="B4587" s="14">
        <v>1.0268660000000001E-2</v>
      </c>
      <c r="C4587" s="15">
        <v>6.2580800000000001E-3</v>
      </c>
    </row>
    <row r="4588" spans="1:3" x14ac:dyDescent="0.45">
      <c r="A4588" s="11">
        <v>62.59</v>
      </c>
      <c r="B4588" s="14">
        <v>1.028043E-2</v>
      </c>
      <c r="C4588" s="15">
        <v>6.2643400000000002E-3</v>
      </c>
    </row>
    <row r="4589" spans="1:3" x14ac:dyDescent="0.45">
      <c r="A4589" s="11">
        <v>62.6</v>
      </c>
      <c r="B4589" s="14">
        <v>1.02922E-2</v>
      </c>
      <c r="C4589" s="15">
        <v>6.2706000000000003E-3</v>
      </c>
    </row>
    <row r="4590" spans="1:3" x14ac:dyDescent="0.45">
      <c r="A4590" s="11">
        <v>62.61</v>
      </c>
      <c r="B4590" s="14">
        <v>1.0303970000000001E-2</v>
      </c>
      <c r="C4590" s="15">
        <v>6.2768600000000004E-3</v>
      </c>
    </row>
    <row r="4591" spans="1:3" x14ac:dyDescent="0.45">
      <c r="A4591" s="11">
        <v>62.62</v>
      </c>
      <c r="B4591" s="14">
        <v>1.031574E-2</v>
      </c>
      <c r="C4591" s="15">
        <v>6.2831199999999997E-3</v>
      </c>
    </row>
    <row r="4592" spans="1:3" x14ac:dyDescent="0.45">
      <c r="A4592" s="11">
        <v>62.63</v>
      </c>
      <c r="B4592" s="14">
        <v>1.032751E-2</v>
      </c>
      <c r="C4592" s="15">
        <v>6.2893799999999998E-3</v>
      </c>
    </row>
    <row r="4593" spans="1:3" x14ac:dyDescent="0.45">
      <c r="A4593" s="11">
        <v>62.64</v>
      </c>
      <c r="B4593" s="14">
        <v>1.0339279999999999E-2</v>
      </c>
      <c r="C4593" s="15">
        <v>6.2956399999999999E-3</v>
      </c>
    </row>
    <row r="4594" spans="1:3" x14ac:dyDescent="0.45">
      <c r="A4594" s="11">
        <v>62.65</v>
      </c>
      <c r="B4594" s="14">
        <v>1.0351050000000001E-2</v>
      </c>
      <c r="C4594" s="15">
        <v>6.3019E-3</v>
      </c>
    </row>
    <row r="4595" spans="1:3" x14ac:dyDescent="0.45">
      <c r="A4595" s="11">
        <v>62.66</v>
      </c>
      <c r="B4595" s="14">
        <v>1.036282E-2</v>
      </c>
      <c r="C4595" s="15">
        <v>6.3081600000000002E-3</v>
      </c>
    </row>
    <row r="4596" spans="1:3" x14ac:dyDescent="0.45">
      <c r="A4596" s="11">
        <v>62.67</v>
      </c>
      <c r="B4596" s="14">
        <v>1.037459E-2</v>
      </c>
      <c r="C4596" s="15">
        <v>6.3144200000000003E-3</v>
      </c>
    </row>
    <row r="4597" spans="1:3" x14ac:dyDescent="0.45">
      <c r="A4597" s="11">
        <v>62.68</v>
      </c>
      <c r="B4597" s="14">
        <v>1.0386360000000001E-2</v>
      </c>
      <c r="C4597" s="15">
        <v>6.3206800000000004E-3</v>
      </c>
    </row>
    <row r="4598" spans="1:3" x14ac:dyDescent="0.45">
      <c r="A4598" s="11">
        <v>62.69</v>
      </c>
      <c r="B4598" s="14">
        <v>1.039813E-2</v>
      </c>
      <c r="C4598" s="15">
        <v>6.3269399999999996E-3</v>
      </c>
    </row>
    <row r="4599" spans="1:3" x14ac:dyDescent="0.45">
      <c r="A4599" s="11">
        <v>62.7</v>
      </c>
      <c r="B4599" s="14">
        <v>1.04099E-2</v>
      </c>
      <c r="C4599" s="15">
        <v>6.3331999999999998E-3</v>
      </c>
    </row>
    <row r="4600" spans="1:3" x14ac:dyDescent="0.45">
      <c r="A4600" s="11">
        <v>62.71</v>
      </c>
      <c r="B4600" s="14">
        <v>1.0421669999999999E-2</v>
      </c>
      <c r="C4600" s="15">
        <v>6.3394599999999999E-3</v>
      </c>
    </row>
    <row r="4601" spans="1:3" x14ac:dyDescent="0.45">
      <c r="A4601" s="11">
        <v>62.72</v>
      </c>
      <c r="B4601" s="14">
        <v>1.043344E-2</v>
      </c>
      <c r="C4601" s="15">
        <v>6.34572E-3</v>
      </c>
    </row>
    <row r="4602" spans="1:3" x14ac:dyDescent="0.45">
      <c r="A4602" s="11">
        <v>62.73</v>
      </c>
      <c r="B4602" s="14">
        <v>1.044521E-2</v>
      </c>
      <c r="C4602" s="15">
        <v>6.3519800000000001E-3</v>
      </c>
    </row>
    <row r="4603" spans="1:3" x14ac:dyDescent="0.45">
      <c r="A4603" s="11">
        <v>62.74</v>
      </c>
      <c r="B4603" s="14">
        <v>1.0456979999999999E-2</v>
      </c>
      <c r="C4603" s="15">
        <v>6.3582400000000002E-3</v>
      </c>
    </row>
    <row r="4604" spans="1:3" x14ac:dyDescent="0.45">
      <c r="A4604" s="11">
        <v>62.75</v>
      </c>
      <c r="B4604" s="14">
        <v>1.0468750000000001E-2</v>
      </c>
      <c r="C4604" s="15">
        <v>6.3645000000000004E-3</v>
      </c>
    </row>
    <row r="4605" spans="1:3" x14ac:dyDescent="0.45">
      <c r="A4605" s="11">
        <v>62.76</v>
      </c>
      <c r="B4605" s="14">
        <v>1.048052E-2</v>
      </c>
      <c r="C4605" s="15">
        <v>6.3707599999999996E-3</v>
      </c>
    </row>
    <row r="4606" spans="1:3" x14ac:dyDescent="0.45">
      <c r="A4606" s="11">
        <v>62.77</v>
      </c>
      <c r="B4606" s="14">
        <v>1.049229E-2</v>
      </c>
      <c r="C4606" s="15">
        <v>6.3770199999999997E-3</v>
      </c>
    </row>
    <row r="4607" spans="1:3" x14ac:dyDescent="0.45">
      <c r="A4607" s="11">
        <v>62.78</v>
      </c>
      <c r="B4607" s="14">
        <v>1.0504060000000001E-2</v>
      </c>
      <c r="C4607" s="15">
        <v>6.3832799999999999E-3</v>
      </c>
    </row>
    <row r="4608" spans="1:3" x14ac:dyDescent="0.45">
      <c r="A4608" s="11">
        <v>62.79</v>
      </c>
      <c r="B4608" s="14">
        <v>1.051583E-2</v>
      </c>
      <c r="C4608" s="15">
        <v>6.38954E-3</v>
      </c>
    </row>
    <row r="4609" spans="1:3" x14ac:dyDescent="0.45">
      <c r="A4609" s="11">
        <v>62.8</v>
      </c>
      <c r="B4609" s="14">
        <v>1.05276E-2</v>
      </c>
      <c r="C4609" s="15">
        <v>6.3958000000000001E-3</v>
      </c>
    </row>
    <row r="4610" spans="1:3" x14ac:dyDescent="0.45">
      <c r="A4610" s="11">
        <v>62.81</v>
      </c>
      <c r="B4610" s="14">
        <v>1.0539369999999999E-2</v>
      </c>
      <c r="C4610" s="15">
        <v>6.4020600000000002E-3</v>
      </c>
    </row>
    <row r="4611" spans="1:3" x14ac:dyDescent="0.45">
      <c r="A4611" s="11">
        <v>62.82</v>
      </c>
      <c r="B4611" s="14">
        <v>1.0551140000000001E-2</v>
      </c>
      <c r="C4611" s="15">
        <v>6.4083200000000003E-3</v>
      </c>
    </row>
    <row r="4612" spans="1:3" x14ac:dyDescent="0.45">
      <c r="A4612" s="11">
        <v>62.83</v>
      </c>
      <c r="B4612" s="14">
        <v>1.056291E-2</v>
      </c>
      <c r="C4612" s="15">
        <v>6.4145799999999996E-3</v>
      </c>
    </row>
    <row r="4613" spans="1:3" x14ac:dyDescent="0.45">
      <c r="A4613" s="11">
        <v>62.84</v>
      </c>
      <c r="B4613" s="14">
        <v>1.0574679999999999E-2</v>
      </c>
      <c r="C4613" s="15">
        <v>6.4208399999999997E-3</v>
      </c>
    </row>
    <row r="4614" spans="1:3" x14ac:dyDescent="0.45">
      <c r="A4614" s="11">
        <v>62.85</v>
      </c>
      <c r="B4614" s="14">
        <v>1.0586450000000001E-2</v>
      </c>
      <c r="C4614" s="15">
        <v>6.4270999999999998E-3</v>
      </c>
    </row>
    <row r="4615" spans="1:3" x14ac:dyDescent="0.45">
      <c r="A4615" s="11">
        <v>62.86</v>
      </c>
      <c r="B4615" s="14">
        <v>1.059822E-2</v>
      </c>
      <c r="C4615" s="15">
        <v>6.4333599999999999E-3</v>
      </c>
    </row>
    <row r="4616" spans="1:3" x14ac:dyDescent="0.45">
      <c r="A4616" s="11">
        <v>62.87</v>
      </c>
      <c r="B4616" s="14">
        <v>1.060999E-2</v>
      </c>
      <c r="C4616" s="15">
        <v>6.4396200000000001E-3</v>
      </c>
    </row>
    <row r="4617" spans="1:3" x14ac:dyDescent="0.45">
      <c r="A4617" s="11">
        <v>62.88</v>
      </c>
      <c r="B4617" s="14">
        <v>1.0621759999999999E-2</v>
      </c>
      <c r="C4617" s="15">
        <v>6.4458800000000002E-3</v>
      </c>
    </row>
    <row r="4618" spans="1:3" x14ac:dyDescent="0.45">
      <c r="A4618" s="11">
        <v>62.89</v>
      </c>
      <c r="B4618" s="14">
        <v>1.063353E-2</v>
      </c>
      <c r="C4618" s="15">
        <v>6.4521400000000003E-3</v>
      </c>
    </row>
    <row r="4619" spans="1:3" x14ac:dyDescent="0.45">
      <c r="A4619" s="11">
        <v>62.9</v>
      </c>
      <c r="B4619" s="14">
        <v>1.06453E-2</v>
      </c>
      <c r="C4619" s="15">
        <v>6.4584000000000004E-3</v>
      </c>
    </row>
    <row r="4620" spans="1:3" x14ac:dyDescent="0.45">
      <c r="A4620" s="11">
        <v>62.91</v>
      </c>
      <c r="B4620" s="14">
        <v>1.0657069999999999E-2</v>
      </c>
      <c r="C4620" s="15">
        <v>6.4646599999999997E-3</v>
      </c>
    </row>
    <row r="4621" spans="1:3" x14ac:dyDescent="0.45">
      <c r="A4621" s="11">
        <v>62.92</v>
      </c>
      <c r="B4621" s="14">
        <v>1.0668840000000001E-2</v>
      </c>
      <c r="C4621" s="15">
        <v>6.4709199999999998E-3</v>
      </c>
    </row>
    <row r="4622" spans="1:3" x14ac:dyDescent="0.45">
      <c r="A4622" s="11">
        <v>62.93</v>
      </c>
      <c r="B4622" s="14">
        <v>1.068061E-2</v>
      </c>
      <c r="C4622" s="15">
        <v>6.4771799999999999E-3</v>
      </c>
    </row>
    <row r="4623" spans="1:3" x14ac:dyDescent="0.45">
      <c r="A4623" s="11">
        <v>62.94</v>
      </c>
      <c r="B4623" s="14">
        <v>1.069238E-2</v>
      </c>
      <c r="C4623" s="15">
        <v>6.48344E-3</v>
      </c>
    </row>
    <row r="4624" spans="1:3" x14ac:dyDescent="0.45">
      <c r="A4624" s="11">
        <v>62.95</v>
      </c>
      <c r="B4624" s="14">
        <v>1.0704150000000001E-2</v>
      </c>
      <c r="C4624" s="15">
        <v>6.4897000000000002E-3</v>
      </c>
    </row>
    <row r="4625" spans="1:3" x14ac:dyDescent="0.45">
      <c r="A4625" s="11">
        <v>62.96</v>
      </c>
      <c r="B4625" s="14">
        <v>1.071592E-2</v>
      </c>
      <c r="C4625" s="15">
        <v>6.4959600000000003E-3</v>
      </c>
    </row>
    <row r="4626" spans="1:3" x14ac:dyDescent="0.45">
      <c r="A4626" s="11">
        <v>62.97</v>
      </c>
      <c r="B4626" s="14">
        <v>1.072769E-2</v>
      </c>
      <c r="C4626" s="15">
        <v>6.5022200000000004E-3</v>
      </c>
    </row>
    <row r="4627" spans="1:3" x14ac:dyDescent="0.45">
      <c r="A4627" s="11">
        <v>62.98</v>
      </c>
      <c r="B4627" s="14">
        <v>1.0739459999999999E-2</v>
      </c>
      <c r="C4627" s="15">
        <v>6.5084799999999996E-3</v>
      </c>
    </row>
    <row r="4628" spans="1:3" x14ac:dyDescent="0.45">
      <c r="A4628" s="11">
        <v>62.99</v>
      </c>
      <c r="B4628" s="14">
        <v>1.0751230000000001E-2</v>
      </c>
      <c r="C4628" s="15">
        <v>6.5147399999999998E-3</v>
      </c>
    </row>
    <row r="4629" spans="1:3" x14ac:dyDescent="0.45">
      <c r="A4629" s="11">
        <v>63</v>
      </c>
      <c r="B4629" s="14">
        <v>1.0763E-2</v>
      </c>
      <c r="C4629" s="15">
        <v>6.5209999999999999E-3</v>
      </c>
    </row>
    <row r="4630" spans="1:3" x14ac:dyDescent="0.45">
      <c r="A4630" s="11">
        <v>63.01</v>
      </c>
      <c r="B4630" s="14">
        <v>1.077615E-2</v>
      </c>
      <c r="C4630" s="15">
        <v>6.5279300000000004E-3</v>
      </c>
    </row>
    <row r="4631" spans="1:3" x14ac:dyDescent="0.45">
      <c r="A4631" s="11">
        <v>63.02</v>
      </c>
      <c r="B4631" s="14">
        <v>1.07893E-2</v>
      </c>
      <c r="C4631" s="15">
        <v>6.53486E-3</v>
      </c>
    </row>
    <row r="4632" spans="1:3" x14ac:dyDescent="0.45">
      <c r="A4632" s="11">
        <v>63.03</v>
      </c>
      <c r="B4632" s="14">
        <v>1.080245E-2</v>
      </c>
      <c r="C4632" s="15">
        <v>6.5417899999999996E-3</v>
      </c>
    </row>
    <row r="4633" spans="1:3" x14ac:dyDescent="0.45">
      <c r="A4633" s="11">
        <v>63.04</v>
      </c>
      <c r="B4633" s="14">
        <v>1.08156E-2</v>
      </c>
      <c r="C4633" s="15">
        <v>6.5487200000000001E-3</v>
      </c>
    </row>
    <row r="4634" spans="1:3" x14ac:dyDescent="0.45">
      <c r="A4634" s="11">
        <v>63.05</v>
      </c>
      <c r="B4634" s="14">
        <v>1.082875E-2</v>
      </c>
      <c r="C4634" s="15">
        <v>6.5556499999999997E-3</v>
      </c>
    </row>
    <row r="4635" spans="1:3" x14ac:dyDescent="0.45">
      <c r="A4635" s="11">
        <v>63.06</v>
      </c>
      <c r="B4635" s="14">
        <v>1.08419E-2</v>
      </c>
      <c r="C4635" s="15">
        <v>6.5625800000000001E-3</v>
      </c>
    </row>
    <row r="4636" spans="1:3" x14ac:dyDescent="0.45">
      <c r="A4636" s="11">
        <v>63.07</v>
      </c>
      <c r="B4636" s="14">
        <v>1.085505E-2</v>
      </c>
      <c r="C4636" s="15">
        <v>6.5695099999999998E-3</v>
      </c>
    </row>
    <row r="4637" spans="1:3" x14ac:dyDescent="0.45">
      <c r="A4637" s="11">
        <v>63.08</v>
      </c>
      <c r="B4637" s="14">
        <v>1.08682E-2</v>
      </c>
      <c r="C4637" s="15">
        <v>6.5764400000000002E-3</v>
      </c>
    </row>
    <row r="4638" spans="1:3" x14ac:dyDescent="0.45">
      <c r="A4638" s="11">
        <v>63.09</v>
      </c>
      <c r="B4638" s="14">
        <v>1.088135E-2</v>
      </c>
      <c r="C4638" s="15">
        <v>6.5833699999999998E-3</v>
      </c>
    </row>
    <row r="4639" spans="1:3" x14ac:dyDescent="0.45">
      <c r="A4639" s="11">
        <v>63.1</v>
      </c>
      <c r="B4639" s="14">
        <v>1.08945E-2</v>
      </c>
      <c r="C4639" s="15">
        <v>6.5903000000000003E-3</v>
      </c>
    </row>
    <row r="4640" spans="1:3" x14ac:dyDescent="0.45">
      <c r="A4640" s="11">
        <v>63.11</v>
      </c>
      <c r="B4640" s="14">
        <v>1.090765E-2</v>
      </c>
      <c r="C4640" s="15">
        <v>6.5972299999999999E-3</v>
      </c>
    </row>
    <row r="4641" spans="1:3" x14ac:dyDescent="0.45">
      <c r="A4641" s="11">
        <v>63.12</v>
      </c>
      <c r="B4641" s="14">
        <v>1.09208E-2</v>
      </c>
      <c r="C4641" s="15">
        <v>6.6041600000000004E-3</v>
      </c>
    </row>
    <row r="4642" spans="1:3" x14ac:dyDescent="0.45">
      <c r="A4642" s="11">
        <v>63.13</v>
      </c>
      <c r="B4642" s="14">
        <v>1.093395E-2</v>
      </c>
      <c r="C4642" s="15">
        <v>6.61109E-3</v>
      </c>
    </row>
    <row r="4643" spans="1:3" x14ac:dyDescent="0.45">
      <c r="A4643" s="11">
        <v>63.14</v>
      </c>
      <c r="B4643" s="14">
        <v>1.09471E-2</v>
      </c>
      <c r="C4643" s="15">
        <v>6.6180199999999996E-3</v>
      </c>
    </row>
    <row r="4644" spans="1:3" x14ac:dyDescent="0.45">
      <c r="A4644" s="11">
        <v>63.15</v>
      </c>
      <c r="B4644" s="14">
        <v>1.096025E-2</v>
      </c>
      <c r="C4644" s="15">
        <v>6.6249500000000001E-3</v>
      </c>
    </row>
    <row r="4645" spans="1:3" x14ac:dyDescent="0.45">
      <c r="A4645" s="11">
        <v>63.16</v>
      </c>
      <c r="B4645" s="14">
        <v>1.0973399999999999E-2</v>
      </c>
      <c r="C4645" s="15">
        <v>6.6318799999999997E-3</v>
      </c>
    </row>
    <row r="4646" spans="1:3" x14ac:dyDescent="0.45">
      <c r="A4646" s="11">
        <v>63.17</v>
      </c>
      <c r="B4646" s="14">
        <v>1.0986549999999999E-2</v>
      </c>
      <c r="C4646" s="15">
        <v>6.6388100000000002E-3</v>
      </c>
    </row>
    <row r="4647" spans="1:3" x14ac:dyDescent="0.45">
      <c r="A4647" s="11">
        <v>63.18</v>
      </c>
      <c r="B4647" s="14">
        <v>1.0999699999999999E-2</v>
      </c>
      <c r="C4647" s="15">
        <v>6.6457399999999998E-3</v>
      </c>
    </row>
    <row r="4648" spans="1:3" x14ac:dyDescent="0.45">
      <c r="A4648" s="11">
        <v>63.19</v>
      </c>
      <c r="B4648" s="14">
        <v>1.1012849999999999E-2</v>
      </c>
      <c r="C4648" s="15">
        <v>6.6526700000000003E-3</v>
      </c>
    </row>
    <row r="4649" spans="1:3" x14ac:dyDescent="0.45">
      <c r="A4649" s="11">
        <v>63.2</v>
      </c>
      <c r="B4649" s="14">
        <v>1.1025999999999999E-2</v>
      </c>
      <c r="C4649" s="15">
        <v>6.6595999999999999E-3</v>
      </c>
    </row>
    <row r="4650" spans="1:3" x14ac:dyDescent="0.45">
      <c r="A4650" s="11">
        <v>63.21</v>
      </c>
      <c r="B4650" s="14">
        <v>1.1039149999999999E-2</v>
      </c>
      <c r="C4650" s="15">
        <v>6.6665300000000004E-3</v>
      </c>
    </row>
    <row r="4651" spans="1:3" x14ac:dyDescent="0.45">
      <c r="A4651" s="11">
        <v>63.22</v>
      </c>
      <c r="B4651" s="14">
        <v>1.1052299999999999E-2</v>
      </c>
      <c r="C4651" s="15">
        <v>6.67346E-3</v>
      </c>
    </row>
    <row r="4652" spans="1:3" x14ac:dyDescent="0.45">
      <c r="A4652" s="11">
        <v>63.23</v>
      </c>
      <c r="B4652" s="14">
        <v>1.1065449999999999E-2</v>
      </c>
      <c r="C4652" s="15">
        <v>6.6803899999999996E-3</v>
      </c>
    </row>
    <row r="4653" spans="1:3" x14ac:dyDescent="0.45">
      <c r="A4653" s="11">
        <v>63.24</v>
      </c>
      <c r="B4653" s="14">
        <v>1.1078599999999999E-2</v>
      </c>
      <c r="C4653" s="15">
        <v>6.6873200000000001E-3</v>
      </c>
    </row>
    <row r="4654" spans="1:3" x14ac:dyDescent="0.45">
      <c r="A4654" s="11">
        <v>63.25</v>
      </c>
      <c r="B4654" s="14">
        <v>1.1091749999999999E-2</v>
      </c>
      <c r="C4654" s="15">
        <v>6.6942499999999997E-3</v>
      </c>
    </row>
    <row r="4655" spans="1:3" x14ac:dyDescent="0.45">
      <c r="A4655" s="11">
        <v>63.26</v>
      </c>
      <c r="B4655" s="14">
        <v>1.1104899999999999E-2</v>
      </c>
      <c r="C4655" s="15">
        <v>6.7011800000000002E-3</v>
      </c>
    </row>
    <row r="4656" spans="1:3" x14ac:dyDescent="0.45">
      <c r="A4656" s="11">
        <v>63.27</v>
      </c>
      <c r="B4656" s="14">
        <v>1.1118050000000001E-2</v>
      </c>
      <c r="C4656" s="15">
        <v>6.7081099999999998E-3</v>
      </c>
    </row>
    <row r="4657" spans="1:3" x14ac:dyDescent="0.45">
      <c r="A4657" s="11">
        <v>63.28</v>
      </c>
      <c r="B4657" s="14">
        <v>1.1131200000000001E-2</v>
      </c>
      <c r="C4657" s="15">
        <v>6.7150400000000002E-3</v>
      </c>
    </row>
    <row r="4658" spans="1:3" x14ac:dyDescent="0.45">
      <c r="A4658" s="11">
        <v>63.29</v>
      </c>
      <c r="B4658" s="14">
        <v>1.1144350000000001E-2</v>
      </c>
      <c r="C4658" s="15">
        <v>6.7219699999999999E-3</v>
      </c>
    </row>
    <row r="4659" spans="1:3" x14ac:dyDescent="0.45">
      <c r="A4659" s="11">
        <v>63.3</v>
      </c>
      <c r="B4659" s="14">
        <v>1.1157500000000001E-2</v>
      </c>
      <c r="C4659" s="15">
        <v>6.7289000000000003E-3</v>
      </c>
    </row>
    <row r="4660" spans="1:3" x14ac:dyDescent="0.45">
      <c r="A4660" s="11">
        <v>63.31</v>
      </c>
      <c r="B4660" s="14">
        <v>1.1170650000000001E-2</v>
      </c>
      <c r="C4660" s="15">
        <v>6.7358299999999999E-3</v>
      </c>
    </row>
    <row r="4661" spans="1:3" x14ac:dyDescent="0.45">
      <c r="A4661" s="11">
        <v>63.32</v>
      </c>
      <c r="B4661" s="14">
        <v>1.1183800000000001E-2</v>
      </c>
      <c r="C4661" s="15">
        <v>6.7427600000000004E-3</v>
      </c>
    </row>
    <row r="4662" spans="1:3" x14ac:dyDescent="0.45">
      <c r="A4662" s="11">
        <v>63.33</v>
      </c>
      <c r="B4662" s="14">
        <v>1.1196950000000001E-2</v>
      </c>
      <c r="C4662" s="15">
        <v>6.74969E-3</v>
      </c>
    </row>
    <row r="4663" spans="1:3" x14ac:dyDescent="0.45">
      <c r="A4663" s="11">
        <v>63.34</v>
      </c>
      <c r="B4663" s="14">
        <v>1.1210100000000001E-2</v>
      </c>
      <c r="C4663" s="15">
        <v>6.7566199999999996E-3</v>
      </c>
    </row>
    <row r="4664" spans="1:3" x14ac:dyDescent="0.45">
      <c r="A4664" s="11">
        <v>63.35</v>
      </c>
      <c r="B4664" s="14">
        <v>1.1223250000000001E-2</v>
      </c>
      <c r="C4664" s="15">
        <v>6.7635500000000001E-3</v>
      </c>
    </row>
    <row r="4665" spans="1:3" x14ac:dyDescent="0.45">
      <c r="A4665" s="11">
        <v>63.36</v>
      </c>
      <c r="B4665" s="14">
        <v>1.1236400000000001E-2</v>
      </c>
      <c r="C4665" s="15">
        <v>6.7704799999999997E-3</v>
      </c>
    </row>
    <row r="4666" spans="1:3" x14ac:dyDescent="0.45">
      <c r="A4666" s="11">
        <v>63.37</v>
      </c>
      <c r="B4666" s="14">
        <v>1.1249550000000001E-2</v>
      </c>
      <c r="C4666" s="15">
        <v>6.7774100000000002E-3</v>
      </c>
    </row>
    <row r="4667" spans="1:3" x14ac:dyDescent="0.45">
      <c r="A4667" s="11">
        <v>63.38</v>
      </c>
      <c r="B4667" s="14">
        <v>1.12627E-2</v>
      </c>
      <c r="C4667" s="15">
        <v>6.7843399999999998E-3</v>
      </c>
    </row>
    <row r="4668" spans="1:3" x14ac:dyDescent="0.45">
      <c r="A4668" s="11">
        <v>63.39</v>
      </c>
      <c r="B4668" s="14">
        <v>1.127585E-2</v>
      </c>
      <c r="C4668" s="15">
        <v>6.7912700000000003E-3</v>
      </c>
    </row>
    <row r="4669" spans="1:3" x14ac:dyDescent="0.45">
      <c r="A4669" s="11">
        <v>63.4</v>
      </c>
      <c r="B4669" s="14">
        <v>1.1289E-2</v>
      </c>
      <c r="C4669" s="15">
        <v>6.7981999999999999E-3</v>
      </c>
    </row>
    <row r="4670" spans="1:3" x14ac:dyDescent="0.45">
      <c r="A4670" s="11">
        <v>63.41</v>
      </c>
      <c r="B4670" s="14">
        <v>1.130215E-2</v>
      </c>
      <c r="C4670" s="15">
        <v>6.8051300000000004E-3</v>
      </c>
    </row>
    <row r="4671" spans="1:3" x14ac:dyDescent="0.45">
      <c r="A4671" s="11">
        <v>63.42</v>
      </c>
      <c r="B4671" s="14">
        <v>1.13153E-2</v>
      </c>
      <c r="C4671" s="15">
        <v>6.81206E-3</v>
      </c>
    </row>
    <row r="4672" spans="1:3" x14ac:dyDescent="0.45">
      <c r="A4672" s="11">
        <v>63.43</v>
      </c>
      <c r="B4672" s="14">
        <v>1.132845E-2</v>
      </c>
      <c r="C4672" s="15">
        <v>6.8189899999999996E-3</v>
      </c>
    </row>
    <row r="4673" spans="1:3" x14ac:dyDescent="0.45">
      <c r="A4673" s="11">
        <v>63.44</v>
      </c>
      <c r="B4673" s="14">
        <v>1.13416E-2</v>
      </c>
      <c r="C4673" s="15">
        <v>6.8259200000000001E-3</v>
      </c>
    </row>
    <row r="4674" spans="1:3" x14ac:dyDescent="0.45">
      <c r="A4674" s="11">
        <v>63.45</v>
      </c>
      <c r="B4674" s="14">
        <v>1.135475E-2</v>
      </c>
      <c r="C4674" s="15">
        <v>6.8328499999999997E-3</v>
      </c>
    </row>
    <row r="4675" spans="1:3" x14ac:dyDescent="0.45">
      <c r="A4675" s="11">
        <v>63.46</v>
      </c>
      <c r="B4675" s="14">
        <v>1.13679E-2</v>
      </c>
      <c r="C4675" s="15">
        <v>6.8397800000000002E-3</v>
      </c>
    </row>
    <row r="4676" spans="1:3" x14ac:dyDescent="0.45">
      <c r="A4676" s="11">
        <v>63.47</v>
      </c>
      <c r="B4676" s="14">
        <v>1.138105E-2</v>
      </c>
      <c r="C4676" s="15">
        <v>6.8467099999999998E-3</v>
      </c>
    </row>
    <row r="4677" spans="1:3" x14ac:dyDescent="0.45">
      <c r="A4677" s="11">
        <v>63.48</v>
      </c>
      <c r="B4677" s="14">
        <v>1.13942E-2</v>
      </c>
      <c r="C4677" s="15">
        <v>6.8536400000000003E-3</v>
      </c>
    </row>
    <row r="4678" spans="1:3" x14ac:dyDescent="0.45">
      <c r="A4678" s="11">
        <v>63.49</v>
      </c>
      <c r="B4678" s="14">
        <v>1.140735E-2</v>
      </c>
      <c r="C4678" s="15">
        <v>6.8605699999999999E-3</v>
      </c>
    </row>
    <row r="4679" spans="1:3" x14ac:dyDescent="0.45">
      <c r="A4679" s="11">
        <v>63.5</v>
      </c>
      <c r="B4679" s="14">
        <v>1.14205E-2</v>
      </c>
      <c r="C4679" s="15">
        <v>6.8675000000000003E-3</v>
      </c>
    </row>
    <row r="4680" spans="1:3" x14ac:dyDescent="0.45">
      <c r="A4680" s="11">
        <v>63.51</v>
      </c>
      <c r="B4680" s="14">
        <v>1.143365E-2</v>
      </c>
      <c r="C4680" s="15">
        <v>6.87443E-3</v>
      </c>
    </row>
    <row r="4681" spans="1:3" x14ac:dyDescent="0.45">
      <c r="A4681" s="11">
        <v>63.52</v>
      </c>
      <c r="B4681" s="14">
        <v>1.14468E-2</v>
      </c>
      <c r="C4681" s="15">
        <v>6.8813600000000004E-3</v>
      </c>
    </row>
    <row r="4682" spans="1:3" x14ac:dyDescent="0.45">
      <c r="A4682" s="11">
        <v>63.53</v>
      </c>
      <c r="B4682" s="14">
        <v>1.145995E-2</v>
      </c>
      <c r="C4682" s="15">
        <v>6.88829E-3</v>
      </c>
    </row>
    <row r="4683" spans="1:3" x14ac:dyDescent="0.45">
      <c r="A4683" s="11">
        <v>63.54</v>
      </c>
      <c r="B4683" s="14">
        <v>1.14731E-2</v>
      </c>
      <c r="C4683" s="15">
        <v>6.8952199999999996E-3</v>
      </c>
    </row>
    <row r="4684" spans="1:3" x14ac:dyDescent="0.45">
      <c r="A4684" s="11">
        <v>63.55</v>
      </c>
      <c r="B4684" s="14">
        <v>1.148625E-2</v>
      </c>
      <c r="C4684" s="15">
        <v>6.9021500000000001E-3</v>
      </c>
    </row>
    <row r="4685" spans="1:3" x14ac:dyDescent="0.45">
      <c r="A4685" s="11">
        <v>63.56</v>
      </c>
      <c r="B4685" s="14">
        <v>1.14994E-2</v>
      </c>
      <c r="C4685" s="15">
        <v>6.9090799999999997E-3</v>
      </c>
    </row>
    <row r="4686" spans="1:3" x14ac:dyDescent="0.45">
      <c r="A4686" s="11">
        <v>63.57</v>
      </c>
      <c r="B4686" s="14">
        <v>1.151255E-2</v>
      </c>
      <c r="C4686" s="15">
        <v>6.9160100000000002E-3</v>
      </c>
    </row>
    <row r="4687" spans="1:3" x14ac:dyDescent="0.45">
      <c r="A4687" s="11">
        <v>63.58</v>
      </c>
      <c r="B4687" s="14">
        <v>1.15257E-2</v>
      </c>
      <c r="C4687" s="15">
        <v>6.9229399999999998E-3</v>
      </c>
    </row>
    <row r="4688" spans="1:3" x14ac:dyDescent="0.45">
      <c r="A4688" s="11">
        <v>63.59</v>
      </c>
      <c r="B4688" s="14">
        <v>1.153885E-2</v>
      </c>
      <c r="C4688" s="15">
        <v>6.9298700000000003E-3</v>
      </c>
    </row>
    <row r="4689" spans="1:3" x14ac:dyDescent="0.45">
      <c r="A4689" s="11">
        <v>63.6</v>
      </c>
      <c r="B4689" s="14">
        <v>1.1552E-2</v>
      </c>
      <c r="C4689" s="15">
        <v>6.9367999999999999E-3</v>
      </c>
    </row>
    <row r="4690" spans="1:3" x14ac:dyDescent="0.45">
      <c r="A4690" s="11">
        <v>63.61</v>
      </c>
      <c r="B4690" s="14">
        <v>1.156515E-2</v>
      </c>
      <c r="C4690" s="15">
        <v>6.9437300000000004E-3</v>
      </c>
    </row>
    <row r="4691" spans="1:3" x14ac:dyDescent="0.45">
      <c r="A4691" s="11">
        <v>63.62</v>
      </c>
      <c r="B4691" s="14">
        <v>1.15783E-2</v>
      </c>
      <c r="C4691" s="15">
        <v>6.95066E-3</v>
      </c>
    </row>
    <row r="4692" spans="1:3" x14ac:dyDescent="0.45">
      <c r="A4692" s="11">
        <v>63.63</v>
      </c>
      <c r="B4692" s="14">
        <v>1.159145E-2</v>
      </c>
      <c r="C4692" s="15">
        <v>6.9575899999999996E-3</v>
      </c>
    </row>
    <row r="4693" spans="1:3" x14ac:dyDescent="0.45">
      <c r="A4693" s="11">
        <v>63.64</v>
      </c>
      <c r="B4693" s="14">
        <v>1.16046E-2</v>
      </c>
      <c r="C4693" s="15">
        <v>6.9645200000000001E-3</v>
      </c>
    </row>
    <row r="4694" spans="1:3" x14ac:dyDescent="0.45">
      <c r="A4694" s="11">
        <v>63.65</v>
      </c>
      <c r="B4694" s="14">
        <v>1.161775E-2</v>
      </c>
      <c r="C4694" s="15">
        <v>6.9714499999999997E-3</v>
      </c>
    </row>
    <row r="4695" spans="1:3" x14ac:dyDescent="0.45">
      <c r="A4695" s="11">
        <v>63.66</v>
      </c>
      <c r="B4695" s="14">
        <v>1.16309E-2</v>
      </c>
      <c r="C4695" s="15">
        <v>6.9783800000000002E-3</v>
      </c>
    </row>
    <row r="4696" spans="1:3" x14ac:dyDescent="0.45">
      <c r="A4696" s="11">
        <v>63.67</v>
      </c>
      <c r="B4696" s="14">
        <v>1.164405E-2</v>
      </c>
      <c r="C4696" s="15">
        <v>6.9853099999999998E-3</v>
      </c>
    </row>
    <row r="4697" spans="1:3" x14ac:dyDescent="0.45">
      <c r="A4697" s="11">
        <v>63.68</v>
      </c>
      <c r="B4697" s="14">
        <v>1.16572E-2</v>
      </c>
      <c r="C4697" s="15">
        <v>6.9922400000000003E-3</v>
      </c>
    </row>
    <row r="4698" spans="1:3" x14ac:dyDescent="0.45">
      <c r="A4698" s="11">
        <v>63.69</v>
      </c>
      <c r="B4698" s="14">
        <v>1.1670349999999999E-2</v>
      </c>
      <c r="C4698" s="15">
        <v>6.9991699999999999E-3</v>
      </c>
    </row>
    <row r="4699" spans="1:3" x14ac:dyDescent="0.45">
      <c r="A4699" s="11">
        <v>63.7</v>
      </c>
      <c r="B4699" s="14">
        <v>1.1683499999999999E-2</v>
      </c>
      <c r="C4699" s="15">
        <v>7.0061000000000003E-3</v>
      </c>
    </row>
    <row r="4700" spans="1:3" x14ac:dyDescent="0.45">
      <c r="A4700" s="11">
        <v>63.71</v>
      </c>
      <c r="B4700" s="14">
        <v>1.1696649999999999E-2</v>
      </c>
      <c r="C4700" s="15">
        <v>7.01303E-3</v>
      </c>
    </row>
    <row r="4701" spans="1:3" x14ac:dyDescent="0.45">
      <c r="A4701" s="11">
        <v>63.72</v>
      </c>
      <c r="B4701" s="14">
        <v>1.1709799999999999E-2</v>
      </c>
      <c r="C4701" s="15">
        <v>7.0199599999999996E-3</v>
      </c>
    </row>
    <row r="4702" spans="1:3" x14ac:dyDescent="0.45">
      <c r="A4702" s="11">
        <v>63.73</v>
      </c>
      <c r="B4702" s="14">
        <v>1.1722949999999999E-2</v>
      </c>
      <c r="C4702" s="15">
        <v>7.02689E-3</v>
      </c>
    </row>
    <row r="4703" spans="1:3" x14ac:dyDescent="0.45">
      <c r="A4703" s="11">
        <v>63.74</v>
      </c>
      <c r="B4703" s="14">
        <v>1.1736099999999999E-2</v>
      </c>
      <c r="C4703" s="15">
        <v>7.0338199999999997E-3</v>
      </c>
    </row>
    <row r="4704" spans="1:3" x14ac:dyDescent="0.45">
      <c r="A4704" s="11">
        <v>63.75</v>
      </c>
      <c r="B4704" s="14">
        <v>1.1749249999999999E-2</v>
      </c>
      <c r="C4704" s="15">
        <v>7.0407500000000001E-3</v>
      </c>
    </row>
    <row r="4705" spans="1:3" x14ac:dyDescent="0.45">
      <c r="A4705" s="11">
        <v>63.76</v>
      </c>
      <c r="B4705" s="14">
        <v>1.1762399999999999E-2</v>
      </c>
      <c r="C4705" s="15">
        <v>7.0476799999999997E-3</v>
      </c>
    </row>
    <row r="4706" spans="1:3" x14ac:dyDescent="0.45">
      <c r="A4706" s="11">
        <v>63.77</v>
      </c>
      <c r="B4706" s="14">
        <v>1.1775549999999999E-2</v>
      </c>
      <c r="C4706" s="15">
        <v>7.0546100000000002E-3</v>
      </c>
    </row>
    <row r="4707" spans="1:3" x14ac:dyDescent="0.45">
      <c r="A4707" s="11">
        <v>63.78</v>
      </c>
      <c r="B4707" s="14">
        <v>1.1788699999999999E-2</v>
      </c>
      <c r="C4707" s="15">
        <v>7.0615399999999998E-3</v>
      </c>
    </row>
    <row r="4708" spans="1:3" x14ac:dyDescent="0.45">
      <c r="A4708" s="11">
        <v>63.79</v>
      </c>
      <c r="B4708" s="14">
        <v>1.1801849999999999E-2</v>
      </c>
      <c r="C4708" s="15">
        <v>7.0684700000000003E-3</v>
      </c>
    </row>
    <row r="4709" spans="1:3" x14ac:dyDescent="0.45">
      <c r="A4709" s="11">
        <v>63.8</v>
      </c>
      <c r="B4709" s="14">
        <v>1.1815000000000001E-2</v>
      </c>
      <c r="C4709" s="15">
        <v>7.0753999999999999E-3</v>
      </c>
    </row>
    <row r="4710" spans="1:3" x14ac:dyDescent="0.45">
      <c r="A4710" s="11">
        <v>63.81</v>
      </c>
      <c r="B4710" s="14">
        <v>1.1828150000000001E-2</v>
      </c>
      <c r="C4710" s="15">
        <v>7.0823300000000004E-3</v>
      </c>
    </row>
    <row r="4711" spans="1:3" x14ac:dyDescent="0.45">
      <c r="A4711" s="11">
        <v>63.82</v>
      </c>
      <c r="B4711" s="14">
        <v>1.1841300000000001E-2</v>
      </c>
      <c r="C4711" s="15">
        <v>7.08926E-3</v>
      </c>
    </row>
    <row r="4712" spans="1:3" x14ac:dyDescent="0.45">
      <c r="A4712" s="11">
        <v>63.83</v>
      </c>
      <c r="B4712" s="14">
        <v>1.1854450000000001E-2</v>
      </c>
      <c r="C4712" s="15">
        <v>7.0961899999999996E-3</v>
      </c>
    </row>
    <row r="4713" spans="1:3" x14ac:dyDescent="0.45">
      <c r="A4713" s="11">
        <v>63.84</v>
      </c>
      <c r="B4713" s="14">
        <v>1.1867600000000001E-2</v>
      </c>
      <c r="C4713" s="15">
        <v>7.1031200000000001E-3</v>
      </c>
    </row>
    <row r="4714" spans="1:3" x14ac:dyDescent="0.45">
      <c r="A4714" s="11">
        <v>63.85</v>
      </c>
      <c r="B4714" s="14">
        <v>1.1880750000000001E-2</v>
      </c>
      <c r="C4714" s="15">
        <v>7.1100499999999997E-3</v>
      </c>
    </row>
    <row r="4715" spans="1:3" x14ac:dyDescent="0.45">
      <c r="A4715" s="11">
        <v>63.86</v>
      </c>
      <c r="B4715" s="14">
        <v>1.1893900000000001E-2</v>
      </c>
      <c r="C4715" s="15">
        <v>7.1169800000000002E-3</v>
      </c>
    </row>
    <row r="4716" spans="1:3" x14ac:dyDescent="0.45">
      <c r="A4716" s="11">
        <v>63.87</v>
      </c>
      <c r="B4716" s="14">
        <v>1.1907050000000001E-2</v>
      </c>
      <c r="C4716" s="15">
        <v>7.1239099999999998E-3</v>
      </c>
    </row>
    <row r="4717" spans="1:3" x14ac:dyDescent="0.45">
      <c r="A4717" s="11">
        <v>63.88</v>
      </c>
      <c r="B4717" s="14">
        <v>1.1920200000000001E-2</v>
      </c>
      <c r="C4717" s="15">
        <v>7.1308400000000003E-3</v>
      </c>
    </row>
    <row r="4718" spans="1:3" x14ac:dyDescent="0.45">
      <c r="A4718" s="11">
        <v>63.89</v>
      </c>
      <c r="B4718" s="14">
        <v>1.1933350000000001E-2</v>
      </c>
      <c r="C4718" s="15">
        <v>7.1377699999999999E-3</v>
      </c>
    </row>
    <row r="4719" spans="1:3" x14ac:dyDescent="0.45">
      <c r="A4719" s="11">
        <v>63.9</v>
      </c>
      <c r="B4719" s="14">
        <v>1.1946500000000001E-2</v>
      </c>
      <c r="C4719" s="15">
        <v>7.1447000000000004E-3</v>
      </c>
    </row>
    <row r="4720" spans="1:3" x14ac:dyDescent="0.45">
      <c r="A4720" s="11">
        <v>63.91</v>
      </c>
      <c r="B4720" s="14">
        <v>1.195965E-2</v>
      </c>
      <c r="C4720" s="15">
        <v>7.15163E-3</v>
      </c>
    </row>
    <row r="4721" spans="1:3" x14ac:dyDescent="0.45">
      <c r="A4721" s="11">
        <v>63.92</v>
      </c>
      <c r="B4721" s="14">
        <v>1.19728E-2</v>
      </c>
      <c r="C4721" s="15">
        <v>7.1585599999999996E-3</v>
      </c>
    </row>
    <row r="4722" spans="1:3" x14ac:dyDescent="0.45">
      <c r="A4722" s="11">
        <v>63.93</v>
      </c>
      <c r="B4722" s="14">
        <v>1.198595E-2</v>
      </c>
      <c r="C4722" s="15">
        <v>7.1654900000000001E-3</v>
      </c>
    </row>
    <row r="4723" spans="1:3" x14ac:dyDescent="0.45">
      <c r="A4723" s="11">
        <v>63.94</v>
      </c>
      <c r="B4723" s="14">
        <v>1.19991E-2</v>
      </c>
      <c r="C4723" s="15">
        <v>7.1724199999999997E-3</v>
      </c>
    </row>
    <row r="4724" spans="1:3" x14ac:dyDescent="0.45">
      <c r="A4724" s="11">
        <v>63.95</v>
      </c>
      <c r="B4724" s="14">
        <v>1.201225E-2</v>
      </c>
      <c r="C4724" s="15">
        <v>7.1793500000000001E-3</v>
      </c>
    </row>
    <row r="4725" spans="1:3" x14ac:dyDescent="0.45">
      <c r="A4725" s="11">
        <v>63.96</v>
      </c>
      <c r="B4725" s="14">
        <v>1.20254E-2</v>
      </c>
      <c r="C4725" s="15">
        <v>7.1862799999999998E-3</v>
      </c>
    </row>
    <row r="4726" spans="1:3" x14ac:dyDescent="0.45">
      <c r="A4726" s="11">
        <v>63.97</v>
      </c>
      <c r="B4726" s="14">
        <v>1.203855E-2</v>
      </c>
      <c r="C4726" s="15">
        <v>7.1932100000000002E-3</v>
      </c>
    </row>
    <row r="4727" spans="1:3" x14ac:dyDescent="0.45">
      <c r="A4727" s="11">
        <v>63.98</v>
      </c>
      <c r="B4727" s="14">
        <v>1.20517E-2</v>
      </c>
      <c r="C4727" s="15">
        <v>7.2001399999999998E-3</v>
      </c>
    </row>
    <row r="4728" spans="1:3" x14ac:dyDescent="0.45">
      <c r="A4728" s="11">
        <v>63.99</v>
      </c>
      <c r="B4728" s="14">
        <v>1.206485E-2</v>
      </c>
      <c r="C4728" s="15">
        <v>7.2070700000000003E-3</v>
      </c>
    </row>
    <row r="4729" spans="1:3" x14ac:dyDescent="0.45">
      <c r="A4729" s="11">
        <v>64</v>
      </c>
      <c r="B4729" s="14">
        <v>1.2078E-2</v>
      </c>
      <c r="C4729" s="15">
        <v>7.2139999999999999E-3</v>
      </c>
    </row>
    <row r="4730" spans="1:3" x14ac:dyDescent="0.45">
      <c r="A4730" s="11">
        <v>64.010000000000005</v>
      </c>
      <c r="B4730" s="14">
        <v>1.209266E-2</v>
      </c>
      <c r="C4730" s="15">
        <v>7.2216700000000003E-3</v>
      </c>
    </row>
    <row r="4731" spans="1:3" x14ac:dyDescent="0.45">
      <c r="A4731" s="11">
        <v>64.02</v>
      </c>
      <c r="B4731" s="14">
        <v>1.210732E-2</v>
      </c>
      <c r="C4731" s="15">
        <v>7.2293399999999999E-3</v>
      </c>
    </row>
    <row r="4732" spans="1:3" x14ac:dyDescent="0.45">
      <c r="A4732" s="11">
        <v>64.03</v>
      </c>
      <c r="B4732" s="14">
        <v>1.2121979999999999E-2</v>
      </c>
      <c r="C4732" s="15">
        <v>7.2370100000000003E-3</v>
      </c>
    </row>
    <row r="4733" spans="1:3" x14ac:dyDescent="0.45">
      <c r="A4733" s="11">
        <v>64.040000000000006</v>
      </c>
      <c r="B4733" s="14">
        <v>1.2136640000000001E-2</v>
      </c>
      <c r="C4733" s="15">
        <v>7.2446799999999999E-3</v>
      </c>
    </row>
    <row r="4734" spans="1:3" x14ac:dyDescent="0.45">
      <c r="A4734" s="11">
        <v>64.05</v>
      </c>
      <c r="B4734" s="14">
        <v>1.21513E-2</v>
      </c>
      <c r="C4734" s="15">
        <v>7.2523500000000003E-3</v>
      </c>
    </row>
    <row r="4735" spans="1:3" x14ac:dyDescent="0.45">
      <c r="A4735" s="11">
        <v>64.06</v>
      </c>
      <c r="B4735" s="14">
        <v>1.216596E-2</v>
      </c>
      <c r="C4735" s="15">
        <v>7.2600199999999998E-3</v>
      </c>
    </row>
    <row r="4736" spans="1:3" x14ac:dyDescent="0.45">
      <c r="A4736" s="11">
        <v>64.069999999999993</v>
      </c>
      <c r="B4736" s="14">
        <v>1.218062E-2</v>
      </c>
      <c r="C4736" s="15">
        <v>7.2676900000000003E-3</v>
      </c>
    </row>
    <row r="4737" spans="1:3" x14ac:dyDescent="0.45">
      <c r="A4737" s="11">
        <v>64.08</v>
      </c>
      <c r="B4737" s="14">
        <v>1.2195279999999999E-2</v>
      </c>
      <c r="C4737" s="15">
        <v>7.2753599999999998E-3</v>
      </c>
    </row>
    <row r="4738" spans="1:3" x14ac:dyDescent="0.45">
      <c r="A4738" s="11">
        <v>64.09</v>
      </c>
      <c r="B4738" s="14">
        <v>1.2209940000000001E-2</v>
      </c>
      <c r="C4738" s="15">
        <v>7.2830300000000002E-3</v>
      </c>
    </row>
    <row r="4739" spans="1:3" x14ac:dyDescent="0.45">
      <c r="A4739" s="11">
        <v>64.099999999999994</v>
      </c>
      <c r="B4739" s="14">
        <v>1.22246E-2</v>
      </c>
      <c r="C4739" s="15">
        <v>7.2906999999999998E-3</v>
      </c>
    </row>
    <row r="4740" spans="1:3" x14ac:dyDescent="0.45">
      <c r="A4740" s="11">
        <v>64.11</v>
      </c>
      <c r="B4740" s="14">
        <v>1.223926E-2</v>
      </c>
      <c r="C4740" s="15">
        <v>7.2983700000000002E-3</v>
      </c>
    </row>
    <row r="4741" spans="1:3" x14ac:dyDescent="0.45">
      <c r="A4741" s="11">
        <v>64.12</v>
      </c>
      <c r="B4741" s="14">
        <v>1.225392E-2</v>
      </c>
      <c r="C4741" s="15">
        <v>7.3060399999999998E-3</v>
      </c>
    </row>
    <row r="4742" spans="1:3" x14ac:dyDescent="0.45">
      <c r="A4742" s="11">
        <v>64.13</v>
      </c>
      <c r="B4742" s="14">
        <v>1.2268579999999999E-2</v>
      </c>
      <c r="C4742" s="15">
        <v>7.3137100000000002E-3</v>
      </c>
    </row>
    <row r="4743" spans="1:3" x14ac:dyDescent="0.45">
      <c r="A4743" s="11">
        <v>64.14</v>
      </c>
      <c r="B4743" s="14">
        <v>1.2283240000000001E-2</v>
      </c>
      <c r="C4743" s="15">
        <v>7.3213799999999997E-3</v>
      </c>
    </row>
    <row r="4744" spans="1:3" x14ac:dyDescent="0.45">
      <c r="A4744" s="11">
        <v>64.150000000000006</v>
      </c>
      <c r="B4744" s="14">
        <v>1.22979E-2</v>
      </c>
      <c r="C4744" s="15">
        <v>7.3290500000000001E-3</v>
      </c>
    </row>
    <row r="4745" spans="1:3" x14ac:dyDescent="0.45">
      <c r="A4745" s="11">
        <v>64.16</v>
      </c>
      <c r="B4745" s="14">
        <v>1.231256E-2</v>
      </c>
      <c r="C4745" s="15">
        <v>7.3367199999999997E-3</v>
      </c>
    </row>
    <row r="4746" spans="1:3" x14ac:dyDescent="0.45">
      <c r="A4746" s="11">
        <v>64.17</v>
      </c>
      <c r="B4746" s="14">
        <v>1.232722E-2</v>
      </c>
      <c r="C4746" s="15">
        <v>7.3443900000000001E-3</v>
      </c>
    </row>
    <row r="4747" spans="1:3" x14ac:dyDescent="0.45">
      <c r="A4747" s="11">
        <v>64.180000000000007</v>
      </c>
      <c r="B4747" s="14">
        <v>1.234188E-2</v>
      </c>
      <c r="C4747" s="15">
        <v>7.3520599999999997E-3</v>
      </c>
    </row>
    <row r="4748" spans="1:3" x14ac:dyDescent="0.45">
      <c r="A4748" s="11">
        <v>64.19</v>
      </c>
      <c r="B4748" s="14">
        <v>1.2356539999999999E-2</v>
      </c>
      <c r="C4748" s="15">
        <v>7.3597300000000001E-3</v>
      </c>
    </row>
    <row r="4749" spans="1:3" x14ac:dyDescent="0.45">
      <c r="A4749" s="11">
        <v>64.2</v>
      </c>
      <c r="B4749" s="14">
        <v>1.2371200000000001E-2</v>
      </c>
      <c r="C4749" s="15">
        <v>7.3673999999999996E-3</v>
      </c>
    </row>
    <row r="4750" spans="1:3" x14ac:dyDescent="0.45">
      <c r="A4750" s="11">
        <v>64.209999999999994</v>
      </c>
      <c r="B4750" s="14">
        <v>1.238586E-2</v>
      </c>
      <c r="C4750" s="15">
        <v>7.3750700000000001E-3</v>
      </c>
    </row>
    <row r="4751" spans="1:3" x14ac:dyDescent="0.45">
      <c r="A4751" s="11">
        <v>64.22</v>
      </c>
      <c r="B4751" s="14">
        <v>1.240052E-2</v>
      </c>
      <c r="C4751" s="15">
        <v>7.3827399999999996E-3</v>
      </c>
    </row>
    <row r="4752" spans="1:3" x14ac:dyDescent="0.45">
      <c r="A4752" s="11">
        <v>64.23</v>
      </c>
      <c r="B4752" s="14">
        <v>1.241518E-2</v>
      </c>
      <c r="C4752" s="15">
        <v>7.39041E-3</v>
      </c>
    </row>
    <row r="4753" spans="1:3" x14ac:dyDescent="0.45">
      <c r="A4753" s="11">
        <v>64.239999999999995</v>
      </c>
      <c r="B4753" s="14">
        <v>1.2429839999999999E-2</v>
      </c>
      <c r="C4753" s="15">
        <v>7.3980799999999996E-3</v>
      </c>
    </row>
    <row r="4754" spans="1:3" x14ac:dyDescent="0.45">
      <c r="A4754" s="11">
        <v>64.25</v>
      </c>
      <c r="B4754" s="14">
        <v>1.2444500000000001E-2</v>
      </c>
      <c r="C4754" s="15">
        <v>7.40575E-3</v>
      </c>
    </row>
    <row r="4755" spans="1:3" x14ac:dyDescent="0.45">
      <c r="A4755" s="11">
        <v>64.260000000000005</v>
      </c>
      <c r="B4755" s="14">
        <v>1.245916E-2</v>
      </c>
      <c r="C4755" s="15">
        <v>7.4134200000000004E-3</v>
      </c>
    </row>
    <row r="4756" spans="1:3" x14ac:dyDescent="0.45">
      <c r="A4756" s="11">
        <v>64.27</v>
      </c>
      <c r="B4756" s="14">
        <v>1.247382E-2</v>
      </c>
      <c r="C4756" s="15">
        <v>7.42109E-3</v>
      </c>
    </row>
    <row r="4757" spans="1:3" x14ac:dyDescent="0.45">
      <c r="A4757" s="11">
        <v>64.28</v>
      </c>
      <c r="B4757" s="14">
        <v>1.248848E-2</v>
      </c>
      <c r="C4757" s="15">
        <v>7.4287600000000004E-3</v>
      </c>
    </row>
    <row r="4758" spans="1:3" x14ac:dyDescent="0.45">
      <c r="A4758" s="11">
        <v>64.290000000000006</v>
      </c>
      <c r="B4758" s="14">
        <v>1.2503139999999999E-2</v>
      </c>
      <c r="C4758" s="15">
        <v>7.4364299999999999E-3</v>
      </c>
    </row>
    <row r="4759" spans="1:3" x14ac:dyDescent="0.45">
      <c r="A4759" s="11">
        <v>64.3</v>
      </c>
      <c r="B4759" s="14">
        <v>1.2517800000000001E-2</v>
      </c>
      <c r="C4759" s="15">
        <v>7.4441000000000004E-3</v>
      </c>
    </row>
    <row r="4760" spans="1:3" x14ac:dyDescent="0.45">
      <c r="A4760" s="11">
        <v>64.31</v>
      </c>
      <c r="B4760" s="14">
        <v>1.253246E-2</v>
      </c>
      <c r="C4760" s="15">
        <v>7.4517699999999999E-3</v>
      </c>
    </row>
    <row r="4761" spans="1:3" x14ac:dyDescent="0.45">
      <c r="A4761" s="11">
        <v>64.319999999999993</v>
      </c>
      <c r="B4761" s="14">
        <v>1.254712E-2</v>
      </c>
      <c r="C4761" s="15">
        <v>7.4594400000000003E-3</v>
      </c>
    </row>
    <row r="4762" spans="1:3" x14ac:dyDescent="0.45">
      <c r="A4762" s="11">
        <v>64.33</v>
      </c>
      <c r="B4762" s="14">
        <v>1.256178E-2</v>
      </c>
      <c r="C4762" s="15">
        <v>7.4671099999999999E-3</v>
      </c>
    </row>
    <row r="4763" spans="1:3" x14ac:dyDescent="0.45">
      <c r="A4763" s="11">
        <v>64.34</v>
      </c>
      <c r="B4763" s="14">
        <v>1.2576439999999999E-2</v>
      </c>
      <c r="C4763" s="15">
        <v>7.4747800000000003E-3</v>
      </c>
    </row>
    <row r="4764" spans="1:3" x14ac:dyDescent="0.45">
      <c r="A4764" s="11">
        <v>64.349999999999994</v>
      </c>
      <c r="B4764" s="14">
        <v>1.2591099999999999E-2</v>
      </c>
      <c r="C4764" s="15">
        <v>7.4824499999999999E-3</v>
      </c>
    </row>
    <row r="4765" spans="1:3" x14ac:dyDescent="0.45">
      <c r="A4765" s="11">
        <v>64.36</v>
      </c>
      <c r="B4765" s="14">
        <v>1.2605760000000001E-2</v>
      </c>
      <c r="C4765" s="15">
        <v>7.4901200000000003E-3</v>
      </c>
    </row>
    <row r="4766" spans="1:3" x14ac:dyDescent="0.45">
      <c r="A4766" s="11">
        <v>64.37</v>
      </c>
      <c r="B4766" s="14">
        <v>1.262042E-2</v>
      </c>
      <c r="C4766" s="15">
        <v>7.4977899999999998E-3</v>
      </c>
    </row>
    <row r="4767" spans="1:3" x14ac:dyDescent="0.45">
      <c r="A4767" s="11">
        <v>64.38</v>
      </c>
      <c r="B4767" s="14">
        <v>1.263508E-2</v>
      </c>
      <c r="C4767" s="15">
        <v>7.5054600000000003E-3</v>
      </c>
    </row>
    <row r="4768" spans="1:3" x14ac:dyDescent="0.45">
      <c r="A4768" s="11">
        <v>64.39</v>
      </c>
      <c r="B4768" s="14">
        <v>1.264974E-2</v>
      </c>
      <c r="C4768" s="15">
        <v>7.5131299999999998E-3</v>
      </c>
    </row>
    <row r="4769" spans="1:3" x14ac:dyDescent="0.45">
      <c r="A4769" s="11">
        <v>64.400000000000006</v>
      </c>
      <c r="B4769" s="14">
        <v>1.2664399999999999E-2</v>
      </c>
      <c r="C4769" s="15">
        <v>7.5208000000000002E-3</v>
      </c>
    </row>
    <row r="4770" spans="1:3" x14ac:dyDescent="0.45">
      <c r="A4770" s="11">
        <v>64.41</v>
      </c>
      <c r="B4770" s="14">
        <v>1.2679060000000001E-2</v>
      </c>
      <c r="C4770" s="15">
        <v>7.5284699999999998E-3</v>
      </c>
    </row>
    <row r="4771" spans="1:3" x14ac:dyDescent="0.45">
      <c r="A4771" s="11">
        <v>64.42</v>
      </c>
      <c r="B4771" s="14">
        <v>1.269372E-2</v>
      </c>
      <c r="C4771" s="15">
        <v>7.5361400000000002E-3</v>
      </c>
    </row>
    <row r="4772" spans="1:3" x14ac:dyDescent="0.45">
      <c r="A4772" s="11">
        <v>64.430000000000007</v>
      </c>
      <c r="B4772" s="14">
        <v>1.270838E-2</v>
      </c>
      <c r="C4772" s="15">
        <v>7.5438099999999998E-3</v>
      </c>
    </row>
    <row r="4773" spans="1:3" x14ac:dyDescent="0.45">
      <c r="A4773" s="11">
        <v>64.44</v>
      </c>
      <c r="B4773" s="14">
        <v>1.272304E-2</v>
      </c>
      <c r="C4773" s="15">
        <v>7.5514800000000002E-3</v>
      </c>
    </row>
    <row r="4774" spans="1:3" x14ac:dyDescent="0.45">
      <c r="A4774" s="11">
        <v>64.45</v>
      </c>
      <c r="B4774" s="14">
        <v>1.2737699999999999E-2</v>
      </c>
      <c r="C4774" s="15">
        <v>7.5591499999999997E-3</v>
      </c>
    </row>
    <row r="4775" spans="1:3" x14ac:dyDescent="0.45">
      <c r="A4775" s="11">
        <v>64.459999999999994</v>
      </c>
      <c r="B4775" s="14">
        <v>1.2752360000000001E-2</v>
      </c>
      <c r="C4775" s="15">
        <v>7.5668200000000001E-3</v>
      </c>
    </row>
    <row r="4776" spans="1:3" x14ac:dyDescent="0.45">
      <c r="A4776" s="11">
        <v>64.47</v>
      </c>
      <c r="B4776" s="14">
        <v>1.276702E-2</v>
      </c>
      <c r="C4776" s="15">
        <v>7.5744899999999997E-3</v>
      </c>
    </row>
    <row r="4777" spans="1:3" x14ac:dyDescent="0.45">
      <c r="A4777" s="11">
        <v>64.48</v>
      </c>
      <c r="B4777" s="14">
        <v>1.278168E-2</v>
      </c>
      <c r="C4777" s="15">
        <v>7.5821600000000001E-3</v>
      </c>
    </row>
    <row r="4778" spans="1:3" x14ac:dyDescent="0.45">
      <c r="A4778" s="11">
        <v>64.489999999999995</v>
      </c>
      <c r="B4778" s="14">
        <v>1.279634E-2</v>
      </c>
      <c r="C4778" s="15">
        <v>7.5898299999999997E-3</v>
      </c>
    </row>
    <row r="4779" spans="1:3" x14ac:dyDescent="0.45">
      <c r="A4779" s="11">
        <v>64.5</v>
      </c>
      <c r="B4779" s="14">
        <v>1.2810999999999999E-2</v>
      </c>
      <c r="C4779" s="15">
        <v>7.5975000000000001E-3</v>
      </c>
    </row>
    <row r="4780" spans="1:3" x14ac:dyDescent="0.45">
      <c r="A4780" s="11">
        <v>64.510000000000005</v>
      </c>
      <c r="B4780" s="14">
        <v>1.2825659999999999E-2</v>
      </c>
      <c r="C4780" s="15">
        <v>7.6051699999999996E-3</v>
      </c>
    </row>
    <row r="4781" spans="1:3" x14ac:dyDescent="0.45">
      <c r="A4781" s="11">
        <v>64.52</v>
      </c>
      <c r="B4781" s="14">
        <v>1.2840320000000001E-2</v>
      </c>
      <c r="C4781" s="15">
        <v>7.6128400000000001E-3</v>
      </c>
    </row>
    <row r="4782" spans="1:3" x14ac:dyDescent="0.45">
      <c r="A4782" s="11">
        <v>64.53</v>
      </c>
      <c r="B4782" s="14">
        <v>1.285498E-2</v>
      </c>
      <c r="C4782" s="15">
        <v>7.6205099999999996E-3</v>
      </c>
    </row>
    <row r="4783" spans="1:3" x14ac:dyDescent="0.45">
      <c r="A4783" s="11">
        <v>64.540000000000006</v>
      </c>
      <c r="B4783" s="14">
        <v>1.286964E-2</v>
      </c>
      <c r="C4783" s="15">
        <v>7.62818E-3</v>
      </c>
    </row>
    <row r="4784" spans="1:3" x14ac:dyDescent="0.45">
      <c r="A4784" s="11">
        <v>64.55</v>
      </c>
      <c r="B4784" s="14">
        <v>1.28843E-2</v>
      </c>
      <c r="C4784" s="15">
        <v>7.6358499999999996E-3</v>
      </c>
    </row>
    <row r="4785" spans="1:3" x14ac:dyDescent="0.45">
      <c r="A4785" s="11">
        <v>64.56</v>
      </c>
      <c r="B4785" s="14">
        <v>1.2898959999999999E-2</v>
      </c>
      <c r="C4785" s="15">
        <v>7.64352E-3</v>
      </c>
    </row>
    <row r="4786" spans="1:3" x14ac:dyDescent="0.45">
      <c r="A4786" s="11">
        <v>64.569999999999993</v>
      </c>
      <c r="B4786" s="14">
        <v>1.2913620000000001E-2</v>
      </c>
      <c r="C4786" s="15">
        <v>7.6511900000000004E-3</v>
      </c>
    </row>
    <row r="4787" spans="1:3" x14ac:dyDescent="0.45">
      <c r="A4787" s="11">
        <v>64.58</v>
      </c>
      <c r="B4787" s="14">
        <v>1.292828E-2</v>
      </c>
      <c r="C4787" s="15">
        <v>7.65886E-3</v>
      </c>
    </row>
    <row r="4788" spans="1:3" x14ac:dyDescent="0.45">
      <c r="A4788" s="11">
        <v>64.59</v>
      </c>
      <c r="B4788" s="14">
        <v>1.294294E-2</v>
      </c>
      <c r="C4788" s="15">
        <v>7.6665300000000004E-3</v>
      </c>
    </row>
    <row r="4789" spans="1:3" x14ac:dyDescent="0.45">
      <c r="A4789" s="11">
        <v>64.599999999999994</v>
      </c>
      <c r="B4789" s="14">
        <v>1.29576E-2</v>
      </c>
      <c r="C4789" s="15">
        <v>7.6741999999999999E-3</v>
      </c>
    </row>
    <row r="4790" spans="1:3" x14ac:dyDescent="0.45">
      <c r="A4790" s="11">
        <v>64.61</v>
      </c>
      <c r="B4790" s="14">
        <v>1.2972259999999999E-2</v>
      </c>
      <c r="C4790" s="15">
        <v>7.6818700000000004E-3</v>
      </c>
    </row>
    <row r="4791" spans="1:3" x14ac:dyDescent="0.45">
      <c r="A4791" s="11">
        <v>64.62</v>
      </c>
      <c r="B4791" s="14">
        <v>1.2986920000000001E-2</v>
      </c>
      <c r="C4791" s="15">
        <v>7.6895399999999999E-3</v>
      </c>
    </row>
    <row r="4792" spans="1:3" x14ac:dyDescent="0.45">
      <c r="A4792" s="11">
        <v>64.63</v>
      </c>
      <c r="B4792" s="14">
        <v>1.300158E-2</v>
      </c>
      <c r="C4792" s="15">
        <v>7.6972100000000003E-3</v>
      </c>
    </row>
    <row r="4793" spans="1:3" x14ac:dyDescent="0.45">
      <c r="A4793" s="11">
        <v>64.64</v>
      </c>
      <c r="B4793" s="14">
        <v>1.301624E-2</v>
      </c>
      <c r="C4793" s="15">
        <v>7.7048799999999999E-3</v>
      </c>
    </row>
    <row r="4794" spans="1:3" x14ac:dyDescent="0.45">
      <c r="A4794" s="11">
        <v>64.650000000000006</v>
      </c>
      <c r="B4794" s="14">
        <v>1.30309E-2</v>
      </c>
      <c r="C4794" s="15">
        <v>7.7125500000000003E-3</v>
      </c>
    </row>
    <row r="4795" spans="1:3" x14ac:dyDescent="0.45">
      <c r="A4795" s="11">
        <v>64.66</v>
      </c>
      <c r="B4795" s="14">
        <v>1.3045559999999999E-2</v>
      </c>
      <c r="C4795" s="15">
        <v>7.7202199999999999E-3</v>
      </c>
    </row>
    <row r="4796" spans="1:3" x14ac:dyDescent="0.45">
      <c r="A4796" s="11">
        <v>64.67</v>
      </c>
      <c r="B4796" s="14">
        <v>1.3060220000000001E-2</v>
      </c>
      <c r="C4796" s="15">
        <v>7.7278900000000003E-3</v>
      </c>
    </row>
    <row r="4797" spans="1:3" x14ac:dyDescent="0.45">
      <c r="A4797" s="11">
        <v>64.680000000000007</v>
      </c>
      <c r="B4797" s="14">
        <v>1.3074880000000001E-2</v>
      </c>
      <c r="C4797" s="15">
        <v>7.7355599999999998E-3</v>
      </c>
    </row>
    <row r="4798" spans="1:3" x14ac:dyDescent="0.45">
      <c r="A4798" s="11">
        <v>64.69</v>
      </c>
      <c r="B4798" s="14">
        <v>1.308954E-2</v>
      </c>
      <c r="C4798" s="15">
        <v>7.7432300000000003E-3</v>
      </c>
    </row>
    <row r="4799" spans="1:3" x14ac:dyDescent="0.45">
      <c r="A4799" s="11">
        <v>64.7</v>
      </c>
      <c r="B4799" s="14">
        <v>1.31042E-2</v>
      </c>
      <c r="C4799" s="15">
        <v>7.7508999999999998E-3</v>
      </c>
    </row>
    <row r="4800" spans="1:3" x14ac:dyDescent="0.45">
      <c r="A4800" s="11">
        <v>64.709999999999994</v>
      </c>
      <c r="B4800" s="14">
        <v>1.311886E-2</v>
      </c>
      <c r="C4800" s="15">
        <v>7.7585700000000002E-3</v>
      </c>
    </row>
    <row r="4801" spans="1:3" x14ac:dyDescent="0.45">
      <c r="A4801" s="11">
        <v>64.72</v>
      </c>
      <c r="B4801" s="14">
        <v>1.3133519999999999E-2</v>
      </c>
      <c r="C4801" s="15">
        <v>7.7662399999999998E-3</v>
      </c>
    </row>
    <row r="4802" spans="1:3" x14ac:dyDescent="0.45">
      <c r="A4802" s="11">
        <v>64.73</v>
      </c>
      <c r="B4802" s="14">
        <v>1.3148180000000001E-2</v>
      </c>
      <c r="C4802" s="15">
        <v>7.7739100000000002E-3</v>
      </c>
    </row>
    <row r="4803" spans="1:3" x14ac:dyDescent="0.45">
      <c r="A4803" s="11">
        <v>64.739999999999995</v>
      </c>
      <c r="B4803" s="14">
        <v>1.316284E-2</v>
      </c>
      <c r="C4803" s="15">
        <v>7.7815799999999997E-3</v>
      </c>
    </row>
    <row r="4804" spans="1:3" x14ac:dyDescent="0.45">
      <c r="A4804" s="11">
        <v>64.75</v>
      </c>
      <c r="B4804" s="14">
        <v>1.31775E-2</v>
      </c>
      <c r="C4804" s="15">
        <v>7.7892500000000002E-3</v>
      </c>
    </row>
    <row r="4805" spans="1:3" x14ac:dyDescent="0.45">
      <c r="A4805" s="11">
        <v>64.760000000000005</v>
      </c>
      <c r="B4805" s="14">
        <v>1.319216E-2</v>
      </c>
      <c r="C4805" s="15">
        <v>7.7969199999999997E-3</v>
      </c>
    </row>
    <row r="4806" spans="1:3" x14ac:dyDescent="0.45">
      <c r="A4806" s="11">
        <v>64.77</v>
      </c>
      <c r="B4806" s="14">
        <v>1.3206819999999999E-2</v>
      </c>
      <c r="C4806" s="15">
        <v>7.8045900000000001E-3</v>
      </c>
    </row>
    <row r="4807" spans="1:3" x14ac:dyDescent="0.45">
      <c r="A4807" s="11">
        <v>64.78</v>
      </c>
      <c r="B4807" s="14">
        <v>1.3221480000000001E-2</v>
      </c>
      <c r="C4807" s="15">
        <v>7.8122599999999997E-3</v>
      </c>
    </row>
    <row r="4808" spans="1:3" x14ac:dyDescent="0.45">
      <c r="A4808" s="11">
        <v>64.790000000000006</v>
      </c>
      <c r="B4808" s="14">
        <v>1.323614E-2</v>
      </c>
      <c r="C4808" s="15">
        <v>7.8199299999999992E-3</v>
      </c>
    </row>
    <row r="4809" spans="1:3" x14ac:dyDescent="0.45">
      <c r="A4809" s="11">
        <v>64.8</v>
      </c>
      <c r="B4809" s="14">
        <v>1.32508E-2</v>
      </c>
      <c r="C4809" s="15">
        <v>7.8276000000000005E-3</v>
      </c>
    </row>
    <row r="4810" spans="1:3" x14ac:dyDescent="0.45">
      <c r="A4810" s="11">
        <v>64.81</v>
      </c>
      <c r="B4810" s="14">
        <v>1.326546E-2</v>
      </c>
      <c r="C4810" s="15">
        <v>7.8352700000000001E-3</v>
      </c>
    </row>
    <row r="4811" spans="1:3" x14ac:dyDescent="0.45">
      <c r="A4811" s="11">
        <v>64.819999999999993</v>
      </c>
      <c r="B4811" s="14">
        <v>1.3280119999999999E-2</v>
      </c>
      <c r="C4811" s="15">
        <v>7.8429399999999996E-3</v>
      </c>
    </row>
    <row r="4812" spans="1:3" x14ac:dyDescent="0.45">
      <c r="A4812" s="11">
        <v>64.83</v>
      </c>
      <c r="B4812" s="14">
        <v>1.3294780000000001E-2</v>
      </c>
      <c r="C4812" s="15">
        <v>7.8506099999999992E-3</v>
      </c>
    </row>
    <row r="4813" spans="1:3" x14ac:dyDescent="0.45">
      <c r="A4813" s="11">
        <v>64.84</v>
      </c>
      <c r="B4813" s="14">
        <v>1.3309440000000001E-2</v>
      </c>
      <c r="C4813" s="15">
        <v>7.8582800000000005E-3</v>
      </c>
    </row>
    <row r="4814" spans="1:3" x14ac:dyDescent="0.45">
      <c r="A4814" s="11">
        <v>64.849999999999994</v>
      </c>
      <c r="B4814" s="14">
        <v>1.33241E-2</v>
      </c>
      <c r="C4814" s="15">
        <v>7.86595E-3</v>
      </c>
    </row>
    <row r="4815" spans="1:3" x14ac:dyDescent="0.45">
      <c r="A4815" s="11">
        <v>64.86</v>
      </c>
      <c r="B4815" s="14">
        <v>1.333876E-2</v>
      </c>
      <c r="C4815" s="15">
        <v>7.8736199999999996E-3</v>
      </c>
    </row>
    <row r="4816" spans="1:3" x14ac:dyDescent="0.45">
      <c r="A4816" s="11">
        <v>64.87</v>
      </c>
      <c r="B4816" s="14">
        <v>1.335342E-2</v>
      </c>
      <c r="C4816" s="15">
        <v>7.8812900000000009E-3</v>
      </c>
    </row>
    <row r="4817" spans="1:3" x14ac:dyDescent="0.45">
      <c r="A4817" s="11">
        <v>64.88</v>
      </c>
      <c r="B4817" s="14">
        <v>1.3368079999999999E-2</v>
      </c>
      <c r="C4817" s="15">
        <v>7.8889600000000004E-3</v>
      </c>
    </row>
    <row r="4818" spans="1:3" x14ac:dyDescent="0.45">
      <c r="A4818" s="11">
        <v>64.89</v>
      </c>
      <c r="B4818" s="14">
        <v>1.3382740000000001E-2</v>
      </c>
      <c r="C4818" s="15">
        <v>7.89663E-3</v>
      </c>
    </row>
    <row r="4819" spans="1:3" x14ac:dyDescent="0.45">
      <c r="A4819" s="11">
        <v>64.900000000000006</v>
      </c>
      <c r="B4819" s="14">
        <v>1.33974E-2</v>
      </c>
      <c r="C4819" s="15">
        <v>7.9042999999999995E-3</v>
      </c>
    </row>
    <row r="4820" spans="1:3" x14ac:dyDescent="0.45">
      <c r="A4820" s="11">
        <v>64.91</v>
      </c>
      <c r="B4820" s="14">
        <v>1.341206E-2</v>
      </c>
      <c r="C4820" s="15">
        <v>7.9119700000000008E-3</v>
      </c>
    </row>
    <row r="4821" spans="1:3" x14ac:dyDescent="0.45">
      <c r="A4821" s="11">
        <v>64.92</v>
      </c>
      <c r="B4821" s="14">
        <v>1.342672E-2</v>
      </c>
      <c r="C4821" s="15">
        <v>7.9196400000000004E-3</v>
      </c>
    </row>
    <row r="4822" spans="1:3" x14ac:dyDescent="0.45">
      <c r="A4822" s="11">
        <v>64.930000000000007</v>
      </c>
      <c r="B4822" s="14">
        <v>1.3441379999999999E-2</v>
      </c>
      <c r="C4822" s="15">
        <v>7.9273099999999999E-3</v>
      </c>
    </row>
    <row r="4823" spans="1:3" x14ac:dyDescent="0.45">
      <c r="A4823" s="11">
        <v>64.94</v>
      </c>
      <c r="B4823" s="14">
        <v>1.3456040000000001E-2</v>
      </c>
      <c r="C4823" s="15">
        <v>7.9349799999999995E-3</v>
      </c>
    </row>
    <row r="4824" spans="1:3" x14ac:dyDescent="0.45">
      <c r="A4824" s="11">
        <v>64.95</v>
      </c>
      <c r="B4824" s="14">
        <v>1.34707E-2</v>
      </c>
      <c r="C4824" s="15">
        <v>7.9426500000000008E-3</v>
      </c>
    </row>
    <row r="4825" spans="1:3" x14ac:dyDescent="0.45">
      <c r="A4825" s="11">
        <v>64.959999999999994</v>
      </c>
      <c r="B4825" s="14">
        <v>1.348536E-2</v>
      </c>
      <c r="C4825" s="15">
        <v>7.9503200000000003E-3</v>
      </c>
    </row>
    <row r="4826" spans="1:3" x14ac:dyDescent="0.45">
      <c r="A4826" s="11">
        <v>64.97</v>
      </c>
      <c r="B4826" s="14">
        <v>1.350002E-2</v>
      </c>
      <c r="C4826" s="15">
        <v>7.9579899999999999E-3</v>
      </c>
    </row>
    <row r="4827" spans="1:3" x14ac:dyDescent="0.45">
      <c r="A4827" s="11">
        <v>64.98</v>
      </c>
      <c r="B4827" s="14">
        <v>1.3514679999999999E-2</v>
      </c>
      <c r="C4827" s="15">
        <v>7.9656599999999994E-3</v>
      </c>
    </row>
    <row r="4828" spans="1:3" x14ac:dyDescent="0.45">
      <c r="A4828" s="11">
        <v>64.989999999999995</v>
      </c>
      <c r="B4828" s="14">
        <v>1.3529340000000001E-2</v>
      </c>
      <c r="C4828" s="15">
        <v>7.9733300000000007E-3</v>
      </c>
    </row>
    <row r="4829" spans="1:3" x14ac:dyDescent="0.45">
      <c r="A4829" s="11">
        <v>65</v>
      </c>
      <c r="B4829" s="14">
        <v>1.3544E-2</v>
      </c>
      <c r="C4829" s="15">
        <v>7.9810000000000002E-3</v>
      </c>
    </row>
    <row r="4830" spans="1:3" x14ac:dyDescent="0.45">
      <c r="A4830" s="11">
        <v>65.010000000000005</v>
      </c>
      <c r="B4830" s="14">
        <v>1.3560320000000001E-2</v>
      </c>
      <c r="C4830" s="15">
        <v>7.98952E-3</v>
      </c>
    </row>
    <row r="4831" spans="1:3" x14ac:dyDescent="0.45">
      <c r="A4831" s="11">
        <v>65.02</v>
      </c>
      <c r="B4831" s="14">
        <v>1.3576639999999999E-2</v>
      </c>
      <c r="C4831" s="15">
        <v>7.9980399999999997E-3</v>
      </c>
    </row>
    <row r="4832" spans="1:3" x14ac:dyDescent="0.45">
      <c r="A4832" s="11">
        <v>65.03</v>
      </c>
      <c r="B4832" s="14">
        <v>1.3592959999999999E-2</v>
      </c>
      <c r="C4832" s="15">
        <v>8.0065599999999994E-3</v>
      </c>
    </row>
    <row r="4833" spans="1:3" x14ac:dyDescent="0.45">
      <c r="A4833" s="11">
        <v>65.040000000000006</v>
      </c>
      <c r="B4833" s="14">
        <v>1.360928E-2</v>
      </c>
      <c r="C4833" s="15">
        <v>8.0150800000000008E-3</v>
      </c>
    </row>
    <row r="4834" spans="1:3" x14ac:dyDescent="0.45">
      <c r="A4834" s="11">
        <v>65.05</v>
      </c>
      <c r="B4834" s="14">
        <v>1.36256E-2</v>
      </c>
      <c r="C4834" s="15">
        <v>8.0236000000000005E-3</v>
      </c>
    </row>
    <row r="4835" spans="1:3" x14ac:dyDescent="0.45">
      <c r="A4835" s="11">
        <v>65.06</v>
      </c>
      <c r="B4835" s="14">
        <v>1.364192E-2</v>
      </c>
      <c r="C4835" s="15">
        <v>8.0321200000000002E-3</v>
      </c>
    </row>
    <row r="4836" spans="1:3" x14ac:dyDescent="0.45">
      <c r="A4836" s="11">
        <v>65.069999999999993</v>
      </c>
      <c r="B4836" s="14">
        <v>1.365824E-2</v>
      </c>
      <c r="C4836" s="15">
        <v>8.0406399999999999E-3</v>
      </c>
    </row>
    <row r="4837" spans="1:3" x14ac:dyDescent="0.45">
      <c r="A4837" s="11">
        <v>65.08</v>
      </c>
      <c r="B4837" s="14">
        <v>1.3674560000000001E-2</v>
      </c>
      <c r="C4837" s="15">
        <v>8.0491599999999996E-3</v>
      </c>
    </row>
    <row r="4838" spans="1:3" x14ac:dyDescent="0.45">
      <c r="A4838" s="11">
        <v>65.09</v>
      </c>
      <c r="B4838" s="14">
        <v>1.3690880000000001E-2</v>
      </c>
      <c r="C4838" s="15">
        <v>8.0576799999999994E-3</v>
      </c>
    </row>
    <row r="4839" spans="1:3" x14ac:dyDescent="0.45">
      <c r="A4839" s="11">
        <v>65.099999999999994</v>
      </c>
      <c r="B4839" s="14">
        <v>1.3707199999999999E-2</v>
      </c>
      <c r="C4839" s="15">
        <v>8.0662000000000008E-3</v>
      </c>
    </row>
    <row r="4840" spans="1:3" x14ac:dyDescent="0.45">
      <c r="A4840" s="11">
        <v>65.11</v>
      </c>
      <c r="B4840" s="14">
        <v>1.3723519999999999E-2</v>
      </c>
      <c r="C4840" s="15">
        <v>8.0747200000000005E-3</v>
      </c>
    </row>
    <row r="4841" spans="1:3" x14ac:dyDescent="0.45">
      <c r="A4841" s="11">
        <v>65.12</v>
      </c>
      <c r="B4841" s="14">
        <v>1.373984E-2</v>
      </c>
      <c r="C4841" s="15">
        <v>8.0832400000000002E-3</v>
      </c>
    </row>
    <row r="4842" spans="1:3" x14ac:dyDescent="0.45">
      <c r="A4842" s="11">
        <v>65.13</v>
      </c>
      <c r="B4842" s="14">
        <v>1.375616E-2</v>
      </c>
      <c r="C4842" s="15">
        <v>8.0917599999999999E-3</v>
      </c>
    </row>
    <row r="4843" spans="1:3" x14ac:dyDescent="0.45">
      <c r="A4843" s="11">
        <v>65.14</v>
      </c>
      <c r="B4843" s="14">
        <v>1.377248E-2</v>
      </c>
      <c r="C4843" s="15">
        <v>8.1002799999999996E-3</v>
      </c>
    </row>
    <row r="4844" spans="1:3" x14ac:dyDescent="0.45">
      <c r="A4844" s="11">
        <v>65.150000000000006</v>
      </c>
      <c r="B4844" s="14">
        <v>1.37888E-2</v>
      </c>
      <c r="C4844" s="15">
        <v>8.1087999999999993E-3</v>
      </c>
    </row>
    <row r="4845" spans="1:3" x14ac:dyDescent="0.45">
      <c r="A4845" s="11">
        <v>65.16</v>
      </c>
      <c r="B4845" s="14">
        <v>1.3805120000000001E-2</v>
      </c>
      <c r="C4845" s="15">
        <v>8.1173200000000008E-3</v>
      </c>
    </row>
    <row r="4846" spans="1:3" x14ac:dyDescent="0.45">
      <c r="A4846" s="11">
        <v>65.17</v>
      </c>
      <c r="B4846" s="14">
        <v>1.3821440000000001E-2</v>
      </c>
      <c r="C4846" s="15">
        <v>8.1258400000000005E-3</v>
      </c>
    </row>
    <row r="4847" spans="1:3" x14ac:dyDescent="0.45">
      <c r="A4847" s="11">
        <v>65.180000000000007</v>
      </c>
      <c r="B4847" s="14">
        <v>1.3837759999999999E-2</v>
      </c>
      <c r="C4847" s="15">
        <v>8.1343600000000002E-3</v>
      </c>
    </row>
    <row r="4848" spans="1:3" x14ac:dyDescent="0.45">
      <c r="A4848" s="11">
        <v>65.19</v>
      </c>
      <c r="B4848" s="14">
        <v>1.385408E-2</v>
      </c>
      <c r="C4848" s="15">
        <v>8.1428799999999999E-3</v>
      </c>
    </row>
    <row r="4849" spans="1:3" x14ac:dyDescent="0.45">
      <c r="A4849" s="11">
        <v>65.2</v>
      </c>
      <c r="B4849" s="14">
        <v>1.38704E-2</v>
      </c>
      <c r="C4849" s="15">
        <v>8.1513999999999996E-3</v>
      </c>
    </row>
    <row r="4850" spans="1:3" x14ac:dyDescent="0.45">
      <c r="A4850" s="11">
        <v>65.209999999999994</v>
      </c>
      <c r="B4850" s="14">
        <v>1.388672E-2</v>
      </c>
      <c r="C4850" s="15">
        <v>8.1599199999999993E-3</v>
      </c>
    </row>
    <row r="4851" spans="1:3" x14ac:dyDescent="0.45">
      <c r="A4851" s="11">
        <v>65.22</v>
      </c>
      <c r="B4851" s="14">
        <v>1.390304E-2</v>
      </c>
      <c r="C4851" s="15">
        <v>8.1684400000000008E-3</v>
      </c>
    </row>
    <row r="4852" spans="1:3" x14ac:dyDescent="0.45">
      <c r="A4852" s="11">
        <v>65.23</v>
      </c>
      <c r="B4852" s="14">
        <v>1.391936E-2</v>
      </c>
      <c r="C4852" s="15">
        <v>8.1769600000000005E-3</v>
      </c>
    </row>
    <row r="4853" spans="1:3" x14ac:dyDescent="0.45">
      <c r="A4853" s="11">
        <v>65.239999999999995</v>
      </c>
      <c r="B4853" s="14">
        <v>1.3935680000000001E-2</v>
      </c>
      <c r="C4853" s="15">
        <v>8.1854800000000002E-3</v>
      </c>
    </row>
    <row r="4854" spans="1:3" x14ac:dyDescent="0.45">
      <c r="A4854" s="11">
        <v>65.25</v>
      </c>
      <c r="B4854" s="14">
        <v>1.3952000000000001E-2</v>
      </c>
      <c r="C4854" s="15">
        <v>8.1939999999999999E-3</v>
      </c>
    </row>
    <row r="4855" spans="1:3" x14ac:dyDescent="0.45">
      <c r="A4855" s="11">
        <v>65.260000000000005</v>
      </c>
      <c r="B4855" s="14">
        <v>1.3968319999999999E-2</v>
      </c>
      <c r="C4855" s="15">
        <v>8.2025199999999996E-3</v>
      </c>
    </row>
    <row r="4856" spans="1:3" x14ac:dyDescent="0.45">
      <c r="A4856" s="11">
        <v>65.27</v>
      </c>
      <c r="B4856" s="14">
        <v>1.398464E-2</v>
      </c>
      <c r="C4856" s="15">
        <v>8.2110399999999993E-3</v>
      </c>
    </row>
    <row r="4857" spans="1:3" x14ac:dyDescent="0.45">
      <c r="A4857" s="11">
        <v>65.28</v>
      </c>
      <c r="B4857" s="14">
        <v>1.400096E-2</v>
      </c>
      <c r="C4857" s="15">
        <v>8.2195600000000008E-3</v>
      </c>
    </row>
    <row r="4858" spans="1:3" x14ac:dyDescent="0.45">
      <c r="A4858" s="11">
        <v>65.290000000000006</v>
      </c>
      <c r="B4858" s="14">
        <v>1.401728E-2</v>
      </c>
      <c r="C4858" s="15">
        <v>8.2280800000000005E-3</v>
      </c>
    </row>
    <row r="4859" spans="1:3" x14ac:dyDescent="0.45">
      <c r="A4859" s="11">
        <v>65.3</v>
      </c>
      <c r="B4859" s="14">
        <v>1.40336E-2</v>
      </c>
      <c r="C4859" s="15">
        <v>8.2366000000000002E-3</v>
      </c>
    </row>
    <row r="4860" spans="1:3" x14ac:dyDescent="0.45">
      <c r="A4860" s="11">
        <v>65.31</v>
      </c>
      <c r="B4860" s="14">
        <v>1.404992E-2</v>
      </c>
      <c r="C4860" s="15">
        <v>8.2451199999999999E-3</v>
      </c>
    </row>
    <row r="4861" spans="1:3" x14ac:dyDescent="0.45">
      <c r="A4861" s="11">
        <v>65.319999999999993</v>
      </c>
      <c r="B4861" s="14">
        <v>1.4066240000000001E-2</v>
      </c>
      <c r="C4861" s="15">
        <v>8.2536399999999996E-3</v>
      </c>
    </row>
    <row r="4862" spans="1:3" x14ac:dyDescent="0.45">
      <c r="A4862" s="11">
        <v>65.33</v>
      </c>
      <c r="B4862" s="14">
        <v>1.4082559999999999E-2</v>
      </c>
      <c r="C4862" s="15">
        <v>8.2621599999999993E-3</v>
      </c>
    </row>
    <row r="4863" spans="1:3" x14ac:dyDescent="0.45">
      <c r="A4863" s="11">
        <v>65.34</v>
      </c>
      <c r="B4863" s="14">
        <v>1.4098879999999999E-2</v>
      </c>
      <c r="C4863" s="15">
        <v>8.2706800000000007E-3</v>
      </c>
    </row>
    <row r="4864" spans="1:3" x14ac:dyDescent="0.45">
      <c r="A4864" s="11">
        <v>65.349999999999994</v>
      </c>
      <c r="B4864" s="14">
        <v>1.41152E-2</v>
      </c>
      <c r="C4864" s="15">
        <v>8.2792000000000004E-3</v>
      </c>
    </row>
    <row r="4865" spans="1:3" x14ac:dyDescent="0.45">
      <c r="A4865" s="11">
        <v>65.36</v>
      </c>
      <c r="B4865" s="14">
        <v>1.413152E-2</v>
      </c>
      <c r="C4865" s="15">
        <v>8.2877200000000002E-3</v>
      </c>
    </row>
    <row r="4866" spans="1:3" x14ac:dyDescent="0.45">
      <c r="A4866" s="11">
        <v>65.37</v>
      </c>
      <c r="B4866" s="14">
        <v>1.414784E-2</v>
      </c>
      <c r="C4866" s="15">
        <v>8.2962399999999999E-3</v>
      </c>
    </row>
    <row r="4867" spans="1:3" x14ac:dyDescent="0.45">
      <c r="A4867" s="11">
        <v>65.38</v>
      </c>
      <c r="B4867" s="14">
        <v>1.416416E-2</v>
      </c>
      <c r="C4867" s="15">
        <v>8.3047599999999996E-3</v>
      </c>
    </row>
    <row r="4868" spans="1:3" x14ac:dyDescent="0.45">
      <c r="A4868" s="11">
        <v>65.39</v>
      </c>
      <c r="B4868" s="14">
        <v>1.4180480000000001E-2</v>
      </c>
      <c r="C4868" s="15">
        <v>8.3132799999999993E-3</v>
      </c>
    </row>
    <row r="4869" spans="1:3" x14ac:dyDescent="0.45">
      <c r="A4869" s="11">
        <v>65.400000000000006</v>
      </c>
      <c r="B4869" s="14">
        <v>1.4196800000000001E-2</v>
      </c>
      <c r="C4869" s="15">
        <v>8.3218000000000007E-3</v>
      </c>
    </row>
    <row r="4870" spans="1:3" x14ac:dyDescent="0.45">
      <c r="A4870" s="11">
        <v>65.41</v>
      </c>
      <c r="B4870" s="14">
        <v>1.4213119999999999E-2</v>
      </c>
      <c r="C4870" s="15">
        <v>8.3303200000000004E-3</v>
      </c>
    </row>
    <row r="4871" spans="1:3" x14ac:dyDescent="0.45">
      <c r="A4871" s="11">
        <v>65.42</v>
      </c>
      <c r="B4871" s="14">
        <v>1.4229439999999999E-2</v>
      </c>
      <c r="C4871" s="15">
        <v>8.3388400000000001E-3</v>
      </c>
    </row>
    <row r="4872" spans="1:3" x14ac:dyDescent="0.45">
      <c r="A4872" s="11">
        <v>65.430000000000007</v>
      </c>
      <c r="B4872" s="14">
        <v>1.424576E-2</v>
      </c>
      <c r="C4872" s="15">
        <v>8.3473599999999998E-3</v>
      </c>
    </row>
    <row r="4873" spans="1:3" x14ac:dyDescent="0.45">
      <c r="A4873" s="11">
        <v>65.44</v>
      </c>
      <c r="B4873" s="14">
        <v>1.426208E-2</v>
      </c>
      <c r="C4873" s="15">
        <v>8.3558799999999996E-3</v>
      </c>
    </row>
    <row r="4874" spans="1:3" x14ac:dyDescent="0.45">
      <c r="A4874" s="11">
        <v>65.45</v>
      </c>
      <c r="B4874" s="14">
        <v>1.42784E-2</v>
      </c>
      <c r="C4874" s="15">
        <v>8.3643999999999993E-3</v>
      </c>
    </row>
    <row r="4875" spans="1:3" x14ac:dyDescent="0.45">
      <c r="A4875" s="11">
        <v>65.459999999999994</v>
      </c>
      <c r="B4875" s="14">
        <v>1.429472E-2</v>
      </c>
      <c r="C4875" s="15">
        <v>8.3729200000000007E-3</v>
      </c>
    </row>
    <row r="4876" spans="1:3" x14ac:dyDescent="0.45">
      <c r="A4876" s="11">
        <v>65.47</v>
      </c>
      <c r="B4876" s="14">
        <v>1.4311040000000001E-2</v>
      </c>
      <c r="C4876" s="15">
        <v>8.3814400000000004E-3</v>
      </c>
    </row>
    <row r="4877" spans="1:3" x14ac:dyDescent="0.45">
      <c r="A4877" s="11">
        <v>65.48</v>
      </c>
      <c r="B4877" s="14">
        <v>1.4327360000000001E-2</v>
      </c>
      <c r="C4877" s="15">
        <v>8.3899600000000001E-3</v>
      </c>
    </row>
    <row r="4878" spans="1:3" x14ac:dyDescent="0.45">
      <c r="A4878" s="11">
        <v>65.489999999999995</v>
      </c>
      <c r="B4878" s="14">
        <v>1.4343679999999999E-2</v>
      </c>
      <c r="C4878" s="15">
        <v>8.3984799999999998E-3</v>
      </c>
    </row>
    <row r="4879" spans="1:3" x14ac:dyDescent="0.45">
      <c r="A4879" s="11">
        <v>65.5</v>
      </c>
      <c r="B4879" s="14">
        <v>1.436E-2</v>
      </c>
      <c r="C4879" s="15">
        <v>8.4069999999999995E-3</v>
      </c>
    </row>
    <row r="4880" spans="1:3" x14ac:dyDescent="0.45">
      <c r="A4880" s="11">
        <v>65.510000000000005</v>
      </c>
      <c r="B4880" s="14">
        <v>1.437632E-2</v>
      </c>
      <c r="C4880" s="15">
        <v>8.4155199999999993E-3</v>
      </c>
    </row>
    <row r="4881" spans="1:3" x14ac:dyDescent="0.45">
      <c r="A4881" s="11">
        <v>65.52</v>
      </c>
      <c r="B4881" s="14">
        <v>1.439264E-2</v>
      </c>
      <c r="C4881" s="15">
        <v>8.4240400000000007E-3</v>
      </c>
    </row>
    <row r="4882" spans="1:3" x14ac:dyDescent="0.45">
      <c r="A4882" s="11">
        <v>65.53</v>
      </c>
      <c r="B4882" s="14">
        <v>1.440896E-2</v>
      </c>
      <c r="C4882" s="15">
        <v>8.4325600000000004E-3</v>
      </c>
    </row>
    <row r="4883" spans="1:3" x14ac:dyDescent="0.45">
      <c r="A4883" s="11">
        <v>65.540000000000006</v>
      </c>
      <c r="B4883" s="14">
        <v>1.442528E-2</v>
      </c>
      <c r="C4883" s="15">
        <v>8.4410800000000001E-3</v>
      </c>
    </row>
    <row r="4884" spans="1:3" x14ac:dyDescent="0.45">
      <c r="A4884" s="11">
        <v>65.55</v>
      </c>
      <c r="B4884" s="14">
        <v>1.4441600000000001E-2</v>
      </c>
      <c r="C4884" s="15">
        <v>8.4495999999999998E-3</v>
      </c>
    </row>
    <row r="4885" spans="1:3" x14ac:dyDescent="0.45">
      <c r="A4885" s="11">
        <v>65.56</v>
      </c>
      <c r="B4885" s="14">
        <v>1.4457920000000001E-2</v>
      </c>
      <c r="C4885" s="15">
        <v>8.4581199999999995E-3</v>
      </c>
    </row>
    <row r="4886" spans="1:3" x14ac:dyDescent="0.45">
      <c r="A4886" s="11">
        <v>65.569999999999993</v>
      </c>
      <c r="B4886" s="14">
        <v>1.4474239999999999E-2</v>
      </c>
      <c r="C4886" s="15">
        <v>8.4666399999999992E-3</v>
      </c>
    </row>
    <row r="4887" spans="1:3" x14ac:dyDescent="0.45">
      <c r="A4887" s="11">
        <v>65.58</v>
      </c>
      <c r="B4887" s="14">
        <v>1.449056E-2</v>
      </c>
      <c r="C4887" s="15">
        <v>8.4751600000000007E-3</v>
      </c>
    </row>
    <row r="4888" spans="1:3" x14ac:dyDescent="0.45">
      <c r="A4888" s="11">
        <v>65.59</v>
      </c>
      <c r="B4888" s="14">
        <v>1.450688E-2</v>
      </c>
      <c r="C4888" s="15">
        <v>8.4836800000000004E-3</v>
      </c>
    </row>
    <row r="4889" spans="1:3" x14ac:dyDescent="0.45">
      <c r="A4889" s="11">
        <v>65.599999999999994</v>
      </c>
      <c r="B4889" s="14">
        <v>1.45232E-2</v>
      </c>
      <c r="C4889" s="15">
        <v>8.4922000000000001E-3</v>
      </c>
    </row>
    <row r="4890" spans="1:3" x14ac:dyDescent="0.45">
      <c r="A4890" s="11">
        <v>65.61</v>
      </c>
      <c r="B4890" s="14">
        <v>1.453952E-2</v>
      </c>
      <c r="C4890" s="15">
        <v>8.5007199999999998E-3</v>
      </c>
    </row>
    <row r="4891" spans="1:3" x14ac:dyDescent="0.45">
      <c r="A4891" s="11">
        <v>65.62</v>
      </c>
      <c r="B4891" s="14">
        <v>1.455584E-2</v>
      </c>
      <c r="C4891" s="15">
        <v>8.5092399999999995E-3</v>
      </c>
    </row>
    <row r="4892" spans="1:3" x14ac:dyDescent="0.45">
      <c r="A4892" s="11">
        <v>65.63</v>
      </c>
      <c r="B4892" s="14">
        <v>1.4572160000000001E-2</v>
      </c>
      <c r="C4892" s="15">
        <v>8.5177599999999992E-3</v>
      </c>
    </row>
    <row r="4893" spans="1:3" x14ac:dyDescent="0.45">
      <c r="A4893" s="11">
        <v>65.64</v>
      </c>
      <c r="B4893" s="14">
        <v>1.4588479999999999E-2</v>
      </c>
      <c r="C4893" s="15">
        <v>8.5262800000000007E-3</v>
      </c>
    </row>
    <row r="4894" spans="1:3" x14ac:dyDescent="0.45">
      <c r="A4894" s="11">
        <v>65.650000000000006</v>
      </c>
      <c r="B4894" s="14">
        <v>1.4604799999999999E-2</v>
      </c>
      <c r="C4894" s="15">
        <v>8.5348000000000004E-3</v>
      </c>
    </row>
    <row r="4895" spans="1:3" x14ac:dyDescent="0.45">
      <c r="A4895" s="11">
        <v>65.66</v>
      </c>
      <c r="B4895" s="14">
        <v>1.462112E-2</v>
      </c>
      <c r="C4895" s="15">
        <v>8.5433200000000001E-3</v>
      </c>
    </row>
    <row r="4896" spans="1:3" x14ac:dyDescent="0.45">
      <c r="A4896" s="11">
        <v>65.67</v>
      </c>
      <c r="B4896" s="14">
        <v>1.463744E-2</v>
      </c>
      <c r="C4896" s="15">
        <v>8.5518399999999998E-3</v>
      </c>
    </row>
    <row r="4897" spans="1:3" x14ac:dyDescent="0.45">
      <c r="A4897" s="11">
        <v>65.680000000000007</v>
      </c>
      <c r="B4897" s="14">
        <v>1.465376E-2</v>
      </c>
      <c r="C4897" s="15">
        <v>8.5603599999999995E-3</v>
      </c>
    </row>
    <row r="4898" spans="1:3" x14ac:dyDescent="0.45">
      <c r="A4898" s="11">
        <v>65.69</v>
      </c>
      <c r="B4898" s="14">
        <v>1.467008E-2</v>
      </c>
      <c r="C4898" s="15">
        <v>8.5688799999999992E-3</v>
      </c>
    </row>
    <row r="4899" spans="1:3" x14ac:dyDescent="0.45">
      <c r="A4899" s="11">
        <v>65.7</v>
      </c>
      <c r="B4899" s="14">
        <v>1.46864E-2</v>
      </c>
      <c r="C4899" s="15">
        <v>8.5774000000000006E-3</v>
      </c>
    </row>
    <row r="4900" spans="1:3" x14ac:dyDescent="0.45">
      <c r="A4900" s="11">
        <v>65.709999999999994</v>
      </c>
      <c r="B4900" s="14">
        <v>1.4702720000000001E-2</v>
      </c>
      <c r="C4900" s="15">
        <v>8.5859200000000004E-3</v>
      </c>
    </row>
    <row r="4901" spans="1:3" x14ac:dyDescent="0.45">
      <c r="A4901" s="11">
        <v>65.72</v>
      </c>
      <c r="B4901" s="14">
        <v>1.4719039999999999E-2</v>
      </c>
      <c r="C4901" s="15">
        <v>8.5944400000000001E-3</v>
      </c>
    </row>
    <row r="4902" spans="1:3" x14ac:dyDescent="0.45">
      <c r="A4902" s="11">
        <v>65.73</v>
      </c>
      <c r="B4902" s="14">
        <v>1.4735359999999999E-2</v>
      </c>
      <c r="C4902" s="15">
        <v>8.6029599999999998E-3</v>
      </c>
    </row>
    <row r="4903" spans="1:3" x14ac:dyDescent="0.45">
      <c r="A4903" s="11">
        <v>65.739999999999995</v>
      </c>
      <c r="B4903" s="14">
        <v>1.475168E-2</v>
      </c>
      <c r="C4903" s="15">
        <v>8.6114799999999995E-3</v>
      </c>
    </row>
    <row r="4904" spans="1:3" x14ac:dyDescent="0.45">
      <c r="A4904" s="11">
        <v>65.75</v>
      </c>
      <c r="B4904" s="14">
        <v>1.4768E-2</v>
      </c>
      <c r="C4904" s="15">
        <v>8.6199999999999992E-3</v>
      </c>
    </row>
    <row r="4905" spans="1:3" x14ac:dyDescent="0.45">
      <c r="A4905" s="11">
        <v>65.760000000000005</v>
      </c>
      <c r="B4905" s="14">
        <v>1.478432E-2</v>
      </c>
      <c r="C4905" s="15">
        <v>8.6285200000000006E-3</v>
      </c>
    </row>
    <row r="4906" spans="1:3" x14ac:dyDescent="0.45">
      <c r="A4906" s="11">
        <v>65.77</v>
      </c>
      <c r="B4906" s="14">
        <v>1.480064E-2</v>
      </c>
      <c r="C4906" s="15">
        <v>8.6370400000000003E-3</v>
      </c>
    </row>
    <row r="4907" spans="1:3" x14ac:dyDescent="0.45">
      <c r="A4907" s="11">
        <v>65.78</v>
      </c>
      <c r="B4907" s="14">
        <v>1.4816960000000001E-2</v>
      </c>
      <c r="C4907" s="15">
        <v>8.6455600000000001E-3</v>
      </c>
    </row>
    <row r="4908" spans="1:3" x14ac:dyDescent="0.45">
      <c r="A4908" s="11">
        <v>65.790000000000006</v>
      </c>
      <c r="B4908" s="14">
        <v>1.4833280000000001E-2</v>
      </c>
      <c r="C4908" s="15">
        <v>8.6540799999999998E-3</v>
      </c>
    </row>
    <row r="4909" spans="1:3" x14ac:dyDescent="0.45">
      <c r="A4909" s="11">
        <v>65.8</v>
      </c>
      <c r="B4909" s="14">
        <v>1.4849599999999999E-2</v>
      </c>
      <c r="C4909" s="15">
        <v>8.6625999999999995E-3</v>
      </c>
    </row>
    <row r="4910" spans="1:3" x14ac:dyDescent="0.45">
      <c r="A4910" s="11">
        <v>65.81</v>
      </c>
      <c r="B4910" s="14">
        <v>1.4865919999999999E-2</v>
      </c>
      <c r="C4910" s="15">
        <v>8.6711199999999992E-3</v>
      </c>
    </row>
    <row r="4911" spans="1:3" x14ac:dyDescent="0.45">
      <c r="A4911" s="11">
        <v>65.819999999999993</v>
      </c>
      <c r="B4911" s="14">
        <v>1.488224E-2</v>
      </c>
      <c r="C4911" s="15">
        <v>8.6796400000000006E-3</v>
      </c>
    </row>
    <row r="4912" spans="1:3" x14ac:dyDescent="0.45">
      <c r="A4912" s="11">
        <v>65.83</v>
      </c>
      <c r="B4912" s="14">
        <v>1.489856E-2</v>
      </c>
      <c r="C4912" s="15">
        <v>8.6881600000000003E-3</v>
      </c>
    </row>
    <row r="4913" spans="1:3" x14ac:dyDescent="0.45">
      <c r="A4913" s="11">
        <v>65.84</v>
      </c>
      <c r="B4913" s="14">
        <v>1.491488E-2</v>
      </c>
      <c r="C4913" s="15">
        <v>8.69668E-3</v>
      </c>
    </row>
    <row r="4914" spans="1:3" x14ac:dyDescent="0.45">
      <c r="A4914" s="11">
        <v>65.849999999999994</v>
      </c>
      <c r="B4914" s="14">
        <v>1.49312E-2</v>
      </c>
      <c r="C4914" s="15">
        <v>8.7051999999999997E-3</v>
      </c>
    </row>
    <row r="4915" spans="1:3" x14ac:dyDescent="0.45">
      <c r="A4915" s="11">
        <v>65.86</v>
      </c>
      <c r="B4915" s="14">
        <v>1.4947520000000001E-2</v>
      </c>
      <c r="C4915" s="15">
        <v>8.7137199999999995E-3</v>
      </c>
    </row>
    <row r="4916" spans="1:3" x14ac:dyDescent="0.45">
      <c r="A4916" s="11">
        <v>65.87</v>
      </c>
      <c r="B4916" s="14">
        <v>1.4963840000000001E-2</v>
      </c>
      <c r="C4916" s="15">
        <v>8.7222399999999992E-3</v>
      </c>
    </row>
    <row r="4917" spans="1:3" x14ac:dyDescent="0.45">
      <c r="A4917" s="11">
        <v>65.88</v>
      </c>
      <c r="B4917" s="14">
        <v>1.4980159999999999E-2</v>
      </c>
      <c r="C4917" s="15">
        <v>8.7307600000000006E-3</v>
      </c>
    </row>
    <row r="4918" spans="1:3" x14ac:dyDescent="0.45">
      <c r="A4918" s="11">
        <v>65.89</v>
      </c>
      <c r="B4918" s="14">
        <v>1.499648E-2</v>
      </c>
      <c r="C4918" s="15">
        <v>8.7392800000000003E-3</v>
      </c>
    </row>
    <row r="4919" spans="1:3" x14ac:dyDescent="0.45">
      <c r="A4919" s="11">
        <v>65.900000000000006</v>
      </c>
      <c r="B4919" s="14">
        <v>1.50128E-2</v>
      </c>
      <c r="C4919" s="15">
        <v>8.7478E-3</v>
      </c>
    </row>
    <row r="4920" spans="1:3" x14ac:dyDescent="0.45">
      <c r="A4920" s="11">
        <v>65.91</v>
      </c>
      <c r="B4920" s="14">
        <v>1.502912E-2</v>
      </c>
      <c r="C4920" s="15">
        <v>8.7563199999999997E-3</v>
      </c>
    </row>
    <row r="4921" spans="1:3" x14ac:dyDescent="0.45">
      <c r="A4921" s="11">
        <v>65.92</v>
      </c>
      <c r="B4921" s="14">
        <v>1.504544E-2</v>
      </c>
      <c r="C4921" s="15">
        <v>8.7648399999999994E-3</v>
      </c>
    </row>
    <row r="4922" spans="1:3" x14ac:dyDescent="0.45">
      <c r="A4922" s="11">
        <v>65.930000000000007</v>
      </c>
      <c r="B4922" s="14">
        <v>1.506176E-2</v>
      </c>
      <c r="C4922" s="15">
        <v>8.7733599999999991E-3</v>
      </c>
    </row>
    <row r="4923" spans="1:3" x14ac:dyDescent="0.45">
      <c r="A4923" s="11">
        <v>65.94</v>
      </c>
      <c r="B4923" s="14">
        <v>1.5078080000000001E-2</v>
      </c>
      <c r="C4923" s="15">
        <v>8.7818800000000006E-3</v>
      </c>
    </row>
    <row r="4924" spans="1:3" x14ac:dyDescent="0.45">
      <c r="A4924" s="11">
        <v>65.95</v>
      </c>
      <c r="B4924" s="14">
        <v>1.5094399999999999E-2</v>
      </c>
      <c r="C4924" s="15">
        <v>8.7904000000000003E-3</v>
      </c>
    </row>
    <row r="4925" spans="1:3" x14ac:dyDescent="0.45">
      <c r="A4925" s="11">
        <v>65.959999999999994</v>
      </c>
      <c r="B4925" s="14">
        <v>1.5110719999999999E-2</v>
      </c>
      <c r="C4925" s="15">
        <v>8.79892E-3</v>
      </c>
    </row>
    <row r="4926" spans="1:3" x14ac:dyDescent="0.45">
      <c r="A4926" s="11">
        <v>65.97</v>
      </c>
      <c r="B4926" s="14">
        <v>1.512704E-2</v>
      </c>
      <c r="C4926" s="15">
        <v>8.8074399999999997E-3</v>
      </c>
    </row>
    <row r="4927" spans="1:3" x14ac:dyDescent="0.45">
      <c r="A4927" s="11">
        <v>65.98</v>
      </c>
      <c r="B4927" s="14">
        <v>1.514336E-2</v>
      </c>
      <c r="C4927" s="15">
        <v>8.8159599999999994E-3</v>
      </c>
    </row>
    <row r="4928" spans="1:3" x14ac:dyDescent="0.45">
      <c r="A4928" s="11">
        <v>65.989999999999995</v>
      </c>
      <c r="B4928" s="14">
        <v>1.515968E-2</v>
      </c>
      <c r="C4928" s="15">
        <v>8.8244800000000009E-3</v>
      </c>
    </row>
    <row r="4929" spans="1:3" x14ac:dyDescent="0.45">
      <c r="A4929" s="11">
        <v>66</v>
      </c>
      <c r="B4929" s="14">
        <v>1.5176E-2</v>
      </c>
      <c r="C4929" s="15">
        <v>8.8330000000000006E-3</v>
      </c>
    </row>
    <row r="4930" spans="1:3" x14ac:dyDescent="0.45">
      <c r="A4930" s="11">
        <v>66.010000000000005</v>
      </c>
      <c r="B4930" s="14">
        <v>1.519417E-2</v>
      </c>
      <c r="C4930" s="15">
        <v>8.84244E-3</v>
      </c>
    </row>
    <row r="4931" spans="1:3" x14ac:dyDescent="0.45">
      <c r="A4931" s="11">
        <v>66.02</v>
      </c>
      <c r="B4931" s="14">
        <v>1.521234E-2</v>
      </c>
      <c r="C4931" s="15">
        <v>8.8518799999999995E-3</v>
      </c>
    </row>
    <row r="4932" spans="1:3" x14ac:dyDescent="0.45">
      <c r="A4932" s="11">
        <v>66.03</v>
      </c>
      <c r="B4932" s="14">
        <v>1.5230509999999999E-2</v>
      </c>
      <c r="C4932" s="15">
        <v>8.8613200000000007E-3</v>
      </c>
    </row>
    <row r="4933" spans="1:3" x14ac:dyDescent="0.45">
      <c r="A4933" s="11">
        <v>66.040000000000006</v>
      </c>
      <c r="B4933" s="14">
        <v>1.5248680000000001E-2</v>
      </c>
      <c r="C4933" s="15">
        <v>8.8707600000000001E-3</v>
      </c>
    </row>
    <row r="4934" spans="1:3" x14ac:dyDescent="0.45">
      <c r="A4934" s="11">
        <v>66.05</v>
      </c>
      <c r="B4934" s="14">
        <v>1.526685E-2</v>
      </c>
      <c r="C4934" s="15">
        <v>8.8801999999999996E-3</v>
      </c>
    </row>
    <row r="4935" spans="1:3" x14ac:dyDescent="0.45">
      <c r="A4935" s="11">
        <v>66.06</v>
      </c>
      <c r="B4935" s="14">
        <v>1.528502E-2</v>
      </c>
      <c r="C4935" s="15">
        <v>8.8896400000000007E-3</v>
      </c>
    </row>
    <row r="4936" spans="1:3" x14ac:dyDescent="0.45">
      <c r="A4936" s="11">
        <v>66.069999999999993</v>
      </c>
      <c r="B4936" s="14">
        <v>1.530319E-2</v>
      </c>
      <c r="C4936" s="15">
        <v>8.8990800000000002E-3</v>
      </c>
    </row>
    <row r="4937" spans="1:3" x14ac:dyDescent="0.45">
      <c r="A4937" s="11">
        <v>66.08</v>
      </c>
      <c r="B4937" s="14">
        <v>1.5321359999999999E-2</v>
      </c>
      <c r="C4937" s="15">
        <v>8.9085199999999996E-3</v>
      </c>
    </row>
    <row r="4938" spans="1:3" x14ac:dyDescent="0.45">
      <c r="A4938" s="11">
        <v>66.09</v>
      </c>
      <c r="B4938" s="14">
        <v>1.5339530000000001E-2</v>
      </c>
      <c r="C4938" s="15">
        <v>8.9179600000000008E-3</v>
      </c>
    </row>
    <row r="4939" spans="1:3" x14ac:dyDescent="0.45">
      <c r="A4939" s="11">
        <v>66.099999999999994</v>
      </c>
      <c r="B4939" s="14">
        <v>1.53577E-2</v>
      </c>
      <c r="C4939" s="15">
        <v>8.9274000000000003E-3</v>
      </c>
    </row>
    <row r="4940" spans="1:3" x14ac:dyDescent="0.45">
      <c r="A4940" s="11">
        <v>66.11</v>
      </c>
      <c r="B4940" s="14">
        <v>1.537587E-2</v>
      </c>
      <c r="C4940" s="15">
        <v>8.9368399999999997E-3</v>
      </c>
    </row>
    <row r="4941" spans="1:3" x14ac:dyDescent="0.45">
      <c r="A4941" s="11">
        <v>66.12</v>
      </c>
      <c r="B4941" s="14">
        <v>1.5394039999999999E-2</v>
      </c>
      <c r="C4941" s="15">
        <v>8.9462799999999992E-3</v>
      </c>
    </row>
    <row r="4942" spans="1:3" x14ac:dyDescent="0.45">
      <c r="A4942" s="11">
        <v>66.13</v>
      </c>
      <c r="B4942" s="14">
        <v>1.5412210000000001E-2</v>
      </c>
      <c r="C4942" s="15">
        <v>8.9557200000000003E-3</v>
      </c>
    </row>
    <row r="4943" spans="1:3" x14ac:dyDescent="0.45">
      <c r="A4943" s="11">
        <v>66.14</v>
      </c>
      <c r="B4943" s="14">
        <v>1.543038E-2</v>
      </c>
      <c r="C4943" s="15">
        <v>8.9651599999999998E-3</v>
      </c>
    </row>
    <row r="4944" spans="1:3" x14ac:dyDescent="0.45">
      <c r="A4944" s="11">
        <v>66.150000000000006</v>
      </c>
      <c r="B4944" s="14">
        <v>1.544855E-2</v>
      </c>
      <c r="C4944" s="15">
        <v>8.9745999999999992E-3</v>
      </c>
    </row>
    <row r="4945" spans="1:3" x14ac:dyDescent="0.45">
      <c r="A4945" s="11">
        <v>66.16</v>
      </c>
      <c r="B4945" s="14">
        <v>1.546672E-2</v>
      </c>
      <c r="C4945" s="15">
        <v>8.9840400000000004E-3</v>
      </c>
    </row>
    <row r="4946" spans="1:3" x14ac:dyDescent="0.45">
      <c r="A4946" s="11">
        <v>66.17</v>
      </c>
      <c r="B4946" s="14">
        <v>1.5484889999999999E-2</v>
      </c>
      <c r="C4946" s="15">
        <v>8.9934799999999999E-3</v>
      </c>
    </row>
    <row r="4947" spans="1:3" x14ac:dyDescent="0.45">
      <c r="A4947" s="11">
        <v>66.180000000000007</v>
      </c>
      <c r="B4947" s="14">
        <v>1.5503060000000001E-2</v>
      </c>
      <c r="C4947" s="15">
        <v>9.0029199999999993E-3</v>
      </c>
    </row>
    <row r="4948" spans="1:3" x14ac:dyDescent="0.45">
      <c r="A4948" s="11">
        <v>66.19</v>
      </c>
      <c r="B4948" s="14">
        <v>1.552123E-2</v>
      </c>
      <c r="C4948" s="15">
        <v>9.0123600000000005E-3</v>
      </c>
    </row>
    <row r="4949" spans="1:3" x14ac:dyDescent="0.45">
      <c r="A4949" s="11">
        <v>66.2</v>
      </c>
      <c r="B4949" s="14">
        <v>1.55394E-2</v>
      </c>
      <c r="C4949" s="15">
        <v>9.0218E-3</v>
      </c>
    </row>
    <row r="4950" spans="1:3" x14ac:dyDescent="0.45">
      <c r="A4950" s="11">
        <v>66.209999999999994</v>
      </c>
      <c r="B4950" s="14">
        <v>1.555757E-2</v>
      </c>
      <c r="C4950" s="15">
        <v>9.0312399999999994E-3</v>
      </c>
    </row>
    <row r="4951" spans="1:3" x14ac:dyDescent="0.45">
      <c r="A4951" s="11">
        <v>66.22</v>
      </c>
      <c r="B4951" s="14">
        <v>1.5575739999999999E-2</v>
      </c>
      <c r="C4951" s="15">
        <v>9.0406800000000006E-3</v>
      </c>
    </row>
    <row r="4952" spans="1:3" x14ac:dyDescent="0.45">
      <c r="A4952" s="11">
        <v>66.23</v>
      </c>
      <c r="B4952" s="14">
        <v>1.5593910000000001E-2</v>
      </c>
      <c r="C4952" s="15">
        <v>9.05012E-3</v>
      </c>
    </row>
    <row r="4953" spans="1:3" x14ac:dyDescent="0.45">
      <c r="A4953" s="11">
        <v>66.239999999999995</v>
      </c>
      <c r="B4953" s="14">
        <v>1.561208E-2</v>
      </c>
      <c r="C4953" s="15">
        <v>9.0595599999999995E-3</v>
      </c>
    </row>
    <row r="4954" spans="1:3" x14ac:dyDescent="0.45">
      <c r="A4954" s="11">
        <v>66.25</v>
      </c>
      <c r="B4954" s="14">
        <v>1.5630249999999998E-2</v>
      </c>
      <c r="C4954" s="15">
        <v>9.0690000000000007E-3</v>
      </c>
    </row>
    <row r="4955" spans="1:3" x14ac:dyDescent="0.45">
      <c r="A4955" s="11">
        <v>66.260000000000005</v>
      </c>
      <c r="B4955" s="14">
        <v>1.564842E-2</v>
      </c>
      <c r="C4955" s="15">
        <v>9.0784400000000001E-3</v>
      </c>
    </row>
    <row r="4956" spans="1:3" x14ac:dyDescent="0.45">
      <c r="A4956" s="11">
        <v>66.27</v>
      </c>
      <c r="B4956" s="14">
        <v>1.5666590000000001E-2</v>
      </c>
      <c r="C4956" s="15">
        <v>9.0878799999999996E-3</v>
      </c>
    </row>
    <row r="4957" spans="1:3" x14ac:dyDescent="0.45">
      <c r="A4957" s="11">
        <v>66.28</v>
      </c>
      <c r="B4957" s="14">
        <v>1.5684759999999999E-2</v>
      </c>
      <c r="C4957" s="15">
        <v>9.0973200000000008E-3</v>
      </c>
    </row>
    <row r="4958" spans="1:3" x14ac:dyDescent="0.45">
      <c r="A4958" s="11">
        <v>66.290000000000006</v>
      </c>
      <c r="B4958" s="14">
        <v>1.570293E-2</v>
      </c>
      <c r="C4958" s="15">
        <v>9.1067600000000002E-3</v>
      </c>
    </row>
    <row r="4959" spans="1:3" x14ac:dyDescent="0.45">
      <c r="A4959" s="11">
        <v>66.3</v>
      </c>
      <c r="B4959" s="14">
        <v>1.5721099999999998E-2</v>
      </c>
      <c r="C4959" s="15">
        <v>9.1161999999999997E-3</v>
      </c>
    </row>
    <row r="4960" spans="1:3" x14ac:dyDescent="0.45">
      <c r="A4960" s="11">
        <v>66.31</v>
      </c>
      <c r="B4960" s="14">
        <v>1.573927E-2</v>
      </c>
      <c r="C4960" s="15">
        <v>9.1256400000000008E-3</v>
      </c>
    </row>
    <row r="4961" spans="1:3" x14ac:dyDescent="0.45">
      <c r="A4961" s="11">
        <v>66.319999999999993</v>
      </c>
      <c r="B4961" s="14">
        <v>1.5757440000000001E-2</v>
      </c>
      <c r="C4961" s="15">
        <v>9.1350800000000003E-3</v>
      </c>
    </row>
    <row r="4962" spans="1:3" x14ac:dyDescent="0.45">
      <c r="A4962" s="11">
        <v>66.33</v>
      </c>
      <c r="B4962" s="14">
        <v>1.5775609999999999E-2</v>
      </c>
      <c r="C4962" s="15">
        <v>9.1445199999999997E-3</v>
      </c>
    </row>
    <row r="4963" spans="1:3" x14ac:dyDescent="0.45">
      <c r="A4963" s="11">
        <v>66.34</v>
      </c>
      <c r="B4963" s="14">
        <v>1.579378E-2</v>
      </c>
      <c r="C4963" s="15">
        <v>9.1539599999999992E-3</v>
      </c>
    </row>
    <row r="4964" spans="1:3" x14ac:dyDescent="0.45">
      <c r="A4964" s="11">
        <v>66.349999999999994</v>
      </c>
      <c r="B4964" s="14">
        <v>1.5811950000000002E-2</v>
      </c>
      <c r="C4964" s="15">
        <v>9.1634000000000004E-3</v>
      </c>
    </row>
    <row r="4965" spans="1:3" x14ac:dyDescent="0.45">
      <c r="A4965" s="11">
        <v>66.36</v>
      </c>
      <c r="B4965" s="14">
        <v>1.583012E-2</v>
      </c>
      <c r="C4965" s="15">
        <v>9.1728399999999998E-3</v>
      </c>
    </row>
    <row r="4966" spans="1:3" x14ac:dyDescent="0.45">
      <c r="A4966" s="11">
        <v>66.37</v>
      </c>
      <c r="B4966" s="14">
        <v>1.5848290000000001E-2</v>
      </c>
      <c r="C4966" s="15">
        <v>9.1822799999999993E-3</v>
      </c>
    </row>
    <row r="4967" spans="1:3" x14ac:dyDescent="0.45">
      <c r="A4967" s="11">
        <v>66.38</v>
      </c>
      <c r="B4967" s="14">
        <v>1.5866459999999999E-2</v>
      </c>
      <c r="C4967" s="15">
        <v>9.1917200000000004E-3</v>
      </c>
    </row>
    <row r="4968" spans="1:3" x14ac:dyDescent="0.45">
      <c r="A4968" s="11">
        <v>66.39</v>
      </c>
      <c r="B4968" s="14">
        <v>1.588463E-2</v>
      </c>
      <c r="C4968" s="15">
        <v>9.2011599999999999E-3</v>
      </c>
    </row>
    <row r="4969" spans="1:3" x14ac:dyDescent="0.45">
      <c r="A4969" s="11">
        <v>66.400000000000006</v>
      </c>
      <c r="B4969" s="14">
        <v>1.5902800000000002E-2</v>
      </c>
      <c r="C4969" s="15">
        <v>9.2105999999999993E-3</v>
      </c>
    </row>
    <row r="4970" spans="1:3" x14ac:dyDescent="0.45">
      <c r="A4970" s="11">
        <v>66.41</v>
      </c>
      <c r="B4970" s="14">
        <v>1.592097E-2</v>
      </c>
      <c r="C4970" s="15">
        <v>9.2200400000000005E-3</v>
      </c>
    </row>
    <row r="4971" spans="1:3" x14ac:dyDescent="0.45">
      <c r="A4971" s="11">
        <v>66.42</v>
      </c>
      <c r="B4971" s="14">
        <v>1.5939140000000001E-2</v>
      </c>
      <c r="C4971" s="15">
        <v>9.22948E-3</v>
      </c>
    </row>
    <row r="4972" spans="1:3" x14ac:dyDescent="0.45">
      <c r="A4972" s="11">
        <v>66.430000000000007</v>
      </c>
      <c r="B4972" s="14">
        <v>1.5957309999999999E-2</v>
      </c>
      <c r="C4972" s="15">
        <v>9.2389199999999994E-3</v>
      </c>
    </row>
    <row r="4973" spans="1:3" x14ac:dyDescent="0.45">
      <c r="A4973" s="11">
        <v>66.44</v>
      </c>
      <c r="B4973" s="14">
        <v>1.597548E-2</v>
      </c>
      <c r="C4973" s="15">
        <v>9.2483600000000006E-3</v>
      </c>
    </row>
    <row r="4974" spans="1:3" x14ac:dyDescent="0.45">
      <c r="A4974" s="11">
        <v>66.45</v>
      </c>
      <c r="B4974" s="14">
        <v>1.5993650000000002E-2</v>
      </c>
      <c r="C4974" s="15">
        <v>9.2578000000000001E-3</v>
      </c>
    </row>
    <row r="4975" spans="1:3" x14ac:dyDescent="0.45">
      <c r="A4975" s="11">
        <v>66.459999999999994</v>
      </c>
      <c r="B4975" s="14">
        <v>1.601182E-2</v>
      </c>
      <c r="C4975" s="15">
        <v>9.2672399999999995E-3</v>
      </c>
    </row>
    <row r="4976" spans="1:3" x14ac:dyDescent="0.45">
      <c r="A4976" s="11">
        <v>66.47</v>
      </c>
      <c r="B4976" s="14">
        <v>1.6029990000000001E-2</v>
      </c>
      <c r="C4976" s="15">
        <v>9.2766800000000007E-3</v>
      </c>
    </row>
    <row r="4977" spans="1:3" x14ac:dyDescent="0.45">
      <c r="A4977" s="11">
        <v>66.48</v>
      </c>
      <c r="B4977" s="14">
        <v>1.6048159999999999E-2</v>
      </c>
      <c r="C4977" s="15">
        <v>9.2861200000000001E-3</v>
      </c>
    </row>
    <row r="4978" spans="1:3" x14ac:dyDescent="0.45">
      <c r="A4978" s="11">
        <v>66.489999999999995</v>
      </c>
      <c r="B4978" s="14">
        <v>1.606633E-2</v>
      </c>
      <c r="C4978" s="15">
        <v>9.2955599999999996E-3</v>
      </c>
    </row>
    <row r="4979" spans="1:3" x14ac:dyDescent="0.45">
      <c r="A4979" s="11">
        <v>66.5</v>
      </c>
      <c r="B4979" s="14">
        <v>1.6084500000000002E-2</v>
      </c>
      <c r="C4979" s="15">
        <v>9.3050000000000008E-3</v>
      </c>
    </row>
    <row r="4980" spans="1:3" x14ac:dyDescent="0.45">
      <c r="A4980" s="11">
        <v>66.510000000000005</v>
      </c>
      <c r="B4980" s="14">
        <v>1.6102669999999999E-2</v>
      </c>
      <c r="C4980" s="15">
        <v>9.3144400000000002E-3</v>
      </c>
    </row>
    <row r="4981" spans="1:3" x14ac:dyDescent="0.45">
      <c r="A4981" s="11">
        <v>66.52</v>
      </c>
      <c r="B4981" s="14">
        <v>1.6120840000000001E-2</v>
      </c>
      <c r="C4981" s="15">
        <v>9.3238799999999997E-3</v>
      </c>
    </row>
    <row r="4982" spans="1:3" x14ac:dyDescent="0.45">
      <c r="A4982" s="11">
        <v>66.53</v>
      </c>
      <c r="B4982" s="14">
        <v>1.6139009999999999E-2</v>
      </c>
      <c r="C4982" s="15">
        <v>9.3333200000000009E-3</v>
      </c>
    </row>
    <row r="4983" spans="1:3" x14ac:dyDescent="0.45">
      <c r="A4983" s="11">
        <v>66.540000000000006</v>
      </c>
      <c r="B4983" s="14">
        <v>1.615718E-2</v>
      </c>
      <c r="C4983" s="15">
        <v>9.3427600000000003E-3</v>
      </c>
    </row>
    <row r="4984" spans="1:3" x14ac:dyDescent="0.45">
      <c r="A4984" s="11">
        <v>66.55</v>
      </c>
      <c r="B4984" s="14">
        <v>1.6175350000000002E-2</v>
      </c>
      <c r="C4984" s="15">
        <v>9.3521999999999997E-3</v>
      </c>
    </row>
    <row r="4985" spans="1:3" x14ac:dyDescent="0.45">
      <c r="A4985" s="11">
        <v>66.56</v>
      </c>
      <c r="B4985" s="14">
        <v>1.6193519999999999E-2</v>
      </c>
      <c r="C4985" s="15">
        <v>9.3616399999999992E-3</v>
      </c>
    </row>
    <row r="4986" spans="1:3" x14ac:dyDescent="0.45">
      <c r="A4986" s="11">
        <v>66.569999999999993</v>
      </c>
      <c r="B4986" s="14">
        <v>1.6211690000000001E-2</v>
      </c>
      <c r="C4986" s="15">
        <v>9.3710800000000004E-3</v>
      </c>
    </row>
    <row r="4987" spans="1:3" x14ac:dyDescent="0.45">
      <c r="A4987" s="11">
        <v>66.58</v>
      </c>
      <c r="B4987" s="14">
        <v>1.6229859999999999E-2</v>
      </c>
      <c r="C4987" s="15">
        <v>9.3805199999999998E-3</v>
      </c>
    </row>
    <row r="4988" spans="1:3" x14ac:dyDescent="0.45">
      <c r="A4988" s="11">
        <v>66.59</v>
      </c>
      <c r="B4988" s="14">
        <v>1.624803E-2</v>
      </c>
      <c r="C4988" s="15">
        <v>9.3899599999999993E-3</v>
      </c>
    </row>
    <row r="4989" spans="1:3" x14ac:dyDescent="0.45">
      <c r="A4989" s="11">
        <v>66.599999999999994</v>
      </c>
      <c r="B4989" s="14">
        <v>1.6266200000000001E-2</v>
      </c>
      <c r="C4989" s="15">
        <v>9.3994000000000005E-3</v>
      </c>
    </row>
    <row r="4990" spans="1:3" x14ac:dyDescent="0.45">
      <c r="A4990" s="11">
        <v>66.61</v>
      </c>
      <c r="B4990" s="14">
        <v>1.6284369999999999E-2</v>
      </c>
      <c r="C4990" s="15">
        <v>9.4088399999999999E-3</v>
      </c>
    </row>
    <row r="4991" spans="1:3" x14ac:dyDescent="0.45">
      <c r="A4991" s="11">
        <v>66.62</v>
      </c>
      <c r="B4991" s="14">
        <v>1.6302540000000001E-2</v>
      </c>
      <c r="C4991" s="15">
        <v>9.4182799999999994E-3</v>
      </c>
    </row>
    <row r="4992" spans="1:3" x14ac:dyDescent="0.45">
      <c r="A4992" s="11">
        <v>66.63</v>
      </c>
      <c r="B4992" s="14">
        <v>1.6320709999999999E-2</v>
      </c>
      <c r="C4992" s="15">
        <v>9.4277200000000005E-3</v>
      </c>
    </row>
    <row r="4993" spans="1:3" x14ac:dyDescent="0.45">
      <c r="A4993" s="11">
        <v>66.64</v>
      </c>
      <c r="B4993" s="14">
        <v>1.633888E-2</v>
      </c>
      <c r="C4993" s="15">
        <v>9.43716E-3</v>
      </c>
    </row>
    <row r="4994" spans="1:3" x14ac:dyDescent="0.45">
      <c r="A4994" s="11">
        <v>66.650000000000006</v>
      </c>
      <c r="B4994" s="14">
        <v>1.6357050000000001E-2</v>
      </c>
      <c r="C4994" s="15">
        <v>9.4465999999999994E-3</v>
      </c>
    </row>
    <row r="4995" spans="1:3" x14ac:dyDescent="0.45">
      <c r="A4995" s="11">
        <v>66.66</v>
      </c>
      <c r="B4995" s="14">
        <v>1.6375219999999999E-2</v>
      </c>
      <c r="C4995" s="15">
        <v>9.4560400000000006E-3</v>
      </c>
    </row>
    <row r="4996" spans="1:3" x14ac:dyDescent="0.45">
      <c r="A4996" s="11">
        <v>66.67</v>
      </c>
      <c r="B4996" s="14">
        <v>1.6393390000000001E-2</v>
      </c>
      <c r="C4996" s="15">
        <v>9.4654800000000001E-3</v>
      </c>
    </row>
    <row r="4997" spans="1:3" x14ac:dyDescent="0.45">
      <c r="A4997" s="11">
        <v>66.680000000000007</v>
      </c>
      <c r="B4997" s="14">
        <v>1.6411559999999999E-2</v>
      </c>
      <c r="C4997" s="15">
        <v>9.4749199999999995E-3</v>
      </c>
    </row>
    <row r="4998" spans="1:3" x14ac:dyDescent="0.45">
      <c r="A4998" s="11">
        <v>66.69</v>
      </c>
      <c r="B4998" s="14">
        <v>1.642973E-2</v>
      </c>
      <c r="C4998" s="15">
        <v>9.4843600000000007E-3</v>
      </c>
    </row>
    <row r="4999" spans="1:3" x14ac:dyDescent="0.45">
      <c r="A4999" s="11">
        <v>66.7</v>
      </c>
      <c r="B4999" s="14">
        <v>1.6447900000000001E-2</v>
      </c>
      <c r="C4999" s="15">
        <v>9.4938000000000002E-3</v>
      </c>
    </row>
    <row r="5000" spans="1:3" x14ac:dyDescent="0.45">
      <c r="A5000" s="11">
        <v>66.709999999999994</v>
      </c>
      <c r="B5000" s="14">
        <v>1.6466069999999999E-2</v>
      </c>
      <c r="C5000" s="15">
        <v>9.5032399999999996E-3</v>
      </c>
    </row>
    <row r="5001" spans="1:3" x14ac:dyDescent="0.45">
      <c r="A5001" s="11">
        <v>66.72</v>
      </c>
      <c r="B5001" s="14">
        <v>1.6484240000000001E-2</v>
      </c>
      <c r="C5001" s="15">
        <v>9.5126800000000008E-3</v>
      </c>
    </row>
    <row r="5002" spans="1:3" x14ac:dyDescent="0.45">
      <c r="A5002" s="11">
        <v>66.73</v>
      </c>
      <c r="B5002" s="14">
        <v>1.6502409999999999E-2</v>
      </c>
      <c r="C5002" s="15">
        <v>9.5221200000000002E-3</v>
      </c>
    </row>
    <row r="5003" spans="1:3" x14ac:dyDescent="0.45">
      <c r="A5003" s="11">
        <v>66.739999999999995</v>
      </c>
      <c r="B5003" s="14">
        <v>1.652058E-2</v>
      </c>
      <c r="C5003" s="15">
        <v>9.5315599999999997E-3</v>
      </c>
    </row>
    <row r="5004" spans="1:3" x14ac:dyDescent="0.45">
      <c r="A5004" s="11">
        <v>66.75</v>
      </c>
      <c r="B5004" s="14">
        <v>1.6538750000000001E-2</v>
      </c>
      <c r="C5004" s="15">
        <v>9.5409999999999991E-3</v>
      </c>
    </row>
    <row r="5005" spans="1:3" x14ac:dyDescent="0.45">
      <c r="A5005" s="11">
        <v>66.760000000000005</v>
      </c>
      <c r="B5005" s="14">
        <v>1.6556919999999999E-2</v>
      </c>
      <c r="C5005" s="15">
        <v>9.5504400000000003E-3</v>
      </c>
    </row>
    <row r="5006" spans="1:3" x14ac:dyDescent="0.45">
      <c r="A5006" s="11">
        <v>66.77</v>
      </c>
      <c r="B5006" s="14">
        <v>1.6575090000000001E-2</v>
      </c>
      <c r="C5006" s="15">
        <v>9.5598799999999998E-3</v>
      </c>
    </row>
    <row r="5007" spans="1:3" x14ac:dyDescent="0.45">
      <c r="A5007" s="11">
        <v>66.78</v>
      </c>
      <c r="B5007" s="14">
        <v>1.6593259999999999E-2</v>
      </c>
      <c r="C5007" s="15">
        <v>9.5693199999999992E-3</v>
      </c>
    </row>
    <row r="5008" spans="1:3" x14ac:dyDescent="0.45">
      <c r="A5008" s="11">
        <v>66.790000000000006</v>
      </c>
      <c r="B5008" s="14">
        <v>1.661143E-2</v>
      </c>
      <c r="C5008" s="15">
        <v>9.5787600000000004E-3</v>
      </c>
    </row>
    <row r="5009" spans="1:3" x14ac:dyDescent="0.45">
      <c r="A5009" s="11">
        <v>66.8</v>
      </c>
      <c r="B5009" s="14">
        <v>1.6629600000000001E-2</v>
      </c>
      <c r="C5009" s="15">
        <v>9.5881999999999998E-3</v>
      </c>
    </row>
    <row r="5010" spans="1:3" x14ac:dyDescent="0.45">
      <c r="A5010" s="11">
        <v>66.81</v>
      </c>
      <c r="B5010" s="14">
        <v>1.6647769999999999E-2</v>
      </c>
      <c r="C5010" s="15">
        <v>9.5976399999999993E-3</v>
      </c>
    </row>
    <row r="5011" spans="1:3" x14ac:dyDescent="0.45">
      <c r="A5011" s="11">
        <v>66.819999999999993</v>
      </c>
      <c r="B5011" s="14">
        <v>1.6665940000000001E-2</v>
      </c>
      <c r="C5011" s="15">
        <v>9.6070800000000005E-3</v>
      </c>
    </row>
    <row r="5012" spans="1:3" x14ac:dyDescent="0.45">
      <c r="A5012" s="11">
        <v>66.83</v>
      </c>
      <c r="B5012" s="14">
        <v>1.6684109999999999E-2</v>
      </c>
      <c r="C5012" s="15">
        <v>9.6165199999999999E-3</v>
      </c>
    </row>
    <row r="5013" spans="1:3" x14ac:dyDescent="0.45">
      <c r="A5013" s="11">
        <v>66.84</v>
      </c>
      <c r="B5013" s="14">
        <v>1.670228E-2</v>
      </c>
      <c r="C5013" s="15">
        <v>9.6259599999999994E-3</v>
      </c>
    </row>
    <row r="5014" spans="1:3" x14ac:dyDescent="0.45">
      <c r="A5014" s="11">
        <v>66.849999999999994</v>
      </c>
      <c r="B5014" s="14">
        <v>1.6720450000000001E-2</v>
      </c>
      <c r="C5014" s="15">
        <v>9.6354000000000006E-3</v>
      </c>
    </row>
    <row r="5015" spans="1:3" x14ac:dyDescent="0.45">
      <c r="A5015" s="11">
        <v>66.86</v>
      </c>
      <c r="B5015" s="14">
        <v>1.6738619999999999E-2</v>
      </c>
      <c r="C5015" s="15">
        <v>9.64484E-3</v>
      </c>
    </row>
    <row r="5016" spans="1:3" x14ac:dyDescent="0.45">
      <c r="A5016" s="11">
        <v>66.87</v>
      </c>
      <c r="B5016" s="14">
        <v>1.6756790000000001E-2</v>
      </c>
      <c r="C5016" s="15">
        <v>9.6542799999999995E-3</v>
      </c>
    </row>
    <row r="5017" spans="1:3" x14ac:dyDescent="0.45">
      <c r="A5017" s="11">
        <v>66.88</v>
      </c>
      <c r="B5017" s="14">
        <v>1.6774959999999998E-2</v>
      </c>
      <c r="C5017" s="15">
        <v>9.6637200000000006E-3</v>
      </c>
    </row>
    <row r="5018" spans="1:3" x14ac:dyDescent="0.45">
      <c r="A5018" s="11">
        <v>66.89</v>
      </c>
      <c r="B5018" s="14">
        <v>1.679313E-2</v>
      </c>
      <c r="C5018" s="15">
        <v>9.6731600000000001E-3</v>
      </c>
    </row>
    <row r="5019" spans="1:3" x14ac:dyDescent="0.45">
      <c r="A5019" s="11">
        <v>66.900000000000006</v>
      </c>
      <c r="B5019" s="14">
        <v>1.6811300000000001E-2</v>
      </c>
      <c r="C5019" s="15">
        <v>9.6825999999999995E-3</v>
      </c>
    </row>
    <row r="5020" spans="1:3" x14ac:dyDescent="0.45">
      <c r="A5020" s="11">
        <v>66.91</v>
      </c>
      <c r="B5020" s="14">
        <v>1.6829469999999999E-2</v>
      </c>
      <c r="C5020" s="15">
        <v>9.6920400000000007E-3</v>
      </c>
    </row>
    <row r="5021" spans="1:3" x14ac:dyDescent="0.45">
      <c r="A5021" s="11">
        <v>66.92</v>
      </c>
      <c r="B5021" s="14">
        <v>1.6847640000000001E-2</v>
      </c>
      <c r="C5021" s="15">
        <v>9.7014800000000002E-3</v>
      </c>
    </row>
    <row r="5022" spans="1:3" x14ac:dyDescent="0.45">
      <c r="A5022" s="11">
        <v>66.930000000000007</v>
      </c>
      <c r="B5022" s="14">
        <v>1.6865809999999998E-2</v>
      </c>
      <c r="C5022" s="15">
        <v>9.7109199999999996E-3</v>
      </c>
    </row>
    <row r="5023" spans="1:3" x14ac:dyDescent="0.45">
      <c r="A5023" s="11">
        <v>66.94</v>
      </c>
      <c r="B5023" s="14">
        <v>1.688398E-2</v>
      </c>
      <c r="C5023" s="15">
        <v>9.7203600000000008E-3</v>
      </c>
    </row>
    <row r="5024" spans="1:3" x14ac:dyDescent="0.45">
      <c r="A5024" s="11">
        <v>66.95</v>
      </c>
      <c r="B5024" s="14">
        <v>1.6902150000000001E-2</v>
      </c>
      <c r="C5024" s="15">
        <v>9.7298000000000003E-3</v>
      </c>
    </row>
    <row r="5025" spans="1:3" x14ac:dyDescent="0.45">
      <c r="A5025" s="11">
        <v>66.959999999999994</v>
      </c>
      <c r="B5025" s="14">
        <v>1.6920319999999999E-2</v>
      </c>
      <c r="C5025" s="15">
        <v>9.7392399999999997E-3</v>
      </c>
    </row>
    <row r="5026" spans="1:3" x14ac:dyDescent="0.45">
      <c r="A5026" s="11">
        <v>66.97</v>
      </c>
      <c r="B5026" s="14">
        <v>1.693849E-2</v>
      </c>
      <c r="C5026" s="15">
        <v>9.7486799999999992E-3</v>
      </c>
    </row>
    <row r="5027" spans="1:3" x14ac:dyDescent="0.45">
      <c r="A5027" s="11">
        <v>66.98</v>
      </c>
      <c r="B5027" s="14">
        <v>1.6956659999999998E-2</v>
      </c>
      <c r="C5027" s="15">
        <v>9.7581200000000003E-3</v>
      </c>
    </row>
    <row r="5028" spans="1:3" x14ac:dyDescent="0.45">
      <c r="A5028" s="11">
        <v>66.989999999999995</v>
      </c>
      <c r="B5028" s="14">
        <v>1.697483E-2</v>
      </c>
      <c r="C5028" s="15">
        <v>9.7675599999999998E-3</v>
      </c>
    </row>
    <row r="5029" spans="1:3" x14ac:dyDescent="0.45">
      <c r="A5029" s="11">
        <v>67</v>
      </c>
      <c r="B5029" s="14">
        <v>1.6993000000000001E-2</v>
      </c>
      <c r="C5029" s="15">
        <v>9.7769999999999992E-3</v>
      </c>
    </row>
    <row r="5030" spans="1:3" x14ac:dyDescent="0.45">
      <c r="A5030" s="11">
        <v>67.010000000000005</v>
      </c>
      <c r="B5030" s="14">
        <v>1.7013190000000001E-2</v>
      </c>
      <c r="C5030" s="15">
        <v>9.7874499999999996E-3</v>
      </c>
    </row>
    <row r="5031" spans="1:3" x14ac:dyDescent="0.45">
      <c r="A5031" s="11">
        <v>67.02</v>
      </c>
      <c r="B5031" s="14">
        <v>1.7033380000000001E-2</v>
      </c>
      <c r="C5031" s="15">
        <v>9.7979E-3</v>
      </c>
    </row>
    <row r="5032" spans="1:3" x14ac:dyDescent="0.45">
      <c r="A5032" s="11">
        <v>67.03</v>
      </c>
      <c r="B5032" s="14">
        <v>1.7053570000000001E-2</v>
      </c>
      <c r="C5032" s="15">
        <v>9.8083500000000004E-3</v>
      </c>
    </row>
    <row r="5033" spans="1:3" x14ac:dyDescent="0.45">
      <c r="A5033" s="11">
        <v>67.040000000000006</v>
      </c>
      <c r="B5033" s="14">
        <v>1.707376E-2</v>
      </c>
      <c r="C5033" s="15">
        <v>9.8188000000000008E-3</v>
      </c>
    </row>
    <row r="5034" spans="1:3" x14ac:dyDescent="0.45">
      <c r="A5034" s="11">
        <v>67.05</v>
      </c>
      <c r="B5034" s="14">
        <v>1.709395E-2</v>
      </c>
      <c r="C5034" s="15">
        <v>9.8292499999999994E-3</v>
      </c>
    </row>
    <row r="5035" spans="1:3" x14ac:dyDescent="0.45">
      <c r="A5035" s="11">
        <v>67.06</v>
      </c>
      <c r="B5035" s="14">
        <v>1.711414E-2</v>
      </c>
      <c r="C5035" s="15">
        <v>9.8396999999999998E-3</v>
      </c>
    </row>
    <row r="5036" spans="1:3" x14ac:dyDescent="0.45">
      <c r="A5036" s="11">
        <v>67.069999999999993</v>
      </c>
      <c r="B5036" s="14">
        <v>1.713433E-2</v>
      </c>
      <c r="C5036" s="15">
        <v>9.8501500000000002E-3</v>
      </c>
    </row>
    <row r="5037" spans="1:3" x14ac:dyDescent="0.45">
      <c r="A5037" s="11">
        <v>67.08</v>
      </c>
      <c r="B5037" s="14">
        <v>1.7154519999999999E-2</v>
      </c>
      <c r="C5037" s="15">
        <v>9.8606000000000006E-3</v>
      </c>
    </row>
    <row r="5038" spans="1:3" x14ac:dyDescent="0.45">
      <c r="A5038" s="11">
        <v>67.09</v>
      </c>
      <c r="B5038" s="14">
        <v>1.7174709999999999E-2</v>
      </c>
      <c r="C5038" s="15">
        <v>9.8710499999999993E-3</v>
      </c>
    </row>
    <row r="5039" spans="1:3" x14ac:dyDescent="0.45">
      <c r="A5039" s="11">
        <v>67.099999999999994</v>
      </c>
      <c r="B5039" s="14">
        <v>1.7194899999999999E-2</v>
      </c>
      <c r="C5039" s="15">
        <v>9.8814999999999997E-3</v>
      </c>
    </row>
    <row r="5040" spans="1:3" x14ac:dyDescent="0.45">
      <c r="A5040" s="11">
        <v>67.11</v>
      </c>
      <c r="B5040" s="14">
        <v>1.7215089999999999E-2</v>
      </c>
      <c r="C5040" s="15">
        <v>9.89195E-3</v>
      </c>
    </row>
    <row r="5041" spans="1:3" x14ac:dyDescent="0.45">
      <c r="A5041" s="11">
        <v>67.12</v>
      </c>
      <c r="B5041" s="14">
        <v>1.7235279999999999E-2</v>
      </c>
      <c r="C5041" s="15">
        <v>9.9024000000000004E-3</v>
      </c>
    </row>
    <row r="5042" spans="1:3" x14ac:dyDescent="0.45">
      <c r="A5042" s="11">
        <v>67.13</v>
      </c>
      <c r="B5042" s="14">
        <v>1.7255469999999998E-2</v>
      </c>
      <c r="C5042" s="15">
        <v>9.9128500000000008E-3</v>
      </c>
    </row>
    <row r="5043" spans="1:3" x14ac:dyDescent="0.45">
      <c r="A5043" s="11">
        <v>67.14</v>
      </c>
      <c r="B5043" s="14">
        <v>1.7275660000000002E-2</v>
      </c>
      <c r="C5043" s="15">
        <v>9.9232999999999995E-3</v>
      </c>
    </row>
    <row r="5044" spans="1:3" x14ac:dyDescent="0.45">
      <c r="A5044" s="11">
        <v>67.150000000000006</v>
      </c>
      <c r="B5044" s="14">
        <v>1.7295850000000002E-2</v>
      </c>
      <c r="C5044" s="15">
        <v>9.9337499999999999E-3</v>
      </c>
    </row>
    <row r="5045" spans="1:3" x14ac:dyDescent="0.45">
      <c r="A5045" s="11">
        <v>67.16</v>
      </c>
      <c r="B5045" s="14">
        <v>1.7316040000000001E-2</v>
      </c>
      <c r="C5045" s="15">
        <v>9.9442000000000003E-3</v>
      </c>
    </row>
    <row r="5046" spans="1:3" x14ac:dyDescent="0.45">
      <c r="A5046" s="11">
        <v>67.17</v>
      </c>
      <c r="B5046" s="14">
        <v>1.7336230000000001E-2</v>
      </c>
      <c r="C5046" s="15">
        <v>9.9546500000000007E-3</v>
      </c>
    </row>
    <row r="5047" spans="1:3" x14ac:dyDescent="0.45">
      <c r="A5047" s="11">
        <v>67.180000000000007</v>
      </c>
      <c r="B5047" s="14">
        <v>1.7356420000000001E-2</v>
      </c>
      <c r="C5047" s="15">
        <v>9.9650999999999993E-3</v>
      </c>
    </row>
    <row r="5048" spans="1:3" x14ac:dyDescent="0.45">
      <c r="A5048" s="11">
        <v>67.19</v>
      </c>
      <c r="B5048" s="14">
        <v>1.7376610000000001E-2</v>
      </c>
      <c r="C5048" s="15">
        <v>9.9755499999999997E-3</v>
      </c>
    </row>
    <row r="5049" spans="1:3" x14ac:dyDescent="0.45">
      <c r="A5049" s="11">
        <v>67.2</v>
      </c>
      <c r="B5049" s="14">
        <v>1.73968E-2</v>
      </c>
      <c r="C5049" s="15">
        <v>9.9860000000000001E-3</v>
      </c>
    </row>
    <row r="5050" spans="1:3" x14ac:dyDescent="0.45">
      <c r="A5050" s="11">
        <v>67.209999999999994</v>
      </c>
      <c r="B5050" s="14">
        <v>1.741699E-2</v>
      </c>
      <c r="C5050" s="15">
        <v>9.9964500000000005E-3</v>
      </c>
    </row>
    <row r="5051" spans="1:3" x14ac:dyDescent="0.45">
      <c r="A5051" s="11">
        <v>67.22</v>
      </c>
      <c r="B5051" s="14">
        <v>1.743718E-2</v>
      </c>
      <c r="C5051" s="15">
        <v>1.0006900000000001E-2</v>
      </c>
    </row>
    <row r="5052" spans="1:3" x14ac:dyDescent="0.45">
      <c r="A5052" s="11">
        <v>67.23</v>
      </c>
      <c r="B5052" s="14">
        <v>1.745737E-2</v>
      </c>
      <c r="C5052" s="15">
        <v>1.001735E-2</v>
      </c>
    </row>
    <row r="5053" spans="1:3" x14ac:dyDescent="0.45">
      <c r="A5053" s="11">
        <v>67.239999999999995</v>
      </c>
      <c r="B5053" s="14">
        <v>1.747756E-2</v>
      </c>
      <c r="C5053" s="15">
        <v>1.00278E-2</v>
      </c>
    </row>
    <row r="5054" spans="1:3" x14ac:dyDescent="0.45">
      <c r="A5054" s="11">
        <v>67.25</v>
      </c>
      <c r="B5054" s="14">
        <v>1.7497749999999999E-2</v>
      </c>
      <c r="C5054" s="15">
        <v>1.003825E-2</v>
      </c>
    </row>
    <row r="5055" spans="1:3" x14ac:dyDescent="0.45">
      <c r="A5055" s="11">
        <v>67.260000000000005</v>
      </c>
      <c r="B5055" s="14">
        <v>1.7517939999999999E-2</v>
      </c>
      <c r="C5055" s="15">
        <v>1.0048700000000001E-2</v>
      </c>
    </row>
    <row r="5056" spans="1:3" x14ac:dyDescent="0.45">
      <c r="A5056" s="11">
        <v>67.27</v>
      </c>
      <c r="B5056" s="14">
        <v>1.7538129999999999E-2</v>
      </c>
      <c r="C5056" s="15">
        <v>1.0059149999999999E-2</v>
      </c>
    </row>
    <row r="5057" spans="1:3" x14ac:dyDescent="0.45">
      <c r="A5057" s="11">
        <v>67.28</v>
      </c>
      <c r="B5057" s="14">
        <v>1.7558319999999999E-2</v>
      </c>
      <c r="C5057" s="15">
        <v>1.00696E-2</v>
      </c>
    </row>
    <row r="5058" spans="1:3" x14ac:dyDescent="0.45">
      <c r="A5058" s="11">
        <v>67.290000000000006</v>
      </c>
      <c r="B5058" s="14">
        <v>1.7578509999999999E-2</v>
      </c>
      <c r="C5058" s="15">
        <v>1.008005E-2</v>
      </c>
    </row>
    <row r="5059" spans="1:3" x14ac:dyDescent="0.45">
      <c r="A5059" s="11">
        <v>67.3</v>
      </c>
      <c r="B5059" s="14">
        <v>1.7598699999999998E-2</v>
      </c>
      <c r="C5059" s="15">
        <v>1.0090500000000001E-2</v>
      </c>
    </row>
    <row r="5060" spans="1:3" x14ac:dyDescent="0.45">
      <c r="A5060" s="11">
        <v>67.31</v>
      </c>
      <c r="B5060" s="14">
        <v>1.7618890000000002E-2</v>
      </c>
      <c r="C5060" s="15">
        <v>1.0100949999999999E-2</v>
      </c>
    </row>
    <row r="5061" spans="1:3" x14ac:dyDescent="0.45">
      <c r="A5061" s="11">
        <v>67.319999999999993</v>
      </c>
      <c r="B5061" s="14">
        <v>1.7639080000000001E-2</v>
      </c>
      <c r="C5061" s="15">
        <v>1.01114E-2</v>
      </c>
    </row>
    <row r="5062" spans="1:3" x14ac:dyDescent="0.45">
      <c r="A5062" s="11">
        <v>67.33</v>
      </c>
      <c r="B5062" s="14">
        <v>1.7659270000000001E-2</v>
      </c>
      <c r="C5062" s="15">
        <v>1.012185E-2</v>
      </c>
    </row>
    <row r="5063" spans="1:3" x14ac:dyDescent="0.45">
      <c r="A5063" s="11">
        <v>67.34</v>
      </c>
      <c r="B5063" s="14">
        <v>1.7679460000000001E-2</v>
      </c>
      <c r="C5063" s="15">
        <v>1.01323E-2</v>
      </c>
    </row>
    <row r="5064" spans="1:3" x14ac:dyDescent="0.45">
      <c r="A5064" s="11">
        <v>67.349999999999994</v>
      </c>
      <c r="B5064" s="14">
        <v>1.7699650000000001E-2</v>
      </c>
      <c r="C5064" s="15">
        <v>1.0142750000000001E-2</v>
      </c>
    </row>
    <row r="5065" spans="1:3" x14ac:dyDescent="0.45">
      <c r="A5065" s="11">
        <v>67.36</v>
      </c>
      <c r="B5065" s="14">
        <v>1.7719840000000001E-2</v>
      </c>
      <c r="C5065" s="15">
        <v>1.0153199999999999E-2</v>
      </c>
    </row>
    <row r="5066" spans="1:3" x14ac:dyDescent="0.45">
      <c r="A5066" s="11">
        <v>67.37</v>
      </c>
      <c r="B5066" s="14">
        <v>1.774003E-2</v>
      </c>
      <c r="C5066" s="15">
        <v>1.016365E-2</v>
      </c>
    </row>
    <row r="5067" spans="1:3" x14ac:dyDescent="0.45">
      <c r="A5067" s="11">
        <v>67.38</v>
      </c>
      <c r="B5067" s="14">
        <v>1.776022E-2</v>
      </c>
      <c r="C5067" s="15">
        <v>1.01741E-2</v>
      </c>
    </row>
    <row r="5068" spans="1:3" x14ac:dyDescent="0.45">
      <c r="A5068" s="11">
        <v>67.39</v>
      </c>
      <c r="B5068" s="14">
        <v>1.778041E-2</v>
      </c>
      <c r="C5068" s="15">
        <v>1.0184550000000001E-2</v>
      </c>
    </row>
    <row r="5069" spans="1:3" x14ac:dyDescent="0.45">
      <c r="A5069" s="11">
        <v>67.400000000000006</v>
      </c>
      <c r="B5069" s="14">
        <v>1.78006E-2</v>
      </c>
      <c r="C5069" s="15">
        <v>1.0194999999999999E-2</v>
      </c>
    </row>
    <row r="5070" spans="1:3" x14ac:dyDescent="0.45">
      <c r="A5070" s="11">
        <v>67.41</v>
      </c>
      <c r="B5070" s="14">
        <v>1.782079E-2</v>
      </c>
      <c r="C5070" s="15">
        <v>1.020545E-2</v>
      </c>
    </row>
    <row r="5071" spans="1:3" x14ac:dyDescent="0.45">
      <c r="A5071" s="11">
        <v>67.42</v>
      </c>
      <c r="B5071" s="14">
        <v>1.7840979999999999E-2</v>
      </c>
      <c r="C5071" s="15">
        <v>1.02159E-2</v>
      </c>
    </row>
    <row r="5072" spans="1:3" x14ac:dyDescent="0.45">
      <c r="A5072" s="11">
        <v>67.430000000000007</v>
      </c>
      <c r="B5072" s="14">
        <v>1.7861169999999999E-2</v>
      </c>
      <c r="C5072" s="15">
        <v>1.022635E-2</v>
      </c>
    </row>
    <row r="5073" spans="1:3" x14ac:dyDescent="0.45">
      <c r="A5073" s="11">
        <v>67.44</v>
      </c>
      <c r="B5073" s="14">
        <v>1.7881359999999999E-2</v>
      </c>
      <c r="C5073" s="15">
        <v>1.0236800000000001E-2</v>
      </c>
    </row>
    <row r="5074" spans="1:3" x14ac:dyDescent="0.45">
      <c r="A5074" s="11">
        <v>67.45</v>
      </c>
      <c r="B5074" s="14">
        <v>1.7901549999999999E-2</v>
      </c>
      <c r="C5074" s="15">
        <v>1.0247249999999999E-2</v>
      </c>
    </row>
    <row r="5075" spans="1:3" x14ac:dyDescent="0.45">
      <c r="A5075" s="11">
        <v>67.459999999999994</v>
      </c>
      <c r="B5075" s="14">
        <v>1.7921739999999999E-2</v>
      </c>
      <c r="C5075" s="15">
        <v>1.02577E-2</v>
      </c>
    </row>
    <row r="5076" spans="1:3" x14ac:dyDescent="0.45">
      <c r="A5076" s="11">
        <v>67.47</v>
      </c>
      <c r="B5076" s="14">
        <v>1.7941929999999998E-2</v>
      </c>
      <c r="C5076" s="15">
        <v>1.026815E-2</v>
      </c>
    </row>
    <row r="5077" spans="1:3" x14ac:dyDescent="0.45">
      <c r="A5077" s="11">
        <v>67.48</v>
      </c>
      <c r="B5077" s="14">
        <v>1.7962120000000002E-2</v>
      </c>
      <c r="C5077" s="15">
        <v>1.0278600000000001E-2</v>
      </c>
    </row>
    <row r="5078" spans="1:3" x14ac:dyDescent="0.45">
      <c r="A5078" s="11">
        <v>67.489999999999995</v>
      </c>
      <c r="B5078" s="14">
        <v>1.7982310000000001E-2</v>
      </c>
      <c r="C5078" s="15">
        <v>1.0289049999999999E-2</v>
      </c>
    </row>
    <row r="5079" spans="1:3" x14ac:dyDescent="0.45">
      <c r="A5079" s="11">
        <v>67.5</v>
      </c>
      <c r="B5079" s="14">
        <v>1.8002500000000001E-2</v>
      </c>
      <c r="C5079" s="15">
        <v>1.02995E-2</v>
      </c>
    </row>
    <row r="5080" spans="1:3" x14ac:dyDescent="0.45">
      <c r="A5080" s="11">
        <v>67.510000000000005</v>
      </c>
      <c r="B5080" s="14">
        <v>1.8022690000000001E-2</v>
      </c>
      <c r="C5080" s="15">
        <v>1.030995E-2</v>
      </c>
    </row>
    <row r="5081" spans="1:3" x14ac:dyDescent="0.45">
      <c r="A5081" s="11">
        <v>67.52</v>
      </c>
      <c r="B5081" s="14">
        <v>1.8042880000000001E-2</v>
      </c>
      <c r="C5081" s="15">
        <v>1.03204E-2</v>
      </c>
    </row>
    <row r="5082" spans="1:3" x14ac:dyDescent="0.45">
      <c r="A5082" s="11">
        <v>67.53</v>
      </c>
      <c r="B5082" s="14">
        <v>1.8063070000000001E-2</v>
      </c>
      <c r="C5082" s="15">
        <v>1.0330850000000001E-2</v>
      </c>
    </row>
    <row r="5083" spans="1:3" x14ac:dyDescent="0.45">
      <c r="A5083" s="11">
        <v>67.540000000000006</v>
      </c>
      <c r="B5083" s="14">
        <v>1.808326E-2</v>
      </c>
      <c r="C5083" s="15">
        <v>1.0341299999999999E-2</v>
      </c>
    </row>
    <row r="5084" spans="1:3" x14ac:dyDescent="0.45">
      <c r="A5084" s="11">
        <v>67.55</v>
      </c>
      <c r="B5084" s="14">
        <v>1.810345E-2</v>
      </c>
      <c r="C5084" s="15">
        <v>1.035175E-2</v>
      </c>
    </row>
    <row r="5085" spans="1:3" x14ac:dyDescent="0.45">
      <c r="A5085" s="11">
        <v>67.56</v>
      </c>
      <c r="B5085" s="14">
        <v>1.812364E-2</v>
      </c>
      <c r="C5085" s="15">
        <v>1.03622E-2</v>
      </c>
    </row>
    <row r="5086" spans="1:3" x14ac:dyDescent="0.45">
      <c r="A5086" s="11">
        <v>67.569999999999993</v>
      </c>
      <c r="B5086" s="14">
        <v>1.814383E-2</v>
      </c>
      <c r="C5086" s="15">
        <v>1.0372650000000001E-2</v>
      </c>
    </row>
    <row r="5087" spans="1:3" x14ac:dyDescent="0.45">
      <c r="A5087" s="11">
        <v>67.58</v>
      </c>
      <c r="B5087" s="14">
        <v>1.8164019999999999E-2</v>
      </c>
      <c r="C5087" s="15">
        <v>1.0383099999999999E-2</v>
      </c>
    </row>
    <row r="5088" spans="1:3" x14ac:dyDescent="0.45">
      <c r="A5088" s="11">
        <v>67.59</v>
      </c>
      <c r="B5088" s="14">
        <v>1.8184209999999999E-2</v>
      </c>
      <c r="C5088" s="15">
        <v>1.039355E-2</v>
      </c>
    </row>
    <row r="5089" spans="1:3" x14ac:dyDescent="0.45">
      <c r="A5089" s="11">
        <v>67.599999999999994</v>
      </c>
      <c r="B5089" s="14">
        <v>1.8204399999999999E-2</v>
      </c>
      <c r="C5089" s="15">
        <v>1.0404E-2</v>
      </c>
    </row>
    <row r="5090" spans="1:3" x14ac:dyDescent="0.45">
      <c r="A5090" s="11">
        <v>67.61</v>
      </c>
      <c r="B5090" s="14">
        <v>1.8224589999999999E-2</v>
      </c>
      <c r="C5090" s="15">
        <v>1.041445E-2</v>
      </c>
    </row>
    <row r="5091" spans="1:3" x14ac:dyDescent="0.45">
      <c r="A5091" s="11">
        <v>67.62</v>
      </c>
      <c r="B5091" s="14">
        <v>1.8244779999999999E-2</v>
      </c>
      <c r="C5091" s="15">
        <v>1.0424900000000001E-2</v>
      </c>
    </row>
    <row r="5092" spans="1:3" x14ac:dyDescent="0.45">
      <c r="A5092" s="11">
        <v>67.63</v>
      </c>
      <c r="B5092" s="14">
        <v>1.8264969999999998E-2</v>
      </c>
      <c r="C5092" s="15">
        <v>1.0435349999999999E-2</v>
      </c>
    </row>
    <row r="5093" spans="1:3" x14ac:dyDescent="0.45">
      <c r="A5093" s="11">
        <v>67.64</v>
      </c>
      <c r="B5093" s="14">
        <v>1.8285160000000002E-2</v>
      </c>
      <c r="C5093" s="15">
        <v>1.04458E-2</v>
      </c>
    </row>
    <row r="5094" spans="1:3" x14ac:dyDescent="0.45">
      <c r="A5094" s="11">
        <v>67.650000000000006</v>
      </c>
      <c r="B5094" s="14">
        <v>1.8305350000000001E-2</v>
      </c>
      <c r="C5094" s="15">
        <v>1.045625E-2</v>
      </c>
    </row>
    <row r="5095" spans="1:3" x14ac:dyDescent="0.45">
      <c r="A5095" s="11">
        <v>67.66</v>
      </c>
      <c r="B5095" s="14">
        <v>1.8325540000000001E-2</v>
      </c>
      <c r="C5095" s="15">
        <v>1.0466700000000001E-2</v>
      </c>
    </row>
    <row r="5096" spans="1:3" x14ac:dyDescent="0.45">
      <c r="A5096" s="11">
        <v>67.67</v>
      </c>
      <c r="B5096" s="14">
        <v>1.8345730000000001E-2</v>
      </c>
      <c r="C5096" s="15">
        <v>1.0477149999999999E-2</v>
      </c>
    </row>
    <row r="5097" spans="1:3" x14ac:dyDescent="0.45">
      <c r="A5097" s="11">
        <v>67.680000000000007</v>
      </c>
      <c r="B5097" s="14">
        <v>1.8365920000000001E-2</v>
      </c>
      <c r="C5097" s="15">
        <v>1.04876E-2</v>
      </c>
    </row>
    <row r="5098" spans="1:3" x14ac:dyDescent="0.45">
      <c r="A5098" s="11">
        <v>67.69</v>
      </c>
      <c r="B5098" s="14">
        <v>1.8386110000000001E-2</v>
      </c>
      <c r="C5098" s="15">
        <v>1.049805E-2</v>
      </c>
    </row>
    <row r="5099" spans="1:3" x14ac:dyDescent="0.45">
      <c r="A5099" s="11">
        <v>67.7</v>
      </c>
      <c r="B5099" s="14">
        <v>1.84063E-2</v>
      </c>
      <c r="C5099" s="15">
        <v>1.05085E-2</v>
      </c>
    </row>
    <row r="5100" spans="1:3" x14ac:dyDescent="0.45">
      <c r="A5100" s="11">
        <v>67.709999999999994</v>
      </c>
      <c r="B5100" s="14">
        <v>1.842649E-2</v>
      </c>
      <c r="C5100" s="15">
        <v>1.0518949999999999E-2</v>
      </c>
    </row>
    <row r="5101" spans="1:3" x14ac:dyDescent="0.45">
      <c r="A5101" s="11">
        <v>67.72</v>
      </c>
      <c r="B5101" s="14">
        <v>1.844668E-2</v>
      </c>
      <c r="C5101" s="15">
        <v>1.05294E-2</v>
      </c>
    </row>
    <row r="5102" spans="1:3" x14ac:dyDescent="0.45">
      <c r="A5102" s="11">
        <v>67.73</v>
      </c>
      <c r="B5102" s="14">
        <v>1.846687E-2</v>
      </c>
      <c r="C5102" s="15">
        <v>1.053985E-2</v>
      </c>
    </row>
    <row r="5103" spans="1:3" x14ac:dyDescent="0.45">
      <c r="A5103" s="11">
        <v>67.739999999999995</v>
      </c>
      <c r="B5103" s="14">
        <v>1.848706E-2</v>
      </c>
      <c r="C5103" s="15">
        <v>1.05503E-2</v>
      </c>
    </row>
    <row r="5104" spans="1:3" x14ac:dyDescent="0.45">
      <c r="A5104" s="11">
        <v>67.75</v>
      </c>
      <c r="B5104" s="14">
        <v>1.8507249999999999E-2</v>
      </c>
      <c r="C5104" s="15">
        <v>1.0560750000000001E-2</v>
      </c>
    </row>
    <row r="5105" spans="1:3" x14ac:dyDescent="0.45">
      <c r="A5105" s="11">
        <v>67.760000000000005</v>
      </c>
      <c r="B5105" s="14">
        <v>1.8527439999999999E-2</v>
      </c>
      <c r="C5105" s="15">
        <v>1.0571199999999999E-2</v>
      </c>
    </row>
    <row r="5106" spans="1:3" x14ac:dyDescent="0.45">
      <c r="A5106" s="11">
        <v>67.77</v>
      </c>
      <c r="B5106" s="14">
        <v>1.8547629999999999E-2</v>
      </c>
      <c r="C5106" s="15">
        <v>1.058165E-2</v>
      </c>
    </row>
    <row r="5107" spans="1:3" x14ac:dyDescent="0.45">
      <c r="A5107" s="11">
        <v>67.78</v>
      </c>
      <c r="B5107" s="14">
        <v>1.8567819999999999E-2</v>
      </c>
      <c r="C5107" s="15">
        <v>1.05921E-2</v>
      </c>
    </row>
    <row r="5108" spans="1:3" x14ac:dyDescent="0.45">
      <c r="A5108" s="11">
        <v>67.790000000000006</v>
      </c>
      <c r="B5108" s="14">
        <v>1.8588009999999999E-2</v>
      </c>
      <c r="C5108" s="15">
        <v>1.0602550000000001E-2</v>
      </c>
    </row>
    <row r="5109" spans="1:3" x14ac:dyDescent="0.45">
      <c r="A5109" s="11">
        <v>67.8</v>
      </c>
      <c r="B5109" s="14">
        <v>1.8608199999999998E-2</v>
      </c>
      <c r="C5109" s="15">
        <v>1.0612999999999999E-2</v>
      </c>
    </row>
    <row r="5110" spans="1:3" x14ac:dyDescent="0.45">
      <c r="A5110" s="11">
        <v>67.81</v>
      </c>
      <c r="B5110" s="14">
        <v>1.8628390000000002E-2</v>
      </c>
      <c r="C5110" s="15">
        <v>1.062345E-2</v>
      </c>
    </row>
    <row r="5111" spans="1:3" x14ac:dyDescent="0.45">
      <c r="A5111" s="11">
        <v>67.819999999999993</v>
      </c>
      <c r="B5111" s="14">
        <v>1.8648580000000001E-2</v>
      </c>
      <c r="C5111" s="15">
        <v>1.06339E-2</v>
      </c>
    </row>
    <row r="5112" spans="1:3" x14ac:dyDescent="0.45">
      <c r="A5112" s="11">
        <v>67.83</v>
      </c>
      <c r="B5112" s="14">
        <v>1.8668770000000001E-2</v>
      </c>
      <c r="C5112" s="15">
        <v>1.064435E-2</v>
      </c>
    </row>
    <row r="5113" spans="1:3" x14ac:dyDescent="0.45">
      <c r="A5113" s="11">
        <v>67.84</v>
      </c>
      <c r="B5113" s="14">
        <v>1.8688960000000001E-2</v>
      </c>
      <c r="C5113" s="15">
        <v>1.0654800000000001E-2</v>
      </c>
    </row>
    <row r="5114" spans="1:3" x14ac:dyDescent="0.45">
      <c r="A5114" s="11">
        <v>67.849999999999994</v>
      </c>
      <c r="B5114" s="14">
        <v>1.8709150000000001E-2</v>
      </c>
      <c r="C5114" s="15">
        <v>1.0665249999999999E-2</v>
      </c>
    </row>
    <row r="5115" spans="1:3" x14ac:dyDescent="0.45">
      <c r="A5115" s="11">
        <v>67.86</v>
      </c>
      <c r="B5115" s="14">
        <v>1.8729340000000001E-2</v>
      </c>
      <c r="C5115" s="15">
        <v>1.06757E-2</v>
      </c>
    </row>
    <row r="5116" spans="1:3" x14ac:dyDescent="0.45">
      <c r="A5116" s="11">
        <v>67.87</v>
      </c>
      <c r="B5116" s="14">
        <v>1.874953E-2</v>
      </c>
      <c r="C5116" s="15">
        <v>1.068615E-2</v>
      </c>
    </row>
    <row r="5117" spans="1:3" x14ac:dyDescent="0.45">
      <c r="A5117" s="11">
        <v>67.88</v>
      </c>
      <c r="B5117" s="14">
        <v>1.876972E-2</v>
      </c>
      <c r="C5117" s="15">
        <v>1.0696600000000001E-2</v>
      </c>
    </row>
    <row r="5118" spans="1:3" x14ac:dyDescent="0.45">
      <c r="A5118" s="11">
        <v>67.89</v>
      </c>
      <c r="B5118" s="14">
        <v>1.878991E-2</v>
      </c>
      <c r="C5118" s="15">
        <v>1.0707049999999999E-2</v>
      </c>
    </row>
    <row r="5119" spans="1:3" x14ac:dyDescent="0.45">
      <c r="A5119" s="11">
        <v>67.900000000000006</v>
      </c>
      <c r="B5119" s="14">
        <v>1.88101E-2</v>
      </c>
      <c r="C5119" s="15">
        <v>1.07175E-2</v>
      </c>
    </row>
    <row r="5120" spans="1:3" x14ac:dyDescent="0.45">
      <c r="A5120" s="11">
        <v>67.91</v>
      </c>
      <c r="B5120" s="14">
        <v>1.883029E-2</v>
      </c>
      <c r="C5120" s="15">
        <v>1.072795E-2</v>
      </c>
    </row>
    <row r="5121" spans="1:3" x14ac:dyDescent="0.45">
      <c r="A5121" s="11">
        <v>67.92</v>
      </c>
      <c r="B5121" s="14">
        <v>1.8850479999999999E-2</v>
      </c>
      <c r="C5121" s="15">
        <v>1.07384E-2</v>
      </c>
    </row>
    <row r="5122" spans="1:3" x14ac:dyDescent="0.45">
      <c r="A5122" s="11">
        <v>67.930000000000007</v>
      </c>
      <c r="B5122" s="14">
        <v>1.8870669999999999E-2</v>
      </c>
      <c r="C5122" s="15">
        <v>1.0748850000000001E-2</v>
      </c>
    </row>
    <row r="5123" spans="1:3" x14ac:dyDescent="0.45">
      <c r="A5123" s="11">
        <v>67.94</v>
      </c>
      <c r="B5123" s="14">
        <v>1.8890859999999999E-2</v>
      </c>
      <c r="C5123" s="15">
        <v>1.0759299999999999E-2</v>
      </c>
    </row>
    <row r="5124" spans="1:3" x14ac:dyDescent="0.45">
      <c r="A5124" s="11">
        <v>67.95</v>
      </c>
      <c r="B5124" s="14">
        <v>1.8911049999999999E-2</v>
      </c>
      <c r="C5124" s="15">
        <v>1.076975E-2</v>
      </c>
    </row>
    <row r="5125" spans="1:3" x14ac:dyDescent="0.45">
      <c r="A5125" s="11">
        <v>67.959999999999994</v>
      </c>
      <c r="B5125" s="14">
        <v>1.8931239999999998E-2</v>
      </c>
      <c r="C5125" s="15">
        <v>1.07802E-2</v>
      </c>
    </row>
    <row r="5126" spans="1:3" x14ac:dyDescent="0.45">
      <c r="A5126" s="11">
        <v>67.97</v>
      </c>
      <c r="B5126" s="14">
        <v>1.8951429999999998E-2</v>
      </c>
      <c r="C5126" s="15">
        <v>1.0790650000000001E-2</v>
      </c>
    </row>
    <row r="5127" spans="1:3" x14ac:dyDescent="0.45">
      <c r="A5127" s="11">
        <v>67.98</v>
      </c>
      <c r="B5127" s="14">
        <v>1.8971620000000002E-2</v>
      </c>
      <c r="C5127" s="15">
        <v>1.0801099999999999E-2</v>
      </c>
    </row>
    <row r="5128" spans="1:3" x14ac:dyDescent="0.45">
      <c r="A5128" s="11">
        <v>67.989999999999995</v>
      </c>
      <c r="B5128" s="14">
        <v>1.8991810000000001E-2</v>
      </c>
      <c r="C5128" s="15">
        <v>1.081155E-2</v>
      </c>
    </row>
    <row r="5129" spans="1:3" x14ac:dyDescent="0.45">
      <c r="A5129" s="11">
        <v>68</v>
      </c>
      <c r="B5129" s="14">
        <v>1.9012000000000001E-2</v>
      </c>
      <c r="C5129" s="15">
        <v>1.0822E-2</v>
      </c>
    </row>
    <row r="5130" spans="1:3" x14ac:dyDescent="0.45">
      <c r="A5130" s="11">
        <v>68.010000000000005</v>
      </c>
      <c r="B5130" s="14">
        <v>1.9034430000000001E-2</v>
      </c>
      <c r="C5130" s="15">
        <v>1.0833590000000001E-2</v>
      </c>
    </row>
    <row r="5131" spans="1:3" x14ac:dyDescent="0.45">
      <c r="A5131" s="11">
        <v>68.02</v>
      </c>
      <c r="B5131" s="14">
        <v>1.9056859999999998E-2</v>
      </c>
      <c r="C5131" s="15">
        <v>1.0845179999999999E-2</v>
      </c>
    </row>
    <row r="5132" spans="1:3" x14ac:dyDescent="0.45">
      <c r="A5132" s="11">
        <v>68.03</v>
      </c>
      <c r="B5132" s="14">
        <v>1.9079289999999999E-2</v>
      </c>
      <c r="C5132" s="15">
        <v>1.085677E-2</v>
      </c>
    </row>
    <row r="5133" spans="1:3" x14ac:dyDescent="0.45">
      <c r="A5133" s="11">
        <v>68.040000000000006</v>
      </c>
      <c r="B5133" s="14">
        <v>1.9101719999999999E-2</v>
      </c>
      <c r="C5133" s="15">
        <v>1.0868360000000001E-2</v>
      </c>
    </row>
    <row r="5134" spans="1:3" x14ac:dyDescent="0.45">
      <c r="A5134" s="11">
        <v>68.05</v>
      </c>
      <c r="B5134" s="14">
        <v>1.9124149999999999E-2</v>
      </c>
      <c r="C5134" s="15">
        <v>1.0879949999999999E-2</v>
      </c>
    </row>
    <row r="5135" spans="1:3" x14ac:dyDescent="0.45">
      <c r="A5135" s="11">
        <v>68.06</v>
      </c>
      <c r="B5135" s="14">
        <v>1.914658E-2</v>
      </c>
      <c r="C5135" s="15">
        <v>1.089154E-2</v>
      </c>
    </row>
    <row r="5136" spans="1:3" x14ac:dyDescent="0.45">
      <c r="A5136" s="11">
        <v>68.069999999999993</v>
      </c>
      <c r="B5136" s="14">
        <v>1.916901E-2</v>
      </c>
      <c r="C5136" s="15">
        <v>1.090313E-2</v>
      </c>
    </row>
    <row r="5137" spans="1:3" x14ac:dyDescent="0.45">
      <c r="A5137" s="11">
        <v>68.08</v>
      </c>
      <c r="B5137" s="14">
        <v>1.9191440000000001E-2</v>
      </c>
      <c r="C5137" s="15">
        <v>1.0914719999999999E-2</v>
      </c>
    </row>
    <row r="5138" spans="1:3" x14ac:dyDescent="0.45">
      <c r="A5138" s="11">
        <v>68.09</v>
      </c>
      <c r="B5138" s="14">
        <v>1.9213870000000001E-2</v>
      </c>
      <c r="C5138" s="15">
        <v>1.092631E-2</v>
      </c>
    </row>
    <row r="5139" spans="1:3" x14ac:dyDescent="0.45">
      <c r="A5139" s="11">
        <v>68.099999999999994</v>
      </c>
      <c r="B5139" s="14">
        <v>1.9236300000000001E-2</v>
      </c>
      <c r="C5139" s="15">
        <v>1.09379E-2</v>
      </c>
    </row>
    <row r="5140" spans="1:3" x14ac:dyDescent="0.45">
      <c r="A5140" s="11">
        <v>68.11</v>
      </c>
      <c r="B5140" s="14">
        <v>1.9258730000000002E-2</v>
      </c>
      <c r="C5140" s="15">
        <v>1.0949489999999999E-2</v>
      </c>
    </row>
    <row r="5141" spans="1:3" x14ac:dyDescent="0.45">
      <c r="A5141" s="11">
        <v>68.12</v>
      </c>
      <c r="B5141" s="14">
        <v>1.9281159999999999E-2</v>
      </c>
      <c r="C5141" s="15">
        <v>1.096108E-2</v>
      </c>
    </row>
    <row r="5142" spans="1:3" x14ac:dyDescent="0.45">
      <c r="A5142" s="11">
        <v>68.13</v>
      </c>
      <c r="B5142" s="14">
        <v>1.9303589999999999E-2</v>
      </c>
      <c r="C5142" s="15">
        <v>1.097267E-2</v>
      </c>
    </row>
    <row r="5143" spans="1:3" x14ac:dyDescent="0.45">
      <c r="A5143" s="11">
        <v>68.14</v>
      </c>
      <c r="B5143" s="14">
        <v>1.9326019999999999E-2</v>
      </c>
      <c r="C5143" s="15">
        <v>1.0984259999999999E-2</v>
      </c>
    </row>
    <row r="5144" spans="1:3" x14ac:dyDescent="0.45">
      <c r="A5144" s="11">
        <v>68.150000000000006</v>
      </c>
      <c r="B5144" s="14">
        <v>1.934845E-2</v>
      </c>
      <c r="C5144" s="15">
        <v>1.099585E-2</v>
      </c>
    </row>
    <row r="5145" spans="1:3" x14ac:dyDescent="0.45">
      <c r="A5145" s="11">
        <v>68.16</v>
      </c>
      <c r="B5145" s="14">
        <v>1.937088E-2</v>
      </c>
      <c r="C5145" s="15">
        <v>1.100744E-2</v>
      </c>
    </row>
    <row r="5146" spans="1:3" x14ac:dyDescent="0.45">
      <c r="A5146" s="11">
        <v>68.17</v>
      </c>
      <c r="B5146" s="14">
        <v>1.939331E-2</v>
      </c>
      <c r="C5146" s="15">
        <v>1.1019030000000001E-2</v>
      </c>
    </row>
    <row r="5147" spans="1:3" x14ac:dyDescent="0.45">
      <c r="A5147" s="11">
        <v>68.180000000000007</v>
      </c>
      <c r="B5147" s="14">
        <v>1.9415740000000001E-2</v>
      </c>
      <c r="C5147" s="15">
        <v>1.103062E-2</v>
      </c>
    </row>
    <row r="5148" spans="1:3" x14ac:dyDescent="0.45">
      <c r="A5148" s="11">
        <v>68.19</v>
      </c>
      <c r="B5148" s="14">
        <v>1.9438170000000001E-2</v>
      </c>
      <c r="C5148" s="15">
        <v>1.104221E-2</v>
      </c>
    </row>
    <row r="5149" spans="1:3" x14ac:dyDescent="0.45">
      <c r="A5149" s="11">
        <v>68.2</v>
      </c>
      <c r="B5149" s="14">
        <v>1.9460600000000002E-2</v>
      </c>
      <c r="C5149" s="15">
        <v>1.1053800000000001E-2</v>
      </c>
    </row>
    <row r="5150" spans="1:3" x14ac:dyDescent="0.45">
      <c r="A5150" s="11">
        <v>68.209999999999994</v>
      </c>
      <c r="B5150" s="14">
        <v>1.9483029999999998E-2</v>
      </c>
      <c r="C5150" s="15">
        <v>1.106539E-2</v>
      </c>
    </row>
    <row r="5151" spans="1:3" x14ac:dyDescent="0.45">
      <c r="A5151" s="11">
        <v>68.22</v>
      </c>
      <c r="B5151" s="14">
        <v>1.9505459999999999E-2</v>
      </c>
      <c r="C5151" s="15">
        <v>1.107698E-2</v>
      </c>
    </row>
    <row r="5152" spans="1:3" x14ac:dyDescent="0.45">
      <c r="A5152" s="11">
        <v>68.23</v>
      </c>
      <c r="B5152" s="14">
        <v>1.9527889999999999E-2</v>
      </c>
      <c r="C5152" s="15">
        <v>1.1088570000000001E-2</v>
      </c>
    </row>
    <row r="5153" spans="1:3" x14ac:dyDescent="0.45">
      <c r="A5153" s="11">
        <v>68.239999999999995</v>
      </c>
      <c r="B5153" s="14">
        <v>1.955032E-2</v>
      </c>
      <c r="C5153" s="15">
        <v>1.110016E-2</v>
      </c>
    </row>
    <row r="5154" spans="1:3" x14ac:dyDescent="0.45">
      <c r="A5154" s="11">
        <v>68.25</v>
      </c>
      <c r="B5154" s="14">
        <v>1.957275E-2</v>
      </c>
      <c r="C5154" s="15">
        <v>1.111175E-2</v>
      </c>
    </row>
    <row r="5155" spans="1:3" x14ac:dyDescent="0.45">
      <c r="A5155" s="11">
        <v>68.260000000000005</v>
      </c>
      <c r="B5155" s="14">
        <v>1.959518E-2</v>
      </c>
      <c r="C5155" s="15">
        <v>1.1123340000000001E-2</v>
      </c>
    </row>
    <row r="5156" spans="1:3" x14ac:dyDescent="0.45">
      <c r="A5156" s="11">
        <v>68.27</v>
      </c>
      <c r="B5156" s="14">
        <v>1.9617610000000001E-2</v>
      </c>
      <c r="C5156" s="15">
        <v>1.1134929999999999E-2</v>
      </c>
    </row>
    <row r="5157" spans="1:3" x14ac:dyDescent="0.45">
      <c r="A5157" s="11">
        <v>68.28</v>
      </c>
      <c r="B5157" s="14">
        <v>1.9640040000000001E-2</v>
      </c>
      <c r="C5157" s="15">
        <v>1.114652E-2</v>
      </c>
    </row>
    <row r="5158" spans="1:3" x14ac:dyDescent="0.45">
      <c r="A5158" s="11">
        <v>68.290000000000006</v>
      </c>
      <c r="B5158" s="14">
        <v>1.9662470000000001E-2</v>
      </c>
      <c r="C5158" s="15">
        <v>1.1158110000000001E-2</v>
      </c>
    </row>
    <row r="5159" spans="1:3" x14ac:dyDescent="0.45">
      <c r="A5159" s="11">
        <v>68.3</v>
      </c>
      <c r="B5159" s="14">
        <v>1.9684900000000002E-2</v>
      </c>
      <c r="C5159" s="15">
        <v>1.1169699999999999E-2</v>
      </c>
    </row>
    <row r="5160" spans="1:3" x14ac:dyDescent="0.45">
      <c r="A5160" s="11">
        <v>68.31</v>
      </c>
      <c r="B5160" s="14">
        <v>1.9707329999999999E-2</v>
      </c>
      <c r="C5160" s="15">
        <v>1.118129E-2</v>
      </c>
    </row>
    <row r="5161" spans="1:3" x14ac:dyDescent="0.45">
      <c r="A5161" s="11">
        <v>68.319999999999993</v>
      </c>
      <c r="B5161" s="14">
        <v>1.9729759999999999E-2</v>
      </c>
      <c r="C5161" s="15">
        <v>1.1192880000000001E-2</v>
      </c>
    </row>
    <row r="5162" spans="1:3" x14ac:dyDescent="0.45">
      <c r="A5162" s="11">
        <v>68.33</v>
      </c>
      <c r="B5162" s="14">
        <v>1.9752189999999999E-2</v>
      </c>
      <c r="C5162" s="15">
        <v>1.1204469999999999E-2</v>
      </c>
    </row>
    <row r="5163" spans="1:3" x14ac:dyDescent="0.45">
      <c r="A5163" s="11">
        <v>68.34</v>
      </c>
      <c r="B5163" s="14">
        <v>1.977462E-2</v>
      </c>
      <c r="C5163" s="15">
        <v>1.121606E-2</v>
      </c>
    </row>
    <row r="5164" spans="1:3" x14ac:dyDescent="0.45">
      <c r="A5164" s="11">
        <v>68.349999999999994</v>
      </c>
      <c r="B5164" s="14">
        <v>1.979705E-2</v>
      </c>
      <c r="C5164" s="15">
        <v>1.122765E-2</v>
      </c>
    </row>
    <row r="5165" spans="1:3" x14ac:dyDescent="0.45">
      <c r="A5165" s="11">
        <v>68.36</v>
      </c>
      <c r="B5165" s="14">
        <v>1.981948E-2</v>
      </c>
      <c r="C5165" s="15">
        <v>1.1239239999999999E-2</v>
      </c>
    </row>
    <row r="5166" spans="1:3" x14ac:dyDescent="0.45">
      <c r="A5166" s="11">
        <v>68.37</v>
      </c>
      <c r="B5166" s="14">
        <v>1.9841910000000001E-2</v>
      </c>
      <c r="C5166" s="15">
        <v>1.125083E-2</v>
      </c>
    </row>
    <row r="5167" spans="1:3" x14ac:dyDescent="0.45">
      <c r="A5167" s="11">
        <v>68.38</v>
      </c>
      <c r="B5167" s="14">
        <v>1.9864340000000001E-2</v>
      </c>
      <c r="C5167" s="15">
        <v>1.126242E-2</v>
      </c>
    </row>
    <row r="5168" spans="1:3" x14ac:dyDescent="0.45">
      <c r="A5168" s="11">
        <v>68.39</v>
      </c>
      <c r="B5168" s="14">
        <v>1.9886770000000002E-2</v>
      </c>
      <c r="C5168" s="15">
        <v>1.1274009999999999E-2</v>
      </c>
    </row>
    <row r="5169" spans="1:3" x14ac:dyDescent="0.45">
      <c r="A5169" s="11">
        <v>68.400000000000006</v>
      </c>
      <c r="B5169" s="14">
        <v>1.9909199999999998E-2</v>
      </c>
      <c r="C5169" s="15">
        <v>1.12856E-2</v>
      </c>
    </row>
    <row r="5170" spans="1:3" x14ac:dyDescent="0.45">
      <c r="A5170" s="11">
        <v>68.41</v>
      </c>
      <c r="B5170" s="14">
        <v>1.9931629999999999E-2</v>
      </c>
      <c r="C5170" s="15">
        <v>1.129719E-2</v>
      </c>
    </row>
    <row r="5171" spans="1:3" x14ac:dyDescent="0.45">
      <c r="A5171" s="11">
        <v>68.42</v>
      </c>
      <c r="B5171" s="14">
        <v>1.9954059999999999E-2</v>
      </c>
      <c r="C5171" s="15">
        <v>1.1308779999999999E-2</v>
      </c>
    </row>
    <row r="5172" spans="1:3" x14ac:dyDescent="0.45">
      <c r="A5172" s="11">
        <v>68.430000000000007</v>
      </c>
      <c r="B5172" s="14">
        <v>1.997649E-2</v>
      </c>
      <c r="C5172" s="15">
        <v>1.132037E-2</v>
      </c>
    </row>
    <row r="5173" spans="1:3" x14ac:dyDescent="0.45">
      <c r="A5173" s="11">
        <v>68.44</v>
      </c>
      <c r="B5173" s="14">
        <v>1.999892E-2</v>
      </c>
      <c r="C5173" s="15">
        <v>1.133196E-2</v>
      </c>
    </row>
    <row r="5174" spans="1:3" x14ac:dyDescent="0.45">
      <c r="A5174" s="11">
        <v>68.45</v>
      </c>
      <c r="B5174" s="14">
        <v>2.002135E-2</v>
      </c>
      <c r="C5174" s="15">
        <v>1.1343550000000001E-2</v>
      </c>
    </row>
    <row r="5175" spans="1:3" x14ac:dyDescent="0.45">
      <c r="A5175" s="11">
        <v>68.459999999999994</v>
      </c>
      <c r="B5175" s="14">
        <v>2.0043780000000001E-2</v>
      </c>
      <c r="C5175" s="15">
        <v>1.135514E-2</v>
      </c>
    </row>
    <row r="5176" spans="1:3" x14ac:dyDescent="0.45">
      <c r="A5176" s="11">
        <v>68.47</v>
      </c>
      <c r="B5176" s="14">
        <v>2.0066210000000001E-2</v>
      </c>
      <c r="C5176" s="15">
        <v>1.136673E-2</v>
      </c>
    </row>
    <row r="5177" spans="1:3" x14ac:dyDescent="0.45">
      <c r="A5177" s="11">
        <v>68.48</v>
      </c>
      <c r="B5177" s="14">
        <v>2.0088640000000001E-2</v>
      </c>
      <c r="C5177" s="15">
        <v>1.1378320000000001E-2</v>
      </c>
    </row>
    <row r="5178" spans="1:3" x14ac:dyDescent="0.45">
      <c r="A5178" s="11">
        <v>68.489999999999995</v>
      </c>
      <c r="B5178" s="14">
        <v>2.0111070000000002E-2</v>
      </c>
      <c r="C5178" s="15">
        <v>1.138991E-2</v>
      </c>
    </row>
    <row r="5179" spans="1:3" x14ac:dyDescent="0.45">
      <c r="A5179" s="11">
        <v>68.5</v>
      </c>
      <c r="B5179" s="14">
        <v>2.0133499999999999E-2</v>
      </c>
      <c r="C5179" s="15">
        <v>1.14015E-2</v>
      </c>
    </row>
    <row r="5180" spans="1:3" x14ac:dyDescent="0.45">
      <c r="A5180" s="11">
        <v>68.510000000000005</v>
      </c>
      <c r="B5180" s="14">
        <v>2.0155929999999999E-2</v>
      </c>
      <c r="C5180" s="15">
        <v>1.1413090000000001E-2</v>
      </c>
    </row>
    <row r="5181" spans="1:3" x14ac:dyDescent="0.45">
      <c r="A5181" s="11">
        <v>68.52</v>
      </c>
      <c r="B5181" s="14">
        <v>2.0178359999999999E-2</v>
      </c>
      <c r="C5181" s="15">
        <v>1.142468E-2</v>
      </c>
    </row>
    <row r="5182" spans="1:3" x14ac:dyDescent="0.45">
      <c r="A5182" s="11">
        <v>68.53</v>
      </c>
      <c r="B5182" s="14">
        <v>2.020079E-2</v>
      </c>
      <c r="C5182" s="15">
        <v>1.143627E-2</v>
      </c>
    </row>
    <row r="5183" spans="1:3" x14ac:dyDescent="0.45">
      <c r="A5183" s="11">
        <v>68.540000000000006</v>
      </c>
      <c r="B5183" s="14">
        <v>2.022322E-2</v>
      </c>
      <c r="C5183" s="15">
        <v>1.1447860000000001E-2</v>
      </c>
    </row>
    <row r="5184" spans="1:3" x14ac:dyDescent="0.45">
      <c r="A5184" s="11">
        <v>68.55</v>
      </c>
      <c r="B5184" s="14">
        <v>2.024565E-2</v>
      </c>
      <c r="C5184" s="15">
        <v>1.1459449999999999E-2</v>
      </c>
    </row>
    <row r="5185" spans="1:3" x14ac:dyDescent="0.45">
      <c r="A5185" s="11">
        <v>68.56</v>
      </c>
      <c r="B5185" s="14">
        <v>2.0268080000000001E-2</v>
      </c>
      <c r="C5185" s="15">
        <v>1.147104E-2</v>
      </c>
    </row>
    <row r="5186" spans="1:3" x14ac:dyDescent="0.45">
      <c r="A5186" s="11">
        <v>68.569999999999993</v>
      </c>
      <c r="B5186" s="14">
        <v>2.0290510000000001E-2</v>
      </c>
      <c r="C5186" s="15">
        <v>1.1482630000000001E-2</v>
      </c>
    </row>
    <row r="5187" spans="1:3" x14ac:dyDescent="0.45">
      <c r="A5187" s="11">
        <v>68.58</v>
      </c>
      <c r="B5187" s="14">
        <v>2.0312940000000002E-2</v>
      </c>
      <c r="C5187" s="15">
        <v>1.1494219999999999E-2</v>
      </c>
    </row>
    <row r="5188" spans="1:3" x14ac:dyDescent="0.45">
      <c r="A5188" s="11">
        <v>68.59</v>
      </c>
      <c r="B5188" s="14">
        <v>2.0335369999999998E-2</v>
      </c>
      <c r="C5188" s="15">
        <v>1.150581E-2</v>
      </c>
    </row>
    <row r="5189" spans="1:3" x14ac:dyDescent="0.45">
      <c r="A5189" s="11">
        <v>68.599999999999994</v>
      </c>
      <c r="B5189" s="14">
        <v>2.0357799999999999E-2</v>
      </c>
      <c r="C5189" s="15">
        <v>1.1517400000000001E-2</v>
      </c>
    </row>
    <row r="5190" spans="1:3" x14ac:dyDescent="0.45">
      <c r="A5190" s="11">
        <v>68.61</v>
      </c>
      <c r="B5190" s="14">
        <v>2.0380229999999999E-2</v>
      </c>
      <c r="C5190" s="15">
        <v>1.1528989999999999E-2</v>
      </c>
    </row>
    <row r="5191" spans="1:3" x14ac:dyDescent="0.45">
      <c r="A5191" s="11">
        <v>68.62</v>
      </c>
      <c r="B5191" s="14">
        <v>2.040266E-2</v>
      </c>
      <c r="C5191" s="15">
        <v>1.154058E-2</v>
      </c>
    </row>
    <row r="5192" spans="1:3" x14ac:dyDescent="0.45">
      <c r="A5192" s="11">
        <v>68.63</v>
      </c>
      <c r="B5192" s="14">
        <v>2.042509E-2</v>
      </c>
      <c r="C5192" s="15">
        <v>1.155217E-2</v>
      </c>
    </row>
    <row r="5193" spans="1:3" x14ac:dyDescent="0.45">
      <c r="A5193" s="11">
        <v>68.64</v>
      </c>
      <c r="B5193" s="14">
        <v>2.044752E-2</v>
      </c>
      <c r="C5193" s="15">
        <v>1.1563759999999999E-2</v>
      </c>
    </row>
    <row r="5194" spans="1:3" x14ac:dyDescent="0.45">
      <c r="A5194" s="11">
        <v>68.650000000000006</v>
      </c>
      <c r="B5194" s="14">
        <v>2.0469950000000001E-2</v>
      </c>
      <c r="C5194" s="15">
        <v>1.157535E-2</v>
      </c>
    </row>
    <row r="5195" spans="1:3" x14ac:dyDescent="0.45">
      <c r="A5195" s="11">
        <v>68.66</v>
      </c>
      <c r="B5195" s="14">
        <v>2.0492380000000001E-2</v>
      </c>
      <c r="C5195" s="15">
        <v>1.158694E-2</v>
      </c>
    </row>
    <row r="5196" spans="1:3" x14ac:dyDescent="0.45">
      <c r="A5196" s="11">
        <v>68.67</v>
      </c>
      <c r="B5196" s="14">
        <v>2.0514810000000001E-2</v>
      </c>
      <c r="C5196" s="15">
        <v>1.1598529999999999E-2</v>
      </c>
    </row>
    <row r="5197" spans="1:3" x14ac:dyDescent="0.45">
      <c r="A5197" s="11">
        <v>68.680000000000007</v>
      </c>
      <c r="B5197" s="14">
        <v>2.0537239999999998E-2</v>
      </c>
      <c r="C5197" s="15">
        <v>1.161012E-2</v>
      </c>
    </row>
    <row r="5198" spans="1:3" x14ac:dyDescent="0.45">
      <c r="A5198" s="11">
        <v>68.69</v>
      </c>
      <c r="B5198" s="14">
        <v>2.0559669999999999E-2</v>
      </c>
      <c r="C5198" s="15">
        <v>1.162171E-2</v>
      </c>
    </row>
    <row r="5199" spans="1:3" x14ac:dyDescent="0.45">
      <c r="A5199" s="11">
        <v>68.7</v>
      </c>
      <c r="B5199" s="14">
        <v>2.0582099999999999E-2</v>
      </c>
      <c r="C5199" s="15">
        <v>1.1633299999999999E-2</v>
      </c>
    </row>
    <row r="5200" spans="1:3" x14ac:dyDescent="0.45">
      <c r="A5200" s="11">
        <v>68.709999999999994</v>
      </c>
      <c r="B5200" s="14">
        <v>2.0604529999999999E-2</v>
      </c>
      <c r="C5200" s="15">
        <v>1.164489E-2</v>
      </c>
    </row>
    <row r="5201" spans="1:3" x14ac:dyDescent="0.45">
      <c r="A5201" s="11">
        <v>68.72</v>
      </c>
      <c r="B5201" s="14">
        <v>2.062696E-2</v>
      </c>
      <c r="C5201" s="15">
        <v>1.165648E-2</v>
      </c>
    </row>
    <row r="5202" spans="1:3" x14ac:dyDescent="0.45">
      <c r="A5202" s="11">
        <v>68.73</v>
      </c>
      <c r="B5202" s="14">
        <v>2.064939E-2</v>
      </c>
      <c r="C5202" s="15">
        <v>1.1668069999999999E-2</v>
      </c>
    </row>
    <row r="5203" spans="1:3" x14ac:dyDescent="0.45">
      <c r="A5203" s="11">
        <v>68.739999999999995</v>
      </c>
      <c r="B5203" s="14">
        <v>2.067182E-2</v>
      </c>
      <c r="C5203" s="15">
        <v>1.167966E-2</v>
      </c>
    </row>
    <row r="5204" spans="1:3" x14ac:dyDescent="0.45">
      <c r="A5204" s="11">
        <v>68.75</v>
      </c>
      <c r="B5204" s="14">
        <v>2.0694250000000001E-2</v>
      </c>
      <c r="C5204" s="15">
        <v>1.169125E-2</v>
      </c>
    </row>
    <row r="5205" spans="1:3" x14ac:dyDescent="0.45">
      <c r="A5205" s="11">
        <v>68.760000000000005</v>
      </c>
      <c r="B5205" s="14">
        <v>2.0716680000000001E-2</v>
      </c>
      <c r="C5205" s="15">
        <v>1.1702840000000001E-2</v>
      </c>
    </row>
    <row r="5206" spans="1:3" x14ac:dyDescent="0.45">
      <c r="A5206" s="11">
        <v>68.77</v>
      </c>
      <c r="B5206" s="14">
        <v>2.0739110000000002E-2</v>
      </c>
      <c r="C5206" s="15">
        <v>1.171443E-2</v>
      </c>
    </row>
    <row r="5207" spans="1:3" x14ac:dyDescent="0.45">
      <c r="A5207" s="11">
        <v>68.78</v>
      </c>
      <c r="B5207" s="14">
        <v>2.0761539999999998E-2</v>
      </c>
      <c r="C5207" s="15">
        <v>1.172602E-2</v>
      </c>
    </row>
    <row r="5208" spans="1:3" x14ac:dyDescent="0.45">
      <c r="A5208" s="11">
        <v>68.790000000000006</v>
      </c>
      <c r="B5208" s="14">
        <v>2.0783969999999999E-2</v>
      </c>
      <c r="C5208" s="15">
        <v>1.1737610000000001E-2</v>
      </c>
    </row>
    <row r="5209" spans="1:3" x14ac:dyDescent="0.45">
      <c r="A5209" s="11">
        <v>68.8</v>
      </c>
      <c r="B5209" s="14">
        <v>2.0806399999999999E-2</v>
      </c>
      <c r="C5209" s="15">
        <v>1.17492E-2</v>
      </c>
    </row>
    <row r="5210" spans="1:3" x14ac:dyDescent="0.45">
      <c r="A5210" s="11">
        <v>68.81</v>
      </c>
      <c r="B5210" s="14">
        <v>2.082883E-2</v>
      </c>
      <c r="C5210" s="15">
        <v>1.176079E-2</v>
      </c>
    </row>
    <row r="5211" spans="1:3" x14ac:dyDescent="0.45">
      <c r="A5211" s="11">
        <v>68.819999999999993</v>
      </c>
      <c r="B5211" s="14">
        <v>2.085126E-2</v>
      </c>
      <c r="C5211" s="15">
        <v>1.1772380000000001E-2</v>
      </c>
    </row>
    <row r="5212" spans="1:3" x14ac:dyDescent="0.45">
      <c r="A5212" s="11">
        <v>68.83</v>
      </c>
      <c r="B5212" s="14">
        <v>2.087369E-2</v>
      </c>
      <c r="C5212" s="15">
        <v>1.178397E-2</v>
      </c>
    </row>
    <row r="5213" spans="1:3" x14ac:dyDescent="0.45">
      <c r="A5213" s="11">
        <v>68.84</v>
      </c>
      <c r="B5213" s="14">
        <v>2.0896120000000001E-2</v>
      </c>
      <c r="C5213" s="15">
        <v>1.179556E-2</v>
      </c>
    </row>
    <row r="5214" spans="1:3" x14ac:dyDescent="0.45">
      <c r="A5214" s="11">
        <v>68.849999999999994</v>
      </c>
      <c r="B5214" s="14">
        <v>2.0918550000000001E-2</v>
      </c>
      <c r="C5214" s="15">
        <v>1.1807150000000001E-2</v>
      </c>
    </row>
    <row r="5215" spans="1:3" x14ac:dyDescent="0.45">
      <c r="A5215" s="11">
        <v>68.86</v>
      </c>
      <c r="B5215" s="14">
        <v>2.0940980000000001E-2</v>
      </c>
      <c r="C5215" s="15">
        <v>1.1818739999999999E-2</v>
      </c>
    </row>
    <row r="5216" spans="1:3" x14ac:dyDescent="0.45">
      <c r="A5216" s="11">
        <v>68.87</v>
      </c>
      <c r="B5216" s="14">
        <v>2.0963409999999998E-2</v>
      </c>
      <c r="C5216" s="15">
        <v>1.183033E-2</v>
      </c>
    </row>
    <row r="5217" spans="1:3" x14ac:dyDescent="0.45">
      <c r="A5217" s="11">
        <v>68.88</v>
      </c>
      <c r="B5217" s="14">
        <v>2.0985839999999999E-2</v>
      </c>
      <c r="C5217" s="15">
        <v>1.1841920000000001E-2</v>
      </c>
    </row>
    <row r="5218" spans="1:3" x14ac:dyDescent="0.45">
      <c r="A5218" s="11">
        <v>68.89</v>
      </c>
      <c r="B5218" s="14">
        <v>2.1008269999999999E-2</v>
      </c>
      <c r="C5218" s="15">
        <v>1.1853509999999999E-2</v>
      </c>
    </row>
    <row r="5219" spans="1:3" x14ac:dyDescent="0.45">
      <c r="A5219" s="11">
        <v>68.900000000000006</v>
      </c>
      <c r="B5219" s="14">
        <v>2.1030699999999999E-2</v>
      </c>
      <c r="C5219" s="15">
        <v>1.18651E-2</v>
      </c>
    </row>
    <row r="5220" spans="1:3" x14ac:dyDescent="0.45">
      <c r="A5220" s="11">
        <v>68.91</v>
      </c>
      <c r="B5220" s="14">
        <v>2.105313E-2</v>
      </c>
      <c r="C5220" s="15">
        <v>1.1876690000000001E-2</v>
      </c>
    </row>
    <row r="5221" spans="1:3" x14ac:dyDescent="0.45">
      <c r="A5221" s="11">
        <v>68.92</v>
      </c>
      <c r="B5221" s="14">
        <v>2.107556E-2</v>
      </c>
      <c r="C5221" s="15">
        <v>1.1888279999999999E-2</v>
      </c>
    </row>
    <row r="5222" spans="1:3" x14ac:dyDescent="0.45">
      <c r="A5222" s="11">
        <v>68.930000000000007</v>
      </c>
      <c r="B5222" s="14">
        <v>2.109799E-2</v>
      </c>
      <c r="C5222" s="15">
        <v>1.189987E-2</v>
      </c>
    </row>
    <row r="5223" spans="1:3" x14ac:dyDescent="0.45">
      <c r="A5223" s="11">
        <v>68.94</v>
      </c>
      <c r="B5223" s="14">
        <v>2.1120420000000001E-2</v>
      </c>
      <c r="C5223" s="15">
        <v>1.191146E-2</v>
      </c>
    </row>
    <row r="5224" spans="1:3" x14ac:dyDescent="0.45">
      <c r="A5224" s="11">
        <v>68.95</v>
      </c>
      <c r="B5224" s="14">
        <v>2.1142850000000001E-2</v>
      </c>
      <c r="C5224" s="15">
        <v>1.1923049999999999E-2</v>
      </c>
    </row>
    <row r="5225" spans="1:3" x14ac:dyDescent="0.45">
      <c r="A5225" s="11">
        <v>68.959999999999994</v>
      </c>
      <c r="B5225" s="14">
        <v>2.1165280000000002E-2</v>
      </c>
      <c r="C5225" s="15">
        <v>1.193464E-2</v>
      </c>
    </row>
    <row r="5226" spans="1:3" x14ac:dyDescent="0.45">
      <c r="A5226" s="11">
        <v>68.97</v>
      </c>
      <c r="B5226" s="14">
        <v>2.1187709999999998E-2</v>
      </c>
      <c r="C5226" s="15">
        <v>1.194623E-2</v>
      </c>
    </row>
    <row r="5227" spans="1:3" x14ac:dyDescent="0.45">
      <c r="A5227" s="11">
        <v>68.98</v>
      </c>
      <c r="B5227" s="14">
        <v>2.1210139999999999E-2</v>
      </c>
      <c r="C5227" s="15">
        <v>1.1957819999999999E-2</v>
      </c>
    </row>
    <row r="5228" spans="1:3" x14ac:dyDescent="0.45">
      <c r="A5228" s="11">
        <v>68.989999999999995</v>
      </c>
      <c r="B5228" s="14">
        <v>2.1232569999999999E-2</v>
      </c>
      <c r="C5228" s="15">
        <v>1.196941E-2</v>
      </c>
    </row>
    <row r="5229" spans="1:3" x14ac:dyDescent="0.45">
      <c r="A5229" s="11">
        <v>69</v>
      </c>
      <c r="B5229" s="14">
        <v>2.1255E-2</v>
      </c>
      <c r="C5229" s="15">
        <v>1.1981E-2</v>
      </c>
    </row>
    <row r="5230" spans="1:3" x14ac:dyDescent="0.45">
      <c r="A5230" s="11">
        <v>69.010000000000005</v>
      </c>
      <c r="B5230" s="14">
        <v>2.1279860000000001E-2</v>
      </c>
      <c r="C5230" s="15">
        <v>1.199384E-2</v>
      </c>
    </row>
    <row r="5231" spans="1:3" x14ac:dyDescent="0.45">
      <c r="A5231" s="11">
        <v>69.02</v>
      </c>
      <c r="B5231" s="14">
        <v>2.1304719999999999E-2</v>
      </c>
      <c r="C5231" s="15">
        <v>1.200668E-2</v>
      </c>
    </row>
    <row r="5232" spans="1:3" x14ac:dyDescent="0.45">
      <c r="A5232" s="11">
        <v>69.03</v>
      </c>
      <c r="B5232" s="14">
        <v>2.1329580000000001E-2</v>
      </c>
      <c r="C5232" s="15">
        <v>1.2019520000000001E-2</v>
      </c>
    </row>
    <row r="5233" spans="1:3" x14ac:dyDescent="0.45">
      <c r="A5233" s="11">
        <v>69.040000000000006</v>
      </c>
      <c r="B5233" s="14">
        <v>2.1354439999999999E-2</v>
      </c>
      <c r="C5233" s="15">
        <v>1.2032360000000001E-2</v>
      </c>
    </row>
    <row r="5234" spans="1:3" x14ac:dyDescent="0.45">
      <c r="A5234" s="11">
        <v>69.05</v>
      </c>
      <c r="B5234" s="14">
        <v>2.13793E-2</v>
      </c>
      <c r="C5234" s="15">
        <v>1.2045200000000001E-2</v>
      </c>
    </row>
    <row r="5235" spans="1:3" x14ac:dyDescent="0.45">
      <c r="A5235" s="11">
        <v>69.06</v>
      </c>
      <c r="B5235" s="14">
        <v>2.1404159999999998E-2</v>
      </c>
      <c r="C5235" s="15">
        <v>1.2058040000000001E-2</v>
      </c>
    </row>
    <row r="5236" spans="1:3" x14ac:dyDescent="0.45">
      <c r="A5236" s="11">
        <v>69.069999999999993</v>
      </c>
      <c r="B5236" s="14">
        <v>2.142902E-2</v>
      </c>
      <c r="C5236" s="15">
        <v>1.2070880000000001E-2</v>
      </c>
    </row>
    <row r="5237" spans="1:3" x14ac:dyDescent="0.45">
      <c r="A5237" s="11">
        <v>69.08</v>
      </c>
      <c r="B5237" s="14">
        <v>2.1453880000000002E-2</v>
      </c>
      <c r="C5237" s="15">
        <v>1.2083719999999999E-2</v>
      </c>
    </row>
    <row r="5238" spans="1:3" x14ac:dyDescent="0.45">
      <c r="A5238" s="11">
        <v>69.09</v>
      </c>
      <c r="B5238" s="14">
        <v>2.147874E-2</v>
      </c>
      <c r="C5238" s="15">
        <v>1.2096559999999999E-2</v>
      </c>
    </row>
    <row r="5239" spans="1:3" x14ac:dyDescent="0.45">
      <c r="A5239" s="11">
        <v>69.099999999999994</v>
      </c>
      <c r="B5239" s="14">
        <v>2.1503600000000001E-2</v>
      </c>
      <c r="C5239" s="15">
        <v>1.2109399999999999E-2</v>
      </c>
    </row>
    <row r="5240" spans="1:3" x14ac:dyDescent="0.45">
      <c r="A5240" s="11">
        <v>69.11</v>
      </c>
      <c r="B5240" s="14">
        <v>2.1528459999999999E-2</v>
      </c>
      <c r="C5240" s="15">
        <v>1.2122239999999999E-2</v>
      </c>
    </row>
    <row r="5241" spans="1:3" x14ac:dyDescent="0.45">
      <c r="A5241" s="11">
        <v>69.12</v>
      </c>
      <c r="B5241" s="14">
        <v>2.1553320000000001E-2</v>
      </c>
      <c r="C5241" s="15">
        <v>1.2135079999999999E-2</v>
      </c>
    </row>
    <row r="5242" spans="1:3" x14ac:dyDescent="0.45">
      <c r="A5242" s="11">
        <v>69.13</v>
      </c>
      <c r="B5242" s="14">
        <v>2.1578179999999999E-2</v>
      </c>
      <c r="C5242" s="15">
        <v>1.214792E-2</v>
      </c>
    </row>
    <row r="5243" spans="1:3" x14ac:dyDescent="0.45">
      <c r="A5243" s="11">
        <v>69.14</v>
      </c>
      <c r="B5243" s="14">
        <v>2.160304E-2</v>
      </c>
      <c r="C5243" s="15">
        <v>1.216076E-2</v>
      </c>
    </row>
    <row r="5244" spans="1:3" x14ac:dyDescent="0.45">
      <c r="A5244" s="11">
        <v>69.150000000000006</v>
      </c>
      <c r="B5244" s="14">
        <v>2.1627899999999999E-2</v>
      </c>
      <c r="C5244" s="15">
        <v>1.21736E-2</v>
      </c>
    </row>
    <row r="5245" spans="1:3" x14ac:dyDescent="0.45">
      <c r="A5245" s="11">
        <v>69.16</v>
      </c>
      <c r="B5245" s="14">
        <v>2.165276E-2</v>
      </c>
      <c r="C5245" s="15">
        <v>1.218644E-2</v>
      </c>
    </row>
    <row r="5246" spans="1:3" x14ac:dyDescent="0.45">
      <c r="A5246" s="11">
        <v>69.17</v>
      </c>
      <c r="B5246" s="14">
        <v>2.1677620000000002E-2</v>
      </c>
      <c r="C5246" s="15">
        <v>1.219928E-2</v>
      </c>
    </row>
    <row r="5247" spans="1:3" x14ac:dyDescent="0.45">
      <c r="A5247" s="11">
        <v>69.180000000000007</v>
      </c>
      <c r="B5247" s="14">
        <v>2.170248E-2</v>
      </c>
      <c r="C5247" s="15">
        <v>1.221212E-2</v>
      </c>
    </row>
    <row r="5248" spans="1:3" x14ac:dyDescent="0.45">
      <c r="A5248" s="11">
        <v>69.19</v>
      </c>
      <c r="B5248" s="14">
        <v>2.1727340000000001E-2</v>
      </c>
      <c r="C5248" s="15">
        <v>1.222496E-2</v>
      </c>
    </row>
    <row r="5249" spans="1:3" x14ac:dyDescent="0.45">
      <c r="A5249" s="11">
        <v>69.2</v>
      </c>
      <c r="B5249" s="14">
        <v>2.1752199999999999E-2</v>
      </c>
      <c r="C5249" s="15">
        <v>1.22378E-2</v>
      </c>
    </row>
    <row r="5250" spans="1:3" x14ac:dyDescent="0.45">
      <c r="A5250" s="11">
        <v>69.209999999999994</v>
      </c>
      <c r="B5250" s="14">
        <v>2.1777060000000001E-2</v>
      </c>
      <c r="C5250" s="15">
        <v>1.225064E-2</v>
      </c>
    </row>
    <row r="5251" spans="1:3" x14ac:dyDescent="0.45">
      <c r="A5251" s="11">
        <v>69.22</v>
      </c>
      <c r="B5251" s="14">
        <v>2.1801919999999999E-2</v>
      </c>
      <c r="C5251" s="15">
        <v>1.226348E-2</v>
      </c>
    </row>
    <row r="5252" spans="1:3" x14ac:dyDescent="0.45">
      <c r="A5252" s="11">
        <v>69.23</v>
      </c>
      <c r="B5252" s="14">
        <v>2.182678E-2</v>
      </c>
      <c r="C5252" s="15">
        <v>1.227632E-2</v>
      </c>
    </row>
    <row r="5253" spans="1:3" x14ac:dyDescent="0.45">
      <c r="A5253" s="11">
        <v>69.239999999999995</v>
      </c>
      <c r="B5253" s="14">
        <v>2.1851639999999999E-2</v>
      </c>
      <c r="C5253" s="15">
        <v>1.228916E-2</v>
      </c>
    </row>
    <row r="5254" spans="1:3" x14ac:dyDescent="0.45">
      <c r="A5254" s="11">
        <v>69.25</v>
      </c>
      <c r="B5254" s="14">
        <v>2.18765E-2</v>
      </c>
      <c r="C5254" s="15">
        <v>1.2302E-2</v>
      </c>
    </row>
    <row r="5255" spans="1:3" x14ac:dyDescent="0.45">
      <c r="A5255" s="11">
        <v>69.260000000000005</v>
      </c>
      <c r="B5255" s="14">
        <v>2.1901360000000002E-2</v>
      </c>
      <c r="C5255" s="15">
        <v>1.2314840000000001E-2</v>
      </c>
    </row>
    <row r="5256" spans="1:3" x14ac:dyDescent="0.45">
      <c r="A5256" s="11">
        <v>69.27</v>
      </c>
      <c r="B5256" s="14">
        <v>2.192622E-2</v>
      </c>
      <c r="C5256" s="15">
        <v>1.2327680000000001E-2</v>
      </c>
    </row>
    <row r="5257" spans="1:3" x14ac:dyDescent="0.45">
      <c r="A5257" s="11">
        <v>69.28</v>
      </c>
      <c r="B5257" s="14">
        <v>2.1951080000000001E-2</v>
      </c>
      <c r="C5257" s="15">
        <v>1.2340520000000001E-2</v>
      </c>
    </row>
    <row r="5258" spans="1:3" x14ac:dyDescent="0.45">
      <c r="A5258" s="11">
        <v>69.290000000000006</v>
      </c>
      <c r="B5258" s="14">
        <v>2.1975939999999999E-2</v>
      </c>
      <c r="C5258" s="15">
        <v>1.2353360000000001E-2</v>
      </c>
    </row>
    <row r="5259" spans="1:3" x14ac:dyDescent="0.45">
      <c r="A5259" s="11">
        <v>69.3</v>
      </c>
      <c r="B5259" s="14">
        <v>2.2000800000000001E-2</v>
      </c>
      <c r="C5259" s="15">
        <v>1.2366200000000001E-2</v>
      </c>
    </row>
    <row r="5260" spans="1:3" x14ac:dyDescent="0.45">
      <c r="A5260" s="11">
        <v>69.31</v>
      </c>
      <c r="B5260" s="14">
        <v>2.2025659999999999E-2</v>
      </c>
      <c r="C5260" s="15">
        <v>1.2379039999999999E-2</v>
      </c>
    </row>
    <row r="5261" spans="1:3" x14ac:dyDescent="0.45">
      <c r="A5261" s="11">
        <v>69.319999999999993</v>
      </c>
      <c r="B5261" s="14">
        <v>2.2050520000000001E-2</v>
      </c>
      <c r="C5261" s="15">
        <v>1.2391879999999999E-2</v>
      </c>
    </row>
    <row r="5262" spans="1:3" x14ac:dyDescent="0.45">
      <c r="A5262" s="11">
        <v>69.33</v>
      </c>
      <c r="B5262" s="14">
        <v>2.2075379999999999E-2</v>
      </c>
      <c r="C5262" s="15">
        <v>1.2404719999999999E-2</v>
      </c>
    </row>
    <row r="5263" spans="1:3" x14ac:dyDescent="0.45">
      <c r="A5263" s="11">
        <v>69.34</v>
      </c>
      <c r="B5263" s="14">
        <v>2.210024E-2</v>
      </c>
      <c r="C5263" s="15">
        <v>1.2417559999999999E-2</v>
      </c>
    </row>
    <row r="5264" spans="1:3" x14ac:dyDescent="0.45">
      <c r="A5264" s="11">
        <v>69.349999999999994</v>
      </c>
      <c r="B5264" s="14">
        <v>2.2125100000000002E-2</v>
      </c>
      <c r="C5264" s="15">
        <v>1.2430399999999999E-2</v>
      </c>
    </row>
    <row r="5265" spans="1:3" x14ac:dyDescent="0.45">
      <c r="A5265" s="11">
        <v>69.36</v>
      </c>
      <c r="B5265" s="14">
        <v>2.214996E-2</v>
      </c>
      <c r="C5265" s="15">
        <v>1.244324E-2</v>
      </c>
    </row>
    <row r="5266" spans="1:3" x14ac:dyDescent="0.45">
      <c r="A5266" s="11">
        <v>69.37</v>
      </c>
      <c r="B5266" s="14">
        <v>2.2174820000000001E-2</v>
      </c>
      <c r="C5266" s="15">
        <v>1.245608E-2</v>
      </c>
    </row>
    <row r="5267" spans="1:3" x14ac:dyDescent="0.45">
      <c r="A5267" s="11">
        <v>69.38</v>
      </c>
      <c r="B5267" s="14">
        <v>2.2199679999999999E-2</v>
      </c>
      <c r="C5267" s="15">
        <v>1.246892E-2</v>
      </c>
    </row>
    <row r="5268" spans="1:3" x14ac:dyDescent="0.45">
      <c r="A5268" s="11">
        <v>69.39</v>
      </c>
      <c r="B5268" s="14">
        <v>2.2224540000000001E-2</v>
      </c>
      <c r="C5268" s="15">
        <v>1.248176E-2</v>
      </c>
    </row>
    <row r="5269" spans="1:3" x14ac:dyDescent="0.45">
      <c r="A5269" s="11">
        <v>69.400000000000006</v>
      </c>
      <c r="B5269" s="14">
        <v>2.2249399999999999E-2</v>
      </c>
      <c r="C5269" s="15">
        <v>1.24946E-2</v>
      </c>
    </row>
    <row r="5270" spans="1:3" x14ac:dyDescent="0.45">
      <c r="A5270" s="11">
        <v>69.41</v>
      </c>
      <c r="B5270" s="14">
        <v>2.2274260000000001E-2</v>
      </c>
      <c r="C5270" s="15">
        <v>1.250744E-2</v>
      </c>
    </row>
    <row r="5271" spans="1:3" x14ac:dyDescent="0.45">
      <c r="A5271" s="11">
        <v>69.42</v>
      </c>
      <c r="B5271" s="14">
        <v>2.2299119999999999E-2</v>
      </c>
      <c r="C5271" s="15">
        <v>1.252028E-2</v>
      </c>
    </row>
    <row r="5272" spans="1:3" x14ac:dyDescent="0.45">
      <c r="A5272" s="11">
        <v>69.430000000000007</v>
      </c>
      <c r="B5272" s="14">
        <v>2.232398E-2</v>
      </c>
      <c r="C5272" s="15">
        <v>1.253312E-2</v>
      </c>
    </row>
    <row r="5273" spans="1:3" x14ac:dyDescent="0.45">
      <c r="A5273" s="11">
        <v>69.44</v>
      </c>
      <c r="B5273" s="14">
        <v>2.2348839999999998E-2</v>
      </c>
      <c r="C5273" s="15">
        <v>1.254596E-2</v>
      </c>
    </row>
    <row r="5274" spans="1:3" x14ac:dyDescent="0.45">
      <c r="A5274" s="11">
        <v>69.45</v>
      </c>
      <c r="B5274" s="14">
        <v>2.23737E-2</v>
      </c>
      <c r="C5274" s="15">
        <v>1.25588E-2</v>
      </c>
    </row>
    <row r="5275" spans="1:3" x14ac:dyDescent="0.45">
      <c r="A5275" s="11">
        <v>69.459999999999994</v>
      </c>
      <c r="B5275" s="14">
        <v>2.2398560000000001E-2</v>
      </c>
      <c r="C5275" s="15">
        <v>1.257164E-2</v>
      </c>
    </row>
    <row r="5276" spans="1:3" x14ac:dyDescent="0.45">
      <c r="A5276" s="11">
        <v>69.47</v>
      </c>
      <c r="B5276" s="14">
        <v>2.2423419999999999E-2</v>
      </c>
      <c r="C5276" s="15">
        <v>1.258448E-2</v>
      </c>
    </row>
    <row r="5277" spans="1:3" x14ac:dyDescent="0.45">
      <c r="A5277" s="11">
        <v>69.48</v>
      </c>
      <c r="B5277" s="14">
        <v>2.2448280000000001E-2</v>
      </c>
      <c r="C5277" s="15">
        <v>1.259732E-2</v>
      </c>
    </row>
    <row r="5278" spans="1:3" x14ac:dyDescent="0.45">
      <c r="A5278" s="11">
        <v>69.489999999999995</v>
      </c>
      <c r="B5278" s="14">
        <v>2.2473139999999999E-2</v>
      </c>
      <c r="C5278" s="15">
        <v>1.261016E-2</v>
      </c>
    </row>
    <row r="5279" spans="1:3" x14ac:dyDescent="0.45">
      <c r="A5279" s="11">
        <v>69.5</v>
      </c>
      <c r="B5279" s="14">
        <v>2.2498000000000001E-2</v>
      </c>
      <c r="C5279" s="15">
        <v>1.2623000000000001E-2</v>
      </c>
    </row>
    <row r="5280" spans="1:3" x14ac:dyDescent="0.45">
      <c r="A5280" s="11">
        <v>69.510000000000005</v>
      </c>
      <c r="B5280" s="14">
        <v>2.2522859999999999E-2</v>
      </c>
      <c r="C5280" s="15">
        <v>1.2635840000000001E-2</v>
      </c>
    </row>
    <row r="5281" spans="1:3" x14ac:dyDescent="0.45">
      <c r="A5281" s="11">
        <v>69.52</v>
      </c>
      <c r="B5281" s="14">
        <v>2.254772E-2</v>
      </c>
      <c r="C5281" s="15">
        <v>1.2648680000000001E-2</v>
      </c>
    </row>
    <row r="5282" spans="1:3" x14ac:dyDescent="0.45">
      <c r="A5282" s="11">
        <v>69.53</v>
      </c>
      <c r="B5282" s="14">
        <v>2.2572579999999998E-2</v>
      </c>
      <c r="C5282" s="15">
        <v>1.2661520000000001E-2</v>
      </c>
    </row>
    <row r="5283" spans="1:3" x14ac:dyDescent="0.45">
      <c r="A5283" s="11">
        <v>69.540000000000006</v>
      </c>
      <c r="B5283" s="14">
        <v>2.259744E-2</v>
      </c>
      <c r="C5283" s="15">
        <v>1.2674360000000001E-2</v>
      </c>
    </row>
    <row r="5284" spans="1:3" x14ac:dyDescent="0.45">
      <c r="A5284" s="11">
        <v>69.55</v>
      </c>
      <c r="B5284" s="14">
        <v>2.2622300000000001E-2</v>
      </c>
      <c r="C5284" s="15">
        <v>1.2687199999999999E-2</v>
      </c>
    </row>
    <row r="5285" spans="1:3" x14ac:dyDescent="0.45">
      <c r="A5285" s="11">
        <v>69.56</v>
      </c>
      <c r="B5285" s="14">
        <v>2.264716E-2</v>
      </c>
      <c r="C5285" s="15">
        <v>1.2700039999999999E-2</v>
      </c>
    </row>
    <row r="5286" spans="1:3" x14ac:dyDescent="0.45">
      <c r="A5286" s="11">
        <v>69.569999999999993</v>
      </c>
      <c r="B5286" s="14">
        <v>2.2672020000000001E-2</v>
      </c>
      <c r="C5286" s="15">
        <v>1.2712879999999999E-2</v>
      </c>
    </row>
    <row r="5287" spans="1:3" x14ac:dyDescent="0.45">
      <c r="A5287" s="11">
        <v>69.58</v>
      </c>
      <c r="B5287" s="14">
        <v>2.2696879999999999E-2</v>
      </c>
      <c r="C5287" s="15">
        <v>1.2725719999999999E-2</v>
      </c>
    </row>
    <row r="5288" spans="1:3" x14ac:dyDescent="0.45">
      <c r="A5288" s="11">
        <v>69.59</v>
      </c>
      <c r="B5288" s="14">
        <v>2.2721740000000001E-2</v>
      </c>
      <c r="C5288" s="15">
        <v>1.2738559999999999E-2</v>
      </c>
    </row>
    <row r="5289" spans="1:3" x14ac:dyDescent="0.45">
      <c r="A5289" s="11">
        <v>69.599999999999994</v>
      </c>
      <c r="B5289" s="14">
        <v>2.2746599999999999E-2</v>
      </c>
      <c r="C5289" s="15">
        <v>1.27514E-2</v>
      </c>
    </row>
    <row r="5290" spans="1:3" x14ac:dyDescent="0.45">
      <c r="A5290" s="11">
        <v>69.61</v>
      </c>
      <c r="B5290" s="14">
        <v>2.277146E-2</v>
      </c>
      <c r="C5290" s="15">
        <v>1.276424E-2</v>
      </c>
    </row>
    <row r="5291" spans="1:3" x14ac:dyDescent="0.45">
      <c r="A5291" s="11">
        <v>69.62</v>
      </c>
      <c r="B5291" s="14">
        <v>2.2796319999999998E-2</v>
      </c>
      <c r="C5291" s="15">
        <v>1.277708E-2</v>
      </c>
    </row>
    <row r="5292" spans="1:3" x14ac:dyDescent="0.45">
      <c r="A5292" s="11">
        <v>69.63</v>
      </c>
      <c r="B5292" s="14">
        <v>2.282118E-2</v>
      </c>
      <c r="C5292" s="15">
        <v>1.278992E-2</v>
      </c>
    </row>
    <row r="5293" spans="1:3" x14ac:dyDescent="0.45">
      <c r="A5293" s="11">
        <v>69.64</v>
      </c>
      <c r="B5293" s="14">
        <v>2.2846040000000001E-2</v>
      </c>
      <c r="C5293" s="15">
        <v>1.280276E-2</v>
      </c>
    </row>
    <row r="5294" spans="1:3" x14ac:dyDescent="0.45">
      <c r="A5294" s="11">
        <v>69.650000000000006</v>
      </c>
      <c r="B5294" s="14">
        <v>2.28709E-2</v>
      </c>
      <c r="C5294" s="15">
        <v>1.28156E-2</v>
      </c>
    </row>
    <row r="5295" spans="1:3" x14ac:dyDescent="0.45">
      <c r="A5295" s="11">
        <v>69.66</v>
      </c>
      <c r="B5295" s="14">
        <v>2.2895760000000001E-2</v>
      </c>
      <c r="C5295" s="15">
        <v>1.282844E-2</v>
      </c>
    </row>
    <row r="5296" spans="1:3" x14ac:dyDescent="0.45">
      <c r="A5296" s="11">
        <v>69.67</v>
      </c>
      <c r="B5296" s="14">
        <v>2.2920619999999999E-2</v>
      </c>
      <c r="C5296" s="15">
        <v>1.284128E-2</v>
      </c>
    </row>
    <row r="5297" spans="1:3" x14ac:dyDescent="0.45">
      <c r="A5297" s="11">
        <v>69.680000000000007</v>
      </c>
      <c r="B5297" s="14">
        <v>2.2945480000000001E-2</v>
      </c>
      <c r="C5297" s="15">
        <v>1.285412E-2</v>
      </c>
    </row>
    <row r="5298" spans="1:3" x14ac:dyDescent="0.45">
      <c r="A5298" s="11">
        <v>69.69</v>
      </c>
      <c r="B5298" s="14">
        <v>2.2970339999999999E-2</v>
      </c>
      <c r="C5298" s="15">
        <v>1.286696E-2</v>
      </c>
    </row>
    <row r="5299" spans="1:3" x14ac:dyDescent="0.45">
      <c r="A5299" s="11">
        <v>69.7</v>
      </c>
      <c r="B5299" s="14">
        <v>2.29952E-2</v>
      </c>
      <c r="C5299" s="15">
        <v>1.28798E-2</v>
      </c>
    </row>
    <row r="5300" spans="1:3" x14ac:dyDescent="0.45">
      <c r="A5300" s="11">
        <v>69.709999999999994</v>
      </c>
      <c r="B5300" s="14">
        <v>2.3020059999999998E-2</v>
      </c>
      <c r="C5300" s="15">
        <v>1.289264E-2</v>
      </c>
    </row>
    <row r="5301" spans="1:3" x14ac:dyDescent="0.45">
      <c r="A5301" s="11">
        <v>69.72</v>
      </c>
      <c r="B5301" s="14">
        <v>2.304492E-2</v>
      </c>
      <c r="C5301" s="15">
        <v>1.290548E-2</v>
      </c>
    </row>
    <row r="5302" spans="1:3" x14ac:dyDescent="0.45">
      <c r="A5302" s="11">
        <v>69.73</v>
      </c>
      <c r="B5302" s="14">
        <v>2.3069780000000002E-2</v>
      </c>
      <c r="C5302" s="15">
        <v>1.291832E-2</v>
      </c>
    </row>
    <row r="5303" spans="1:3" x14ac:dyDescent="0.45">
      <c r="A5303" s="11">
        <v>69.739999999999995</v>
      </c>
      <c r="B5303" s="14">
        <v>2.309464E-2</v>
      </c>
      <c r="C5303" s="15">
        <v>1.2931160000000001E-2</v>
      </c>
    </row>
    <row r="5304" spans="1:3" x14ac:dyDescent="0.45">
      <c r="A5304" s="11">
        <v>69.75</v>
      </c>
      <c r="B5304" s="14">
        <v>2.3119500000000001E-2</v>
      </c>
      <c r="C5304" s="15">
        <v>1.2944000000000001E-2</v>
      </c>
    </row>
    <row r="5305" spans="1:3" x14ac:dyDescent="0.45">
      <c r="A5305" s="11">
        <v>69.760000000000005</v>
      </c>
      <c r="B5305" s="14">
        <v>2.3144359999999999E-2</v>
      </c>
      <c r="C5305" s="15">
        <v>1.2956840000000001E-2</v>
      </c>
    </row>
    <row r="5306" spans="1:3" x14ac:dyDescent="0.45">
      <c r="A5306" s="11">
        <v>69.77</v>
      </c>
      <c r="B5306" s="14">
        <v>2.3169220000000001E-2</v>
      </c>
      <c r="C5306" s="15">
        <v>1.2969680000000001E-2</v>
      </c>
    </row>
    <row r="5307" spans="1:3" x14ac:dyDescent="0.45">
      <c r="A5307" s="11">
        <v>69.78</v>
      </c>
      <c r="B5307" s="14">
        <v>2.3194079999999999E-2</v>
      </c>
      <c r="C5307" s="15">
        <v>1.2982520000000001E-2</v>
      </c>
    </row>
    <row r="5308" spans="1:3" x14ac:dyDescent="0.45">
      <c r="A5308" s="11">
        <v>69.790000000000006</v>
      </c>
      <c r="B5308" s="14">
        <v>2.321894E-2</v>
      </c>
      <c r="C5308" s="15">
        <v>1.2995359999999999E-2</v>
      </c>
    </row>
    <row r="5309" spans="1:3" x14ac:dyDescent="0.45">
      <c r="A5309" s="11">
        <v>69.8</v>
      </c>
      <c r="B5309" s="14">
        <v>2.3243799999999998E-2</v>
      </c>
      <c r="C5309" s="15">
        <v>1.3008199999999999E-2</v>
      </c>
    </row>
    <row r="5310" spans="1:3" x14ac:dyDescent="0.45">
      <c r="A5310" s="11">
        <v>69.81</v>
      </c>
      <c r="B5310" s="14">
        <v>2.326866E-2</v>
      </c>
      <c r="C5310" s="15">
        <v>1.3021039999999999E-2</v>
      </c>
    </row>
    <row r="5311" spans="1:3" x14ac:dyDescent="0.45">
      <c r="A5311" s="11">
        <v>69.819999999999993</v>
      </c>
      <c r="B5311" s="14">
        <v>2.3293520000000002E-2</v>
      </c>
      <c r="C5311" s="15">
        <v>1.3033879999999999E-2</v>
      </c>
    </row>
    <row r="5312" spans="1:3" x14ac:dyDescent="0.45">
      <c r="A5312" s="11">
        <v>69.83</v>
      </c>
      <c r="B5312" s="14">
        <v>2.331838E-2</v>
      </c>
      <c r="C5312" s="15">
        <v>1.3046719999999999E-2</v>
      </c>
    </row>
    <row r="5313" spans="1:3" x14ac:dyDescent="0.45">
      <c r="A5313" s="11">
        <v>69.84</v>
      </c>
      <c r="B5313" s="14">
        <v>2.3343240000000001E-2</v>
      </c>
      <c r="C5313" s="15">
        <v>1.305956E-2</v>
      </c>
    </row>
    <row r="5314" spans="1:3" x14ac:dyDescent="0.45">
      <c r="A5314" s="11">
        <v>69.849999999999994</v>
      </c>
      <c r="B5314" s="14">
        <v>2.3368099999999999E-2</v>
      </c>
      <c r="C5314" s="15">
        <v>1.30724E-2</v>
      </c>
    </row>
    <row r="5315" spans="1:3" x14ac:dyDescent="0.45">
      <c r="A5315" s="11">
        <v>69.86</v>
      </c>
      <c r="B5315" s="14">
        <v>2.3392960000000001E-2</v>
      </c>
      <c r="C5315" s="15">
        <v>1.308524E-2</v>
      </c>
    </row>
    <row r="5316" spans="1:3" x14ac:dyDescent="0.45">
      <c r="A5316" s="11">
        <v>69.87</v>
      </c>
      <c r="B5316" s="14">
        <v>2.3417819999999999E-2</v>
      </c>
      <c r="C5316" s="15">
        <v>1.309808E-2</v>
      </c>
    </row>
    <row r="5317" spans="1:3" x14ac:dyDescent="0.45">
      <c r="A5317" s="11">
        <v>69.88</v>
      </c>
      <c r="B5317" s="14">
        <v>2.344268E-2</v>
      </c>
      <c r="C5317" s="15">
        <v>1.311092E-2</v>
      </c>
    </row>
    <row r="5318" spans="1:3" x14ac:dyDescent="0.45">
      <c r="A5318" s="11">
        <v>69.89</v>
      </c>
      <c r="B5318" s="14">
        <v>2.3467539999999999E-2</v>
      </c>
      <c r="C5318" s="15">
        <v>1.312376E-2</v>
      </c>
    </row>
    <row r="5319" spans="1:3" x14ac:dyDescent="0.45">
      <c r="A5319" s="11">
        <v>69.900000000000006</v>
      </c>
      <c r="B5319" s="14">
        <v>2.34924E-2</v>
      </c>
      <c r="C5319" s="15">
        <v>1.31366E-2</v>
      </c>
    </row>
    <row r="5320" spans="1:3" x14ac:dyDescent="0.45">
      <c r="A5320" s="11">
        <v>69.91</v>
      </c>
      <c r="B5320" s="14">
        <v>2.3517260000000002E-2</v>
      </c>
      <c r="C5320" s="15">
        <v>1.314944E-2</v>
      </c>
    </row>
    <row r="5321" spans="1:3" x14ac:dyDescent="0.45">
      <c r="A5321" s="11">
        <v>69.92</v>
      </c>
      <c r="B5321" s="14">
        <v>2.354212E-2</v>
      </c>
      <c r="C5321" s="15">
        <v>1.316228E-2</v>
      </c>
    </row>
    <row r="5322" spans="1:3" x14ac:dyDescent="0.45">
      <c r="A5322" s="11">
        <v>69.930000000000007</v>
      </c>
      <c r="B5322" s="14">
        <v>2.3566980000000001E-2</v>
      </c>
      <c r="C5322" s="15">
        <v>1.317512E-2</v>
      </c>
    </row>
    <row r="5323" spans="1:3" x14ac:dyDescent="0.45">
      <c r="A5323" s="11">
        <v>69.94</v>
      </c>
      <c r="B5323" s="14">
        <v>2.3591839999999999E-2</v>
      </c>
      <c r="C5323" s="15">
        <v>1.318796E-2</v>
      </c>
    </row>
    <row r="5324" spans="1:3" x14ac:dyDescent="0.45">
      <c r="A5324" s="11">
        <v>69.95</v>
      </c>
      <c r="B5324" s="14">
        <v>2.3616700000000001E-2</v>
      </c>
      <c r="C5324" s="15">
        <v>1.32008E-2</v>
      </c>
    </row>
    <row r="5325" spans="1:3" x14ac:dyDescent="0.45">
      <c r="A5325" s="11">
        <v>69.959999999999994</v>
      </c>
      <c r="B5325" s="14">
        <v>2.3641559999999999E-2</v>
      </c>
      <c r="C5325" s="15">
        <v>1.321364E-2</v>
      </c>
    </row>
    <row r="5326" spans="1:3" x14ac:dyDescent="0.45">
      <c r="A5326" s="11">
        <v>69.97</v>
      </c>
      <c r="B5326" s="14">
        <v>2.3666420000000001E-2</v>
      </c>
      <c r="C5326" s="15">
        <v>1.3226480000000001E-2</v>
      </c>
    </row>
    <row r="5327" spans="1:3" x14ac:dyDescent="0.45">
      <c r="A5327" s="11">
        <v>69.98</v>
      </c>
      <c r="B5327" s="14">
        <v>2.3691279999999999E-2</v>
      </c>
      <c r="C5327" s="15">
        <v>1.3239320000000001E-2</v>
      </c>
    </row>
    <row r="5328" spans="1:3" x14ac:dyDescent="0.45">
      <c r="A5328" s="11">
        <v>69.989999999999995</v>
      </c>
      <c r="B5328" s="14">
        <v>2.371614E-2</v>
      </c>
      <c r="C5328" s="15">
        <v>1.3252160000000001E-2</v>
      </c>
    </row>
    <row r="5329" spans="1:3" x14ac:dyDescent="0.45">
      <c r="A5329" s="11">
        <v>70</v>
      </c>
      <c r="B5329" s="14">
        <v>2.3741000000000002E-2</v>
      </c>
      <c r="C5329" s="15">
        <v>1.3265000000000001E-2</v>
      </c>
    </row>
    <row r="5330" spans="1:3" x14ac:dyDescent="0.45">
      <c r="A5330" s="11">
        <v>70.010000000000005</v>
      </c>
      <c r="B5330" s="14">
        <v>2.3768549999999999E-2</v>
      </c>
      <c r="C5330" s="15">
        <v>1.327922E-2</v>
      </c>
    </row>
    <row r="5331" spans="1:3" x14ac:dyDescent="0.45">
      <c r="A5331" s="11">
        <v>70.02</v>
      </c>
      <c r="B5331" s="14">
        <v>2.3796100000000001E-2</v>
      </c>
      <c r="C5331" s="15">
        <v>1.329344E-2</v>
      </c>
    </row>
    <row r="5332" spans="1:3" x14ac:dyDescent="0.45">
      <c r="A5332" s="11">
        <v>70.03</v>
      </c>
      <c r="B5332" s="14">
        <v>2.3823649999999998E-2</v>
      </c>
      <c r="C5332" s="15">
        <v>1.3307660000000001E-2</v>
      </c>
    </row>
    <row r="5333" spans="1:3" x14ac:dyDescent="0.45">
      <c r="A5333" s="11">
        <v>70.040000000000006</v>
      </c>
      <c r="B5333" s="14">
        <v>2.3851199999999999E-2</v>
      </c>
      <c r="C5333" s="15">
        <v>1.3321879999999999E-2</v>
      </c>
    </row>
    <row r="5334" spans="1:3" x14ac:dyDescent="0.45">
      <c r="A5334" s="11">
        <v>70.05</v>
      </c>
      <c r="B5334" s="14">
        <v>2.3878750000000001E-2</v>
      </c>
      <c r="C5334" s="15">
        <v>1.33361E-2</v>
      </c>
    </row>
    <row r="5335" spans="1:3" x14ac:dyDescent="0.45">
      <c r="A5335" s="11">
        <v>70.06</v>
      </c>
      <c r="B5335" s="14">
        <v>2.3906299999999998E-2</v>
      </c>
      <c r="C5335" s="15">
        <v>1.3350320000000001E-2</v>
      </c>
    </row>
    <row r="5336" spans="1:3" x14ac:dyDescent="0.45">
      <c r="A5336" s="11">
        <v>70.069999999999993</v>
      </c>
      <c r="B5336" s="14">
        <v>2.393385E-2</v>
      </c>
      <c r="C5336" s="15">
        <v>1.3364539999999999E-2</v>
      </c>
    </row>
    <row r="5337" spans="1:3" x14ac:dyDescent="0.45">
      <c r="A5337" s="11">
        <v>70.08</v>
      </c>
      <c r="B5337" s="14">
        <v>2.3961400000000001E-2</v>
      </c>
      <c r="C5337" s="15">
        <v>1.337876E-2</v>
      </c>
    </row>
    <row r="5338" spans="1:3" x14ac:dyDescent="0.45">
      <c r="A5338" s="11">
        <v>70.09</v>
      </c>
      <c r="B5338" s="14">
        <v>2.3988949999999998E-2</v>
      </c>
      <c r="C5338" s="15">
        <v>1.3392980000000001E-2</v>
      </c>
    </row>
    <row r="5339" spans="1:3" x14ac:dyDescent="0.45">
      <c r="A5339" s="11">
        <v>70.099999999999994</v>
      </c>
      <c r="B5339" s="14">
        <v>2.40165E-2</v>
      </c>
      <c r="C5339" s="15">
        <v>1.3407199999999999E-2</v>
      </c>
    </row>
    <row r="5340" spans="1:3" x14ac:dyDescent="0.45">
      <c r="A5340" s="11">
        <v>70.11</v>
      </c>
      <c r="B5340" s="14">
        <v>2.4044050000000001E-2</v>
      </c>
      <c r="C5340" s="15">
        <v>1.342142E-2</v>
      </c>
    </row>
    <row r="5341" spans="1:3" x14ac:dyDescent="0.45">
      <c r="A5341" s="11">
        <v>70.12</v>
      </c>
      <c r="B5341" s="14">
        <v>2.4071599999999999E-2</v>
      </c>
      <c r="C5341" s="15">
        <v>1.343564E-2</v>
      </c>
    </row>
    <row r="5342" spans="1:3" x14ac:dyDescent="0.45">
      <c r="A5342" s="11">
        <v>70.13</v>
      </c>
      <c r="B5342" s="14">
        <v>2.409915E-2</v>
      </c>
      <c r="C5342" s="15">
        <v>1.3449859999999999E-2</v>
      </c>
    </row>
    <row r="5343" spans="1:3" x14ac:dyDescent="0.45">
      <c r="A5343" s="11">
        <v>70.14</v>
      </c>
      <c r="B5343" s="14">
        <v>2.4126700000000001E-2</v>
      </c>
      <c r="C5343" s="15">
        <v>1.346408E-2</v>
      </c>
    </row>
    <row r="5344" spans="1:3" x14ac:dyDescent="0.45">
      <c r="A5344" s="11">
        <v>70.150000000000006</v>
      </c>
      <c r="B5344" s="14">
        <v>2.4154249999999999E-2</v>
      </c>
      <c r="C5344" s="15">
        <v>1.34783E-2</v>
      </c>
    </row>
    <row r="5345" spans="1:3" x14ac:dyDescent="0.45">
      <c r="A5345" s="11">
        <v>70.16</v>
      </c>
      <c r="B5345" s="14">
        <v>2.41818E-2</v>
      </c>
      <c r="C5345" s="15">
        <v>1.3492519999999999E-2</v>
      </c>
    </row>
    <row r="5346" spans="1:3" x14ac:dyDescent="0.45">
      <c r="A5346" s="11">
        <v>70.17</v>
      </c>
      <c r="B5346" s="14">
        <v>2.4209350000000001E-2</v>
      </c>
      <c r="C5346" s="15">
        <v>1.350674E-2</v>
      </c>
    </row>
    <row r="5347" spans="1:3" x14ac:dyDescent="0.45">
      <c r="A5347" s="11">
        <v>70.180000000000007</v>
      </c>
      <c r="B5347" s="14">
        <v>2.4236899999999999E-2</v>
      </c>
      <c r="C5347" s="15">
        <v>1.352096E-2</v>
      </c>
    </row>
    <row r="5348" spans="1:3" x14ac:dyDescent="0.45">
      <c r="A5348" s="11">
        <v>70.19</v>
      </c>
      <c r="B5348" s="14">
        <v>2.426445E-2</v>
      </c>
      <c r="C5348" s="15">
        <v>1.3535180000000001E-2</v>
      </c>
    </row>
    <row r="5349" spans="1:3" x14ac:dyDescent="0.45">
      <c r="A5349" s="11">
        <v>70.2</v>
      </c>
      <c r="B5349" s="14">
        <v>2.4292000000000001E-2</v>
      </c>
      <c r="C5349" s="15">
        <v>1.35494E-2</v>
      </c>
    </row>
    <row r="5350" spans="1:3" x14ac:dyDescent="0.45">
      <c r="A5350" s="11">
        <v>70.209999999999994</v>
      </c>
      <c r="B5350" s="14">
        <v>2.4319549999999999E-2</v>
      </c>
      <c r="C5350" s="15">
        <v>1.356362E-2</v>
      </c>
    </row>
    <row r="5351" spans="1:3" x14ac:dyDescent="0.45">
      <c r="A5351" s="11">
        <v>70.22</v>
      </c>
      <c r="B5351" s="14">
        <v>2.43471E-2</v>
      </c>
      <c r="C5351" s="15">
        <v>1.3577840000000001E-2</v>
      </c>
    </row>
    <row r="5352" spans="1:3" x14ac:dyDescent="0.45">
      <c r="A5352" s="11">
        <v>70.23</v>
      </c>
      <c r="B5352" s="14">
        <v>2.4374650000000001E-2</v>
      </c>
      <c r="C5352" s="15">
        <v>1.359206E-2</v>
      </c>
    </row>
    <row r="5353" spans="1:3" x14ac:dyDescent="0.45">
      <c r="A5353" s="11">
        <v>70.239999999999995</v>
      </c>
      <c r="B5353" s="14">
        <v>2.4402199999999999E-2</v>
      </c>
      <c r="C5353" s="15">
        <v>1.360628E-2</v>
      </c>
    </row>
    <row r="5354" spans="1:3" x14ac:dyDescent="0.45">
      <c r="A5354" s="11">
        <v>70.25</v>
      </c>
      <c r="B5354" s="14">
        <v>2.442975E-2</v>
      </c>
      <c r="C5354" s="15">
        <v>1.3620500000000001E-2</v>
      </c>
    </row>
    <row r="5355" spans="1:3" x14ac:dyDescent="0.45">
      <c r="A5355" s="11">
        <v>70.260000000000005</v>
      </c>
      <c r="B5355" s="14">
        <v>2.4457300000000001E-2</v>
      </c>
      <c r="C5355" s="15">
        <v>1.3634719999999999E-2</v>
      </c>
    </row>
    <row r="5356" spans="1:3" x14ac:dyDescent="0.45">
      <c r="A5356" s="11">
        <v>70.27</v>
      </c>
      <c r="B5356" s="14">
        <v>2.4484849999999999E-2</v>
      </c>
      <c r="C5356" s="15">
        <v>1.364894E-2</v>
      </c>
    </row>
    <row r="5357" spans="1:3" x14ac:dyDescent="0.45">
      <c r="A5357" s="11">
        <v>70.28</v>
      </c>
      <c r="B5357" s="14">
        <v>2.45124E-2</v>
      </c>
      <c r="C5357" s="15">
        <v>1.3663160000000001E-2</v>
      </c>
    </row>
    <row r="5358" spans="1:3" x14ac:dyDescent="0.45">
      <c r="A5358" s="11">
        <v>70.290000000000006</v>
      </c>
      <c r="B5358" s="14">
        <v>2.4539950000000001E-2</v>
      </c>
      <c r="C5358" s="15">
        <v>1.3677379999999999E-2</v>
      </c>
    </row>
    <row r="5359" spans="1:3" x14ac:dyDescent="0.45">
      <c r="A5359" s="11">
        <v>70.3</v>
      </c>
      <c r="B5359" s="14">
        <v>2.4567499999999999E-2</v>
      </c>
      <c r="C5359" s="15">
        <v>1.36916E-2</v>
      </c>
    </row>
    <row r="5360" spans="1:3" x14ac:dyDescent="0.45">
      <c r="A5360" s="11">
        <v>70.31</v>
      </c>
      <c r="B5360" s="14">
        <v>2.459505E-2</v>
      </c>
      <c r="C5360" s="15">
        <v>1.3705820000000001E-2</v>
      </c>
    </row>
    <row r="5361" spans="1:3" x14ac:dyDescent="0.45">
      <c r="A5361" s="11">
        <v>70.319999999999993</v>
      </c>
      <c r="B5361" s="14">
        <v>2.4622600000000001E-2</v>
      </c>
      <c r="C5361" s="15">
        <v>1.3720039999999999E-2</v>
      </c>
    </row>
    <row r="5362" spans="1:3" x14ac:dyDescent="0.45">
      <c r="A5362" s="11">
        <v>70.33</v>
      </c>
      <c r="B5362" s="14">
        <v>2.4650149999999999E-2</v>
      </c>
      <c r="C5362" s="15">
        <v>1.373426E-2</v>
      </c>
    </row>
    <row r="5363" spans="1:3" x14ac:dyDescent="0.45">
      <c r="A5363" s="11">
        <v>70.34</v>
      </c>
      <c r="B5363" s="14">
        <v>2.46777E-2</v>
      </c>
      <c r="C5363" s="15">
        <v>1.374848E-2</v>
      </c>
    </row>
    <row r="5364" spans="1:3" x14ac:dyDescent="0.45">
      <c r="A5364" s="11">
        <v>70.349999999999994</v>
      </c>
      <c r="B5364" s="14">
        <v>2.4705250000000002E-2</v>
      </c>
      <c r="C5364" s="15">
        <v>1.3762699999999999E-2</v>
      </c>
    </row>
    <row r="5365" spans="1:3" x14ac:dyDescent="0.45">
      <c r="A5365" s="11">
        <v>70.36</v>
      </c>
      <c r="B5365" s="14">
        <v>2.4732799999999999E-2</v>
      </c>
      <c r="C5365" s="15">
        <v>1.377692E-2</v>
      </c>
    </row>
    <row r="5366" spans="1:3" x14ac:dyDescent="0.45">
      <c r="A5366" s="11">
        <v>70.37</v>
      </c>
      <c r="B5366" s="14">
        <v>2.476035E-2</v>
      </c>
      <c r="C5366" s="15">
        <v>1.379114E-2</v>
      </c>
    </row>
    <row r="5367" spans="1:3" x14ac:dyDescent="0.45">
      <c r="A5367" s="11">
        <v>70.38</v>
      </c>
      <c r="B5367" s="14">
        <v>2.4787900000000002E-2</v>
      </c>
      <c r="C5367" s="15">
        <v>1.3805359999999999E-2</v>
      </c>
    </row>
    <row r="5368" spans="1:3" x14ac:dyDescent="0.45">
      <c r="A5368" s="11">
        <v>70.39</v>
      </c>
      <c r="B5368" s="14">
        <v>2.4815449999999999E-2</v>
      </c>
      <c r="C5368" s="15">
        <v>1.381958E-2</v>
      </c>
    </row>
    <row r="5369" spans="1:3" x14ac:dyDescent="0.45">
      <c r="A5369" s="11">
        <v>70.400000000000006</v>
      </c>
      <c r="B5369" s="14">
        <v>2.4843E-2</v>
      </c>
      <c r="C5369" s="15">
        <v>1.38338E-2</v>
      </c>
    </row>
    <row r="5370" spans="1:3" x14ac:dyDescent="0.45">
      <c r="A5370" s="11">
        <v>70.41</v>
      </c>
      <c r="B5370" s="14">
        <v>2.4870550000000002E-2</v>
      </c>
      <c r="C5370" s="15">
        <v>1.3848020000000001E-2</v>
      </c>
    </row>
    <row r="5371" spans="1:3" x14ac:dyDescent="0.45">
      <c r="A5371" s="11">
        <v>70.42</v>
      </c>
      <c r="B5371" s="14">
        <v>2.4898099999999999E-2</v>
      </c>
      <c r="C5371" s="15">
        <v>1.386224E-2</v>
      </c>
    </row>
    <row r="5372" spans="1:3" x14ac:dyDescent="0.45">
      <c r="A5372" s="11">
        <v>70.430000000000007</v>
      </c>
      <c r="B5372" s="14">
        <v>2.4925650000000001E-2</v>
      </c>
      <c r="C5372" s="15">
        <v>1.387646E-2</v>
      </c>
    </row>
    <row r="5373" spans="1:3" x14ac:dyDescent="0.45">
      <c r="A5373" s="11">
        <v>70.44</v>
      </c>
      <c r="B5373" s="14">
        <v>2.4953199999999998E-2</v>
      </c>
      <c r="C5373" s="15">
        <v>1.3890680000000001E-2</v>
      </c>
    </row>
    <row r="5374" spans="1:3" x14ac:dyDescent="0.45">
      <c r="A5374" s="11">
        <v>70.45</v>
      </c>
      <c r="B5374" s="14">
        <v>2.4980749999999999E-2</v>
      </c>
      <c r="C5374" s="15">
        <v>1.39049E-2</v>
      </c>
    </row>
    <row r="5375" spans="1:3" x14ac:dyDescent="0.45">
      <c r="A5375" s="11">
        <v>70.459999999999994</v>
      </c>
      <c r="B5375" s="14">
        <v>2.5008300000000001E-2</v>
      </c>
      <c r="C5375" s="15">
        <v>1.391912E-2</v>
      </c>
    </row>
    <row r="5376" spans="1:3" x14ac:dyDescent="0.45">
      <c r="A5376" s="11">
        <v>70.47</v>
      </c>
      <c r="B5376" s="14">
        <v>2.5035849999999998E-2</v>
      </c>
      <c r="C5376" s="15">
        <v>1.3933340000000001E-2</v>
      </c>
    </row>
    <row r="5377" spans="1:3" x14ac:dyDescent="0.45">
      <c r="A5377" s="11">
        <v>70.48</v>
      </c>
      <c r="B5377" s="14">
        <v>2.50634E-2</v>
      </c>
      <c r="C5377" s="15">
        <v>1.3947559999999999E-2</v>
      </c>
    </row>
    <row r="5378" spans="1:3" x14ac:dyDescent="0.45">
      <c r="A5378" s="11">
        <v>70.489999999999995</v>
      </c>
      <c r="B5378" s="14">
        <v>2.5090950000000001E-2</v>
      </c>
      <c r="C5378" s="15">
        <v>1.396178E-2</v>
      </c>
    </row>
    <row r="5379" spans="1:3" x14ac:dyDescent="0.45">
      <c r="A5379" s="11">
        <v>70.5</v>
      </c>
      <c r="B5379" s="14">
        <v>2.5118499999999998E-2</v>
      </c>
      <c r="C5379" s="15">
        <v>1.3976000000000001E-2</v>
      </c>
    </row>
    <row r="5380" spans="1:3" x14ac:dyDescent="0.45">
      <c r="A5380" s="11">
        <v>70.510000000000005</v>
      </c>
      <c r="B5380" s="14">
        <v>2.514605E-2</v>
      </c>
      <c r="C5380" s="15">
        <v>1.3990219999999999E-2</v>
      </c>
    </row>
    <row r="5381" spans="1:3" x14ac:dyDescent="0.45">
      <c r="A5381" s="11">
        <v>70.52</v>
      </c>
      <c r="B5381" s="14">
        <v>2.5173600000000001E-2</v>
      </c>
      <c r="C5381" s="15">
        <v>1.400444E-2</v>
      </c>
    </row>
    <row r="5382" spans="1:3" x14ac:dyDescent="0.45">
      <c r="A5382" s="11">
        <v>70.53</v>
      </c>
      <c r="B5382" s="14">
        <v>2.5201149999999999E-2</v>
      </c>
      <c r="C5382" s="15">
        <v>1.401866E-2</v>
      </c>
    </row>
    <row r="5383" spans="1:3" x14ac:dyDescent="0.45">
      <c r="A5383" s="11">
        <v>70.540000000000006</v>
      </c>
      <c r="B5383" s="14">
        <v>2.52287E-2</v>
      </c>
      <c r="C5383" s="15">
        <v>1.4032879999999999E-2</v>
      </c>
    </row>
    <row r="5384" spans="1:3" x14ac:dyDescent="0.45">
      <c r="A5384" s="11">
        <v>70.55</v>
      </c>
      <c r="B5384" s="14">
        <v>2.5256250000000001E-2</v>
      </c>
      <c r="C5384" s="15">
        <v>1.40471E-2</v>
      </c>
    </row>
    <row r="5385" spans="1:3" x14ac:dyDescent="0.45">
      <c r="A5385" s="11">
        <v>70.56</v>
      </c>
      <c r="B5385" s="14">
        <v>2.5283799999999999E-2</v>
      </c>
      <c r="C5385" s="15">
        <v>1.406132E-2</v>
      </c>
    </row>
    <row r="5386" spans="1:3" x14ac:dyDescent="0.45">
      <c r="A5386" s="11">
        <v>70.569999999999993</v>
      </c>
      <c r="B5386" s="14">
        <v>2.531135E-2</v>
      </c>
      <c r="C5386" s="15">
        <v>1.4075539999999999E-2</v>
      </c>
    </row>
    <row r="5387" spans="1:3" x14ac:dyDescent="0.45">
      <c r="A5387" s="11">
        <v>70.58</v>
      </c>
      <c r="B5387" s="14">
        <v>2.5338900000000001E-2</v>
      </c>
      <c r="C5387" s="15">
        <v>1.408976E-2</v>
      </c>
    </row>
    <row r="5388" spans="1:3" x14ac:dyDescent="0.45">
      <c r="A5388" s="11">
        <v>70.59</v>
      </c>
      <c r="B5388" s="14">
        <v>2.5366449999999999E-2</v>
      </c>
      <c r="C5388" s="15">
        <v>1.410398E-2</v>
      </c>
    </row>
    <row r="5389" spans="1:3" x14ac:dyDescent="0.45">
      <c r="A5389" s="11">
        <v>70.599999999999994</v>
      </c>
      <c r="B5389" s="14">
        <v>2.5394E-2</v>
      </c>
      <c r="C5389" s="15">
        <v>1.4118199999999999E-2</v>
      </c>
    </row>
    <row r="5390" spans="1:3" x14ac:dyDescent="0.45">
      <c r="A5390" s="11">
        <v>70.61</v>
      </c>
      <c r="B5390" s="14">
        <v>2.5421550000000001E-2</v>
      </c>
      <c r="C5390" s="15">
        <v>1.413242E-2</v>
      </c>
    </row>
    <row r="5391" spans="1:3" x14ac:dyDescent="0.45">
      <c r="A5391" s="11">
        <v>70.62</v>
      </c>
      <c r="B5391" s="14">
        <v>2.5449099999999999E-2</v>
      </c>
      <c r="C5391" s="15">
        <v>1.414664E-2</v>
      </c>
    </row>
    <row r="5392" spans="1:3" x14ac:dyDescent="0.45">
      <c r="A5392" s="11">
        <v>70.63</v>
      </c>
      <c r="B5392" s="14">
        <v>2.547665E-2</v>
      </c>
      <c r="C5392" s="15">
        <v>1.4160860000000001E-2</v>
      </c>
    </row>
    <row r="5393" spans="1:3" x14ac:dyDescent="0.45">
      <c r="A5393" s="11">
        <v>70.64</v>
      </c>
      <c r="B5393" s="14">
        <v>2.5504200000000001E-2</v>
      </c>
      <c r="C5393" s="15">
        <v>1.417508E-2</v>
      </c>
    </row>
    <row r="5394" spans="1:3" x14ac:dyDescent="0.45">
      <c r="A5394" s="11">
        <v>70.650000000000006</v>
      </c>
      <c r="B5394" s="14">
        <v>2.5531749999999999E-2</v>
      </c>
      <c r="C5394" s="15">
        <v>1.41893E-2</v>
      </c>
    </row>
    <row r="5395" spans="1:3" x14ac:dyDescent="0.45">
      <c r="A5395" s="11">
        <v>70.66</v>
      </c>
      <c r="B5395" s="14">
        <v>2.55593E-2</v>
      </c>
      <c r="C5395" s="15">
        <v>1.4203520000000001E-2</v>
      </c>
    </row>
    <row r="5396" spans="1:3" x14ac:dyDescent="0.45">
      <c r="A5396" s="11">
        <v>70.67</v>
      </c>
      <c r="B5396" s="14">
        <v>2.5586850000000001E-2</v>
      </c>
      <c r="C5396" s="15">
        <v>1.421774E-2</v>
      </c>
    </row>
    <row r="5397" spans="1:3" x14ac:dyDescent="0.45">
      <c r="A5397" s="11">
        <v>70.680000000000007</v>
      </c>
      <c r="B5397" s="14">
        <v>2.5614399999999999E-2</v>
      </c>
      <c r="C5397" s="15">
        <v>1.423196E-2</v>
      </c>
    </row>
    <row r="5398" spans="1:3" x14ac:dyDescent="0.45">
      <c r="A5398" s="11">
        <v>70.69</v>
      </c>
      <c r="B5398" s="14">
        <v>2.564195E-2</v>
      </c>
      <c r="C5398" s="15">
        <v>1.4246180000000001E-2</v>
      </c>
    </row>
    <row r="5399" spans="1:3" x14ac:dyDescent="0.45">
      <c r="A5399" s="11">
        <v>70.7</v>
      </c>
      <c r="B5399" s="14">
        <v>2.5669500000000001E-2</v>
      </c>
      <c r="C5399" s="15">
        <v>1.4260399999999999E-2</v>
      </c>
    </row>
    <row r="5400" spans="1:3" x14ac:dyDescent="0.45">
      <c r="A5400" s="11">
        <v>70.709999999999994</v>
      </c>
      <c r="B5400" s="14">
        <v>2.5697049999999999E-2</v>
      </c>
      <c r="C5400" s="15">
        <v>1.427462E-2</v>
      </c>
    </row>
    <row r="5401" spans="1:3" x14ac:dyDescent="0.45">
      <c r="A5401" s="11">
        <v>70.72</v>
      </c>
      <c r="B5401" s="14">
        <v>2.57246E-2</v>
      </c>
      <c r="C5401" s="15">
        <v>1.4288840000000001E-2</v>
      </c>
    </row>
    <row r="5402" spans="1:3" x14ac:dyDescent="0.45">
      <c r="A5402" s="11">
        <v>70.73</v>
      </c>
      <c r="B5402" s="14">
        <v>2.5752150000000001E-2</v>
      </c>
      <c r="C5402" s="15">
        <v>1.4303059999999999E-2</v>
      </c>
    </row>
    <row r="5403" spans="1:3" x14ac:dyDescent="0.45">
      <c r="A5403" s="11">
        <v>70.739999999999995</v>
      </c>
      <c r="B5403" s="14">
        <v>2.5779699999999999E-2</v>
      </c>
      <c r="C5403" s="15">
        <v>1.431728E-2</v>
      </c>
    </row>
    <row r="5404" spans="1:3" x14ac:dyDescent="0.45">
      <c r="A5404" s="11">
        <v>70.75</v>
      </c>
      <c r="B5404" s="14">
        <v>2.580725E-2</v>
      </c>
      <c r="C5404" s="15">
        <v>1.43315E-2</v>
      </c>
    </row>
    <row r="5405" spans="1:3" x14ac:dyDescent="0.45">
      <c r="A5405" s="11">
        <v>70.760000000000005</v>
      </c>
      <c r="B5405" s="14">
        <v>2.5834800000000002E-2</v>
      </c>
      <c r="C5405" s="15">
        <v>1.4345719999999999E-2</v>
      </c>
    </row>
    <row r="5406" spans="1:3" x14ac:dyDescent="0.45">
      <c r="A5406" s="11">
        <v>70.77</v>
      </c>
      <c r="B5406" s="14">
        <v>2.5862349999999999E-2</v>
      </c>
      <c r="C5406" s="15">
        <v>1.435994E-2</v>
      </c>
    </row>
    <row r="5407" spans="1:3" x14ac:dyDescent="0.45">
      <c r="A5407" s="11">
        <v>70.78</v>
      </c>
      <c r="B5407" s="14">
        <v>2.58899E-2</v>
      </c>
      <c r="C5407" s="15">
        <v>1.437416E-2</v>
      </c>
    </row>
    <row r="5408" spans="1:3" x14ac:dyDescent="0.45">
      <c r="A5408" s="11">
        <v>70.790000000000006</v>
      </c>
      <c r="B5408" s="14">
        <v>2.5917450000000002E-2</v>
      </c>
      <c r="C5408" s="15">
        <v>1.4388379999999999E-2</v>
      </c>
    </row>
    <row r="5409" spans="1:3" x14ac:dyDescent="0.45">
      <c r="A5409" s="11">
        <v>70.8</v>
      </c>
      <c r="B5409" s="14">
        <v>2.5944999999999999E-2</v>
      </c>
      <c r="C5409" s="15">
        <v>1.44026E-2</v>
      </c>
    </row>
    <row r="5410" spans="1:3" x14ac:dyDescent="0.45">
      <c r="A5410" s="11">
        <v>70.81</v>
      </c>
      <c r="B5410" s="14">
        <v>2.597255E-2</v>
      </c>
      <c r="C5410" s="15">
        <v>1.441682E-2</v>
      </c>
    </row>
    <row r="5411" spans="1:3" x14ac:dyDescent="0.45">
      <c r="A5411" s="11">
        <v>70.819999999999993</v>
      </c>
      <c r="B5411" s="14">
        <v>2.6000100000000002E-2</v>
      </c>
      <c r="C5411" s="15">
        <v>1.4431039999999999E-2</v>
      </c>
    </row>
    <row r="5412" spans="1:3" x14ac:dyDescent="0.45">
      <c r="A5412" s="11">
        <v>70.83</v>
      </c>
      <c r="B5412" s="14">
        <v>2.6027649999999999E-2</v>
      </c>
      <c r="C5412" s="15">
        <v>1.444526E-2</v>
      </c>
    </row>
    <row r="5413" spans="1:3" x14ac:dyDescent="0.45">
      <c r="A5413" s="11">
        <v>70.84</v>
      </c>
      <c r="B5413" s="14">
        <v>2.6055200000000001E-2</v>
      </c>
      <c r="C5413" s="15">
        <v>1.445948E-2</v>
      </c>
    </row>
    <row r="5414" spans="1:3" x14ac:dyDescent="0.45">
      <c r="A5414" s="11">
        <v>70.849999999999994</v>
      </c>
      <c r="B5414" s="14">
        <v>2.6082749999999998E-2</v>
      </c>
      <c r="C5414" s="15">
        <v>1.4473700000000001E-2</v>
      </c>
    </row>
    <row r="5415" spans="1:3" x14ac:dyDescent="0.45">
      <c r="A5415" s="11">
        <v>70.86</v>
      </c>
      <c r="B5415" s="14">
        <v>2.6110299999999999E-2</v>
      </c>
      <c r="C5415" s="15">
        <v>1.448792E-2</v>
      </c>
    </row>
    <row r="5416" spans="1:3" x14ac:dyDescent="0.45">
      <c r="A5416" s="11">
        <v>70.87</v>
      </c>
      <c r="B5416" s="14">
        <v>2.6137850000000001E-2</v>
      </c>
      <c r="C5416" s="15">
        <v>1.450214E-2</v>
      </c>
    </row>
    <row r="5417" spans="1:3" x14ac:dyDescent="0.45">
      <c r="A5417" s="11">
        <v>70.88</v>
      </c>
      <c r="B5417" s="14">
        <v>2.6165399999999998E-2</v>
      </c>
      <c r="C5417" s="15">
        <v>1.4516360000000001E-2</v>
      </c>
    </row>
    <row r="5418" spans="1:3" x14ac:dyDescent="0.45">
      <c r="A5418" s="11">
        <v>70.89</v>
      </c>
      <c r="B5418" s="14">
        <v>2.619295E-2</v>
      </c>
      <c r="C5418" s="15">
        <v>1.453058E-2</v>
      </c>
    </row>
    <row r="5419" spans="1:3" x14ac:dyDescent="0.45">
      <c r="A5419" s="11">
        <v>70.900000000000006</v>
      </c>
      <c r="B5419" s="14">
        <v>2.6220500000000001E-2</v>
      </c>
      <c r="C5419" s="15">
        <v>1.45448E-2</v>
      </c>
    </row>
    <row r="5420" spans="1:3" x14ac:dyDescent="0.45">
      <c r="A5420" s="11">
        <v>70.91</v>
      </c>
      <c r="B5420" s="14">
        <v>2.6248049999999998E-2</v>
      </c>
      <c r="C5420" s="15">
        <v>1.4559020000000001E-2</v>
      </c>
    </row>
    <row r="5421" spans="1:3" x14ac:dyDescent="0.45">
      <c r="A5421" s="11">
        <v>70.92</v>
      </c>
      <c r="B5421" s="14">
        <v>2.62756E-2</v>
      </c>
      <c r="C5421" s="15">
        <v>1.4573239999999999E-2</v>
      </c>
    </row>
    <row r="5422" spans="1:3" x14ac:dyDescent="0.45">
      <c r="A5422" s="11">
        <v>70.930000000000007</v>
      </c>
      <c r="B5422" s="14">
        <v>2.6303150000000001E-2</v>
      </c>
      <c r="C5422" s="15">
        <v>1.458746E-2</v>
      </c>
    </row>
    <row r="5423" spans="1:3" x14ac:dyDescent="0.45">
      <c r="A5423" s="11">
        <v>70.94</v>
      </c>
      <c r="B5423" s="14">
        <v>2.6330699999999999E-2</v>
      </c>
      <c r="C5423" s="15">
        <v>1.4601680000000001E-2</v>
      </c>
    </row>
    <row r="5424" spans="1:3" x14ac:dyDescent="0.45">
      <c r="A5424" s="11">
        <v>70.95</v>
      </c>
      <c r="B5424" s="14">
        <v>2.635825E-2</v>
      </c>
      <c r="C5424" s="15">
        <v>1.4615899999999999E-2</v>
      </c>
    </row>
    <row r="5425" spans="1:3" x14ac:dyDescent="0.45">
      <c r="A5425" s="11">
        <v>70.959999999999994</v>
      </c>
      <c r="B5425" s="14">
        <v>2.6385800000000001E-2</v>
      </c>
      <c r="C5425" s="15">
        <v>1.463012E-2</v>
      </c>
    </row>
    <row r="5426" spans="1:3" x14ac:dyDescent="0.45">
      <c r="A5426" s="11">
        <v>70.97</v>
      </c>
      <c r="B5426" s="14">
        <v>2.6413349999999999E-2</v>
      </c>
      <c r="C5426" s="15">
        <v>1.464434E-2</v>
      </c>
    </row>
    <row r="5427" spans="1:3" x14ac:dyDescent="0.45">
      <c r="A5427" s="11">
        <v>70.98</v>
      </c>
      <c r="B5427" s="14">
        <v>2.64409E-2</v>
      </c>
      <c r="C5427" s="15">
        <v>1.4658559999999999E-2</v>
      </c>
    </row>
    <row r="5428" spans="1:3" x14ac:dyDescent="0.45">
      <c r="A5428" s="11">
        <v>70.989999999999995</v>
      </c>
      <c r="B5428" s="14">
        <v>2.6468450000000001E-2</v>
      </c>
      <c r="C5428" s="15">
        <v>1.467278E-2</v>
      </c>
    </row>
    <row r="5429" spans="1:3" x14ac:dyDescent="0.45">
      <c r="A5429" s="11">
        <v>71</v>
      </c>
      <c r="B5429" s="14">
        <v>2.6495999999999999E-2</v>
      </c>
      <c r="C5429" s="15">
        <v>1.4687E-2</v>
      </c>
    </row>
    <row r="5430" spans="1:3" x14ac:dyDescent="0.45">
      <c r="A5430" s="11">
        <v>71.010000000000005</v>
      </c>
      <c r="B5430" s="14">
        <v>2.652647E-2</v>
      </c>
      <c r="C5430" s="15">
        <v>1.470277E-2</v>
      </c>
    </row>
    <row r="5431" spans="1:3" x14ac:dyDescent="0.45">
      <c r="A5431" s="11">
        <v>71.02</v>
      </c>
      <c r="B5431" s="14">
        <v>2.6556940000000001E-2</v>
      </c>
      <c r="C5431" s="15">
        <v>1.471854E-2</v>
      </c>
    </row>
    <row r="5432" spans="1:3" x14ac:dyDescent="0.45">
      <c r="A5432" s="11">
        <v>71.03</v>
      </c>
      <c r="B5432" s="14">
        <v>2.6587409999999999E-2</v>
      </c>
      <c r="C5432" s="15">
        <v>1.473431E-2</v>
      </c>
    </row>
    <row r="5433" spans="1:3" x14ac:dyDescent="0.45">
      <c r="A5433" s="11">
        <v>71.040000000000006</v>
      </c>
      <c r="B5433" s="14">
        <v>2.661788E-2</v>
      </c>
      <c r="C5433" s="15">
        <v>1.475008E-2</v>
      </c>
    </row>
    <row r="5434" spans="1:3" x14ac:dyDescent="0.45">
      <c r="A5434" s="11">
        <v>71.05</v>
      </c>
      <c r="B5434" s="14">
        <v>2.6648350000000001E-2</v>
      </c>
      <c r="C5434" s="15">
        <v>1.4765850000000001E-2</v>
      </c>
    </row>
    <row r="5435" spans="1:3" x14ac:dyDescent="0.45">
      <c r="A5435" s="11">
        <v>71.06</v>
      </c>
      <c r="B5435" s="14">
        <v>2.6678819999999999E-2</v>
      </c>
      <c r="C5435" s="15">
        <v>1.4781620000000001E-2</v>
      </c>
    </row>
    <row r="5436" spans="1:3" x14ac:dyDescent="0.45">
      <c r="A5436" s="11">
        <v>71.069999999999993</v>
      </c>
      <c r="B5436" s="14">
        <v>2.670929E-2</v>
      </c>
      <c r="C5436" s="15">
        <v>1.4797390000000001E-2</v>
      </c>
    </row>
    <row r="5437" spans="1:3" x14ac:dyDescent="0.45">
      <c r="A5437" s="11">
        <v>71.08</v>
      </c>
      <c r="B5437" s="14">
        <v>2.6739760000000001E-2</v>
      </c>
      <c r="C5437" s="15">
        <v>1.4813160000000001E-2</v>
      </c>
    </row>
    <row r="5438" spans="1:3" x14ac:dyDescent="0.45">
      <c r="A5438" s="11">
        <v>71.09</v>
      </c>
      <c r="B5438" s="14">
        <v>2.6770229999999999E-2</v>
      </c>
      <c r="C5438" s="15">
        <v>1.4828930000000001E-2</v>
      </c>
    </row>
    <row r="5439" spans="1:3" x14ac:dyDescent="0.45">
      <c r="A5439" s="11">
        <v>71.099999999999994</v>
      </c>
      <c r="B5439" s="14">
        <v>2.68007E-2</v>
      </c>
      <c r="C5439" s="15">
        <v>1.4844700000000001E-2</v>
      </c>
    </row>
    <row r="5440" spans="1:3" x14ac:dyDescent="0.45">
      <c r="A5440" s="11">
        <v>71.11</v>
      </c>
      <c r="B5440" s="14">
        <v>2.6831170000000001E-2</v>
      </c>
      <c r="C5440" s="15">
        <v>1.4860470000000001E-2</v>
      </c>
    </row>
    <row r="5441" spans="1:3" x14ac:dyDescent="0.45">
      <c r="A5441" s="11">
        <v>71.12</v>
      </c>
      <c r="B5441" s="14">
        <v>2.6861639999999999E-2</v>
      </c>
      <c r="C5441" s="15">
        <v>1.4876240000000001E-2</v>
      </c>
    </row>
    <row r="5442" spans="1:3" x14ac:dyDescent="0.45">
      <c r="A5442" s="11">
        <v>71.13</v>
      </c>
      <c r="B5442" s="14">
        <v>2.689211E-2</v>
      </c>
      <c r="C5442" s="15">
        <v>1.4892010000000001E-2</v>
      </c>
    </row>
    <row r="5443" spans="1:3" x14ac:dyDescent="0.45">
      <c r="A5443" s="11">
        <v>71.14</v>
      </c>
      <c r="B5443" s="14">
        <v>2.6922580000000002E-2</v>
      </c>
      <c r="C5443" s="15">
        <v>1.4907780000000001E-2</v>
      </c>
    </row>
    <row r="5444" spans="1:3" x14ac:dyDescent="0.45">
      <c r="A5444" s="11">
        <v>71.150000000000006</v>
      </c>
      <c r="B5444" s="14">
        <v>2.6953049999999999E-2</v>
      </c>
      <c r="C5444" s="15">
        <v>1.4923550000000001E-2</v>
      </c>
    </row>
    <row r="5445" spans="1:3" x14ac:dyDescent="0.45">
      <c r="A5445" s="11">
        <v>71.16</v>
      </c>
      <c r="B5445" s="14">
        <v>2.698352E-2</v>
      </c>
      <c r="C5445" s="15">
        <v>1.4939320000000001E-2</v>
      </c>
    </row>
    <row r="5446" spans="1:3" x14ac:dyDescent="0.45">
      <c r="A5446" s="11">
        <v>71.17</v>
      </c>
      <c r="B5446" s="14">
        <v>2.7013990000000002E-2</v>
      </c>
      <c r="C5446" s="15">
        <v>1.4955090000000001E-2</v>
      </c>
    </row>
    <row r="5447" spans="1:3" x14ac:dyDescent="0.45">
      <c r="A5447" s="11">
        <v>71.180000000000007</v>
      </c>
      <c r="B5447" s="14">
        <v>2.7044459999999999E-2</v>
      </c>
      <c r="C5447" s="15">
        <v>1.4970860000000001E-2</v>
      </c>
    </row>
    <row r="5448" spans="1:3" x14ac:dyDescent="0.45">
      <c r="A5448" s="11">
        <v>71.19</v>
      </c>
      <c r="B5448" s="14">
        <v>2.7074930000000001E-2</v>
      </c>
      <c r="C5448" s="15">
        <v>1.4986630000000001E-2</v>
      </c>
    </row>
    <row r="5449" spans="1:3" x14ac:dyDescent="0.45">
      <c r="A5449" s="11">
        <v>71.2</v>
      </c>
      <c r="B5449" s="14">
        <v>2.7105400000000002E-2</v>
      </c>
      <c r="C5449" s="15">
        <v>1.5002400000000001E-2</v>
      </c>
    </row>
    <row r="5450" spans="1:3" x14ac:dyDescent="0.45">
      <c r="A5450" s="11">
        <v>71.209999999999994</v>
      </c>
      <c r="B5450" s="14">
        <v>2.7135869999999999E-2</v>
      </c>
      <c r="C5450" s="15">
        <v>1.5018170000000001E-2</v>
      </c>
    </row>
    <row r="5451" spans="1:3" x14ac:dyDescent="0.45">
      <c r="A5451" s="11">
        <v>71.22</v>
      </c>
      <c r="B5451" s="14">
        <v>2.7166340000000001E-2</v>
      </c>
      <c r="C5451" s="15">
        <v>1.5033940000000001E-2</v>
      </c>
    </row>
    <row r="5452" spans="1:3" x14ac:dyDescent="0.45">
      <c r="A5452" s="11">
        <v>71.23</v>
      </c>
      <c r="B5452" s="14">
        <v>2.7196809999999998E-2</v>
      </c>
      <c r="C5452" s="15">
        <v>1.5049710000000001E-2</v>
      </c>
    </row>
    <row r="5453" spans="1:3" x14ac:dyDescent="0.45">
      <c r="A5453" s="11">
        <v>71.239999999999995</v>
      </c>
      <c r="B5453" s="14">
        <v>2.722728E-2</v>
      </c>
      <c r="C5453" s="15">
        <v>1.5065479999999999E-2</v>
      </c>
    </row>
    <row r="5454" spans="1:3" x14ac:dyDescent="0.45">
      <c r="A5454" s="11">
        <v>71.25</v>
      </c>
      <c r="B5454" s="14">
        <v>2.7257750000000001E-2</v>
      </c>
      <c r="C5454" s="15">
        <v>1.5081249999999999E-2</v>
      </c>
    </row>
    <row r="5455" spans="1:3" x14ac:dyDescent="0.45">
      <c r="A5455" s="11">
        <v>71.260000000000005</v>
      </c>
      <c r="B5455" s="14">
        <v>2.7288219999999998E-2</v>
      </c>
      <c r="C5455" s="15">
        <v>1.5097019999999999E-2</v>
      </c>
    </row>
    <row r="5456" spans="1:3" x14ac:dyDescent="0.45">
      <c r="A5456" s="11">
        <v>71.27</v>
      </c>
      <c r="B5456" s="14">
        <v>2.731869E-2</v>
      </c>
      <c r="C5456" s="15">
        <v>1.5112789999999999E-2</v>
      </c>
    </row>
    <row r="5457" spans="1:3" x14ac:dyDescent="0.45">
      <c r="A5457" s="11">
        <v>71.28</v>
      </c>
      <c r="B5457" s="14">
        <v>2.7349160000000001E-2</v>
      </c>
      <c r="C5457" s="15">
        <v>1.5128559999999999E-2</v>
      </c>
    </row>
    <row r="5458" spans="1:3" x14ac:dyDescent="0.45">
      <c r="A5458" s="11">
        <v>71.290000000000006</v>
      </c>
      <c r="B5458" s="14">
        <v>2.7379629999999999E-2</v>
      </c>
      <c r="C5458" s="15">
        <v>1.5144329999999999E-2</v>
      </c>
    </row>
    <row r="5459" spans="1:3" x14ac:dyDescent="0.45">
      <c r="A5459" s="11">
        <v>71.3</v>
      </c>
      <c r="B5459" s="14">
        <v>2.74101E-2</v>
      </c>
      <c r="C5459" s="15">
        <v>1.5160099999999999E-2</v>
      </c>
    </row>
    <row r="5460" spans="1:3" x14ac:dyDescent="0.45">
      <c r="A5460" s="11">
        <v>71.31</v>
      </c>
      <c r="B5460" s="14">
        <v>2.7440570000000001E-2</v>
      </c>
      <c r="C5460" s="15">
        <v>1.5175869999999999E-2</v>
      </c>
    </row>
    <row r="5461" spans="1:3" x14ac:dyDescent="0.45">
      <c r="A5461" s="11">
        <v>71.319999999999993</v>
      </c>
      <c r="B5461" s="14">
        <v>2.7471039999999999E-2</v>
      </c>
      <c r="C5461" s="15">
        <v>1.5191639999999999E-2</v>
      </c>
    </row>
    <row r="5462" spans="1:3" x14ac:dyDescent="0.45">
      <c r="A5462" s="11">
        <v>71.33</v>
      </c>
      <c r="B5462" s="14">
        <v>2.750151E-2</v>
      </c>
      <c r="C5462" s="15">
        <v>1.5207409999999999E-2</v>
      </c>
    </row>
    <row r="5463" spans="1:3" x14ac:dyDescent="0.45">
      <c r="A5463" s="11">
        <v>71.34</v>
      </c>
      <c r="B5463" s="14">
        <v>2.7531980000000001E-2</v>
      </c>
      <c r="C5463" s="15">
        <v>1.5223179999999999E-2</v>
      </c>
    </row>
    <row r="5464" spans="1:3" x14ac:dyDescent="0.45">
      <c r="A5464" s="11">
        <v>71.349999999999994</v>
      </c>
      <c r="B5464" s="14">
        <v>2.7562449999999999E-2</v>
      </c>
      <c r="C5464" s="15">
        <v>1.5238949999999999E-2</v>
      </c>
    </row>
    <row r="5465" spans="1:3" x14ac:dyDescent="0.45">
      <c r="A5465" s="11">
        <v>71.36</v>
      </c>
      <c r="B5465" s="14">
        <v>2.759292E-2</v>
      </c>
      <c r="C5465" s="15">
        <v>1.5254719999999999E-2</v>
      </c>
    </row>
    <row r="5466" spans="1:3" x14ac:dyDescent="0.45">
      <c r="A5466" s="11">
        <v>71.37</v>
      </c>
      <c r="B5466" s="14">
        <v>2.7623390000000001E-2</v>
      </c>
      <c r="C5466" s="15">
        <v>1.5270489999999999E-2</v>
      </c>
    </row>
    <row r="5467" spans="1:3" x14ac:dyDescent="0.45">
      <c r="A5467" s="11">
        <v>71.38</v>
      </c>
      <c r="B5467" s="14">
        <v>2.7653859999999999E-2</v>
      </c>
      <c r="C5467" s="15">
        <v>1.5286259999999999E-2</v>
      </c>
    </row>
    <row r="5468" spans="1:3" x14ac:dyDescent="0.45">
      <c r="A5468" s="11">
        <v>71.39</v>
      </c>
      <c r="B5468" s="14">
        <v>2.768433E-2</v>
      </c>
      <c r="C5468" s="15">
        <v>1.5302029999999999E-2</v>
      </c>
    </row>
    <row r="5469" spans="1:3" x14ac:dyDescent="0.45">
      <c r="A5469" s="11">
        <v>71.400000000000006</v>
      </c>
      <c r="B5469" s="14">
        <v>2.7714800000000001E-2</v>
      </c>
      <c r="C5469" s="15">
        <v>1.5317799999999999E-2</v>
      </c>
    </row>
    <row r="5470" spans="1:3" x14ac:dyDescent="0.45">
      <c r="A5470" s="11">
        <v>71.41</v>
      </c>
      <c r="B5470" s="14">
        <v>2.7745269999999999E-2</v>
      </c>
      <c r="C5470" s="15">
        <v>1.5333569999999999E-2</v>
      </c>
    </row>
    <row r="5471" spans="1:3" x14ac:dyDescent="0.45">
      <c r="A5471" s="11">
        <v>71.42</v>
      </c>
      <c r="B5471" s="14">
        <v>2.777574E-2</v>
      </c>
      <c r="C5471" s="15">
        <v>1.534934E-2</v>
      </c>
    </row>
    <row r="5472" spans="1:3" x14ac:dyDescent="0.45">
      <c r="A5472" s="11">
        <v>71.430000000000007</v>
      </c>
      <c r="B5472" s="14">
        <v>2.7806210000000001E-2</v>
      </c>
      <c r="C5472" s="15">
        <v>1.536511E-2</v>
      </c>
    </row>
    <row r="5473" spans="1:3" x14ac:dyDescent="0.45">
      <c r="A5473" s="11">
        <v>71.44</v>
      </c>
      <c r="B5473" s="14">
        <v>2.7836679999999999E-2</v>
      </c>
      <c r="C5473" s="15">
        <v>1.538088E-2</v>
      </c>
    </row>
    <row r="5474" spans="1:3" x14ac:dyDescent="0.45">
      <c r="A5474" s="11">
        <v>71.45</v>
      </c>
      <c r="B5474" s="14">
        <v>2.786715E-2</v>
      </c>
      <c r="C5474" s="15">
        <v>1.539665E-2</v>
      </c>
    </row>
    <row r="5475" spans="1:3" x14ac:dyDescent="0.45">
      <c r="A5475" s="11">
        <v>71.459999999999994</v>
      </c>
      <c r="B5475" s="14">
        <v>2.7897620000000001E-2</v>
      </c>
      <c r="C5475" s="15">
        <v>1.541242E-2</v>
      </c>
    </row>
    <row r="5476" spans="1:3" x14ac:dyDescent="0.45">
      <c r="A5476" s="11">
        <v>71.47</v>
      </c>
      <c r="B5476" s="14">
        <v>2.7928089999999999E-2</v>
      </c>
      <c r="C5476" s="15">
        <v>1.542819E-2</v>
      </c>
    </row>
    <row r="5477" spans="1:3" x14ac:dyDescent="0.45">
      <c r="A5477" s="11">
        <v>71.48</v>
      </c>
      <c r="B5477" s="14">
        <v>2.795856E-2</v>
      </c>
      <c r="C5477" s="15">
        <v>1.544396E-2</v>
      </c>
    </row>
    <row r="5478" spans="1:3" x14ac:dyDescent="0.45">
      <c r="A5478" s="11">
        <v>71.489999999999995</v>
      </c>
      <c r="B5478" s="14">
        <v>2.7989030000000002E-2</v>
      </c>
      <c r="C5478" s="15">
        <v>1.545973E-2</v>
      </c>
    </row>
    <row r="5479" spans="1:3" x14ac:dyDescent="0.45">
      <c r="A5479" s="11">
        <v>71.5</v>
      </c>
      <c r="B5479" s="14">
        <v>2.8019499999999999E-2</v>
      </c>
      <c r="C5479" s="15">
        <v>1.54755E-2</v>
      </c>
    </row>
    <row r="5480" spans="1:3" x14ac:dyDescent="0.45">
      <c r="A5480" s="11">
        <v>71.510000000000005</v>
      </c>
      <c r="B5480" s="14">
        <v>2.804997E-2</v>
      </c>
      <c r="C5480" s="15">
        <v>1.549127E-2</v>
      </c>
    </row>
    <row r="5481" spans="1:3" x14ac:dyDescent="0.45">
      <c r="A5481" s="11">
        <v>71.52</v>
      </c>
      <c r="B5481" s="14">
        <v>2.8080440000000002E-2</v>
      </c>
      <c r="C5481" s="15">
        <v>1.550704E-2</v>
      </c>
    </row>
    <row r="5482" spans="1:3" x14ac:dyDescent="0.45">
      <c r="A5482" s="11">
        <v>71.53</v>
      </c>
      <c r="B5482" s="14">
        <v>2.8110909999999999E-2</v>
      </c>
      <c r="C5482" s="15">
        <v>1.552281E-2</v>
      </c>
    </row>
    <row r="5483" spans="1:3" x14ac:dyDescent="0.45">
      <c r="A5483" s="11">
        <v>71.540000000000006</v>
      </c>
      <c r="B5483" s="14">
        <v>2.8141380000000001E-2</v>
      </c>
      <c r="C5483" s="15">
        <v>1.553858E-2</v>
      </c>
    </row>
    <row r="5484" spans="1:3" x14ac:dyDescent="0.45">
      <c r="A5484" s="11">
        <v>71.55</v>
      </c>
      <c r="B5484" s="14">
        <v>2.8171849999999998E-2</v>
      </c>
      <c r="C5484" s="15">
        <v>1.555435E-2</v>
      </c>
    </row>
    <row r="5485" spans="1:3" x14ac:dyDescent="0.45">
      <c r="A5485" s="11">
        <v>71.56</v>
      </c>
      <c r="B5485" s="14">
        <v>2.8202319999999999E-2</v>
      </c>
      <c r="C5485" s="15">
        <v>1.557012E-2</v>
      </c>
    </row>
    <row r="5486" spans="1:3" x14ac:dyDescent="0.45">
      <c r="A5486" s="11">
        <v>71.569999999999993</v>
      </c>
      <c r="B5486" s="14">
        <v>2.8232790000000001E-2</v>
      </c>
      <c r="C5486" s="15">
        <v>1.558589E-2</v>
      </c>
    </row>
    <row r="5487" spans="1:3" x14ac:dyDescent="0.45">
      <c r="A5487" s="11">
        <v>71.58</v>
      </c>
      <c r="B5487" s="14">
        <v>2.8263259999999998E-2</v>
      </c>
      <c r="C5487" s="15">
        <v>1.560166E-2</v>
      </c>
    </row>
    <row r="5488" spans="1:3" x14ac:dyDescent="0.45">
      <c r="A5488" s="11">
        <v>71.59</v>
      </c>
      <c r="B5488" s="14">
        <v>2.829373E-2</v>
      </c>
      <c r="C5488" s="15">
        <v>1.561743E-2</v>
      </c>
    </row>
    <row r="5489" spans="1:3" x14ac:dyDescent="0.45">
      <c r="A5489" s="11">
        <v>71.599999999999994</v>
      </c>
      <c r="B5489" s="14">
        <v>2.8324200000000001E-2</v>
      </c>
      <c r="C5489" s="15">
        <v>1.56332E-2</v>
      </c>
    </row>
    <row r="5490" spans="1:3" x14ac:dyDescent="0.45">
      <c r="A5490" s="11">
        <v>71.61</v>
      </c>
      <c r="B5490" s="14">
        <v>2.8354669999999998E-2</v>
      </c>
      <c r="C5490" s="15">
        <v>1.5648970000000002E-2</v>
      </c>
    </row>
    <row r="5491" spans="1:3" x14ac:dyDescent="0.45">
      <c r="A5491" s="11">
        <v>71.62</v>
      </c>
      <c r="B5491" s="14">
        <v>2.838514E-2</v>
      </c>
      <c r="C5491" s="15">
        <v>1.566474E-2</v>
      </c>
    </row>
    <row r="5492" spans="1:3" x14ac:dyDescent="0.45">
      <c r="A5492" s="11">
        <v>71.63</v>
      </c>
      <c r="B5492" s="14">
        <v>2.8415610000000001E-2</v>
      </c>
      <c r="C5492" s="15">
        <v>1.5680510000000002E-2</v>
      </c>
    </row>
    <row r="5493" spans="1:3" x14ac:dyDescent="0.45">
      <c r="A5493" s="11">
        <v>71.64</v>
      </c>
      <c r="B5493" s="14">
        <v>2.8446079999999999E-2</v>
      </c>
      <c r="C5493" s="15">
        <v>1.569628E-2</v>
      </c>
    </row>
    <row r="5494" spans="1:3" x14ac:dyDescent="0.45">
      <c r="A5494" s="11">
        <v>71.650000000000006</v>
      </c>
      <c r="B5494" s="14">
        <v>2.847655E-2</v>
      </c>
      <c r="C5494" s="15">
        <v>1.5712050000000002E-2</v>
      </c>
    </row>
    <row r="5495" spans="1:3" x14ac:dyDescent="0.45">
      <c r="A5495" s="11">
        <v>71.66</v>
      </c>
      <c r="B5495" s="14">
        <v>2.8507020000000001E-2</v>
      </c>
      <c r="C5495" s="15">
        <v>1.572782E-2</v>
      </c>
    </row>
    <row r="5496" spans="1:3" x14ac:dyDescent="0.45">
      <c r="A5496" s="11">
        <v>71.67</v>
      </c>
      <c r="B5496" s="14">
        <v>2.8537489999999999E-2</v>
      </c>
      <c r="C5496" s="15">
        <v>1.5743589999999998E-2</v>
      </c>
    </row>
    <row r="5497" spans="1:3" x14ac:dyDescent="0.45">
      <c r="A5497" s="11">
        <v>71.680000000000007</v>
      </c>
      <c r="B5497" s="14">
        <v>2.856796E-2</v>
      </c>
      <c r="C5497" s="15">
        <v>1.575936E-2</v>
      </c>
    </row>
    <row r="5498" spans="1:3" x14ac:dyDescent="0.45">
      <c r="A5498" s="11">
        <v>71.69</v>
      </c>
      <c r="B5498" s="14">
        <v>2.8598430000000001E-2</v>
      </c>
      <c r="C5498" s="15">
        <v>1.5775129999999998E-2</v>
      </c>
    </row>
    <row r="5499" spans="1:3" x14ac:dyDescent="0.45">
      <c r="A5499" s="11">
        <v>71.7</v>
      </c>
      <c r="B5499" s="14">
        <v>2.8628899999999999E-2</v>
      </c>
      <c r="C5499" s="15">
        <v>1.57909E-2</v>
      </c>
    </row>
    <row r="5500" spans="1:3" x14ac:dyDescent="0.45">
      <c r="A5500" s="11">
        <v>71.709999999999994</v>
      </c>
      <c r="B5500" s="14">
        <v>2.865937E-2</v>
      </c>
      <c r="C5500" s="15">
        <v>1.5806669999999998E-2</v>
      </c>
    </row>
    <row r="5501" spans="1:3" x14ac:dyDescent="0.45">
      <c r="A5501" s="11">
        <v>71.72</v>
      </c>
      <c r="B5501" s="14">
        <v>2.8689840000000001E-2</v>
      </c>
      <c r="C5501" s="15">
        <v>1.582244E-2</v>
      </c>
    </row>
    <row r="5502" spans="1:3" x14ac:dyDescent="0.45">
      <c r="A5502" s="11">
        <v>71.73</v>
      </c>
      <c r="B5502" s="14">
        <v>2.8720309999999999E-2</v>
      </c>
      <c r="C5502" s="15">
        <v>1.5838209999999998E-2</v>
      </c>
    </row>
    <row r="5503" spans="1:3" x14ac:dyDescent="0.45">
      <c r="A5503" s="11">
        <v>71.739999999999995</v>
      </c>
      <c r="B5503" s="14">
        <v>2.875078E-2</v>
      </c>
      <c r="C5503" s="15">
        <v>1.585398E-2</v>
      </c>
    </row>
    <row r="5504" spans="1:3" x14ac:dyDescent="0.45">
      <c r="A5504" s="11">
        <v>71.75</v>
      </c>
      <c r="B5504" s="14">
        <v>2.8781250000000001E-2</v>
      </c>
      <c r="C5504" s="15">
        <v>1.5869749999999998E-2</v>
      </c>
    </row>
    <row r="5505" spans="1:3" x14ac:dyDescent="0.45">
      <c r="A5505" s="11">
        <v>71.760000000000005</v>
      </c>
      <c r="B5505" s="14">
        <v>2.8811719999999999E-2</v>
      </c>
      <c r="C5505" s="15">
        <v>1.588552E-2</v>
      </c>
    </row>
    <row r="5506" spans="1:3" x14ac:dyDescent="0.45">
      <c r="A5506" s="11">
        <v>71.77</v>
      </c>
      <c r="B5506" s="14">
        <v>2.884219E-2</v>
      </c>
      <c r="C5506" s="15">
        <v>1.5901289999999998E-2</v>
      </c>
    </row>
    <row r="5507" spans="1:3" x14ac:dyDescent="0.45">
      <c r="A5507" s="11">
        <v>71.78</v>
      </c>
      <c r="B5507" s="14">
        <v>2.8872660000000001E-2</v>
      </c>
      <c r="C5507" s="15">
        <v>1.591706E-2</v>
      </c>
    </row>
    <row r="5508" spans="1:3" x14ac:dyDescent="0.45">
      <c r="A5508" s="11">
        <v>71.790000000000006</v>
      </c>
      <c r="B5508" s="14">
        <v>2.8903129999999999E-2</v>
      </c>
      <c r="C5508" s="15">
        <v>1.5932829999999999E-2</v>
      </c>
    </row>
    <row r="5509" spans="1:3" x14ac:dyDescent="0.45">
      <c r="A5509" s="11">
        <v>71.8</v>
      </c>
      <c r="B5509" s="14">
        <v>2.89336E-2</v>
      </c>
      <c r="C5509" s="15">
        <v>1.59486E-2</v>
      </c>
    </row>
    <row r="5510" spans="1:3" x14ac:dyDescent="0.45">
      <c r="A5510" s="11">
        <v>71.81</v>
      </c>
      <c r="B5510" s="14">
        <v>2.8964070000000001E-2</v>
      </c>
      <c r="C5510" s="15">
        <v>1.5964369999999999E-2</v>
      </c>
    </row>
    <row r="5511" spans="1:3" x14ac:dyDescent="0.45">
      <c r="A5511" s="11">
        <v>71.819999999999993</v>
      </c>
      <c r="B5511" s="14">
        <v>2.8994539999999999E-2</v>
      </c>
      <c r="C5511" s="15">
        <v>1.598014E-2</v>
      </c>
    </row>
    <row r="5512" spans="1:3" x14ac:dyDescent="0.45">
      <c r="A5512" s="11">
        <v>71.83</v>
      </c>
      <c r="B5512" s="14">
        <v>2.902501E-2</v>
      </c>
      <c r="C5512" s="15">
        <v>1.5995909999999999E-2</v>
      </c>
    </row>
    <row r="5513" spans="1:3" x14ac:dyDescent="0.45">
      <c r="A5513" s="11">
        <v>71.84</v>
      </c>
      <c r="B5513" s="14">
        <v>2.9055480000000002E-2</v>
      </c>
      <c r="C5513" s="15">
        <v>1.601168E-2</v>
      </c>
    </row>
    <row r="5514" spans="1:3" x14ac:dyDescent="0.45">
      <c r="A5514" s="11">
        <v>71.849999999999994</v>
      </c>
      <c r="B5514" s="14">
        <v>2.9085949999999999E-2</v>
      </c>
      <c r="C5514" s="15">
        <v>1.6027449999999999E-2</v>
      </c>
    </row>
    <row r="5515" spans="1:3" x14ac:dyDescent="0.45">
      <c r="A5515" s="11">
        <v>71.86</v>
      </c>
      <c r="B5515" s="14">
        <v>2.911642E-2</v>
      </c>
      <c r="C5515" s="15">
        <v>1.604322E-2</v>
      </c>
    </row>
    <row r="5516" spans="1:3" x14ac:dyDescent="0.45">
      <c r="A5516" s="11">
        <v>71.87</v>
      </c>
      <c r="B5516" s="14">
        <v>2.9146890000000002E-2</v>
      </c>
      <c r="C5516" s="15">
        <v>1.6058989999999999E-2</v>
      </c>
    </row>
    <row r="5517" spans="1:3" x14ac:dyDescent="0.45">
      <c r="A5517" s="11">
        <v>71.88</v>
      </c>
      <c r="B5517" s="14">
        <v>2.9177359999999999E-2</v>
      </c>
      <c r="C5517" s="15">
        <v>1.607476E-2</v>
      </c>
    </row>
    <row r="5518" spans="1:3" x14ac:dyDescent="0.45">
      <c r="A5518" s="11">
        <v>71.89</v>
      </c>
      <c r="B5518" s="14">
        <v>2.9207830000000001E-2</v>
      </c>
      <c r="C5518" s="15">
        <v>1.6090529999999999E-2</v>
      </c>
    </row>
    <row r="5519" spans="1:3" x14ac:dyDescent="0.45">
      <c r="A5519" s="11">
        <v>71.900000000000006</v>
      </c>
      <c r="B5519" s="14">
        <v>2.9238299999999998E-2</v>
      </c>
      <c r="C5519" s="15">
        <v>1.61063E-2</v>
      </c>
    </row>
    <row r="5520" spans="1:3" x14ac:dyDescent="0.45">
      <c r="A5520" s="11">
        <v>71.91</v>
      </c>
      <c r="B5520" s="14">
        <v>2.926877E-2</v>
      </c>
      <c r="C5520" s="15">
        <v>1.6122069999999999E-2</v>
      </c>
    </row>
    <row r="5521" spans="1:3" x14ac:dyDescent="0.45">
      <c r="A5521" s="11">
        <v>71.92</v>
      </c>
      <c r="B5521" s="14">
        <v>2.9299240000000001E-2</v>
      </c>
      <c r="C5521" s="15">
        <v>1.6137840000000001E-2</v>
      </c>
    </row>
    <row r="5522" spans="1:3" x14ac:dyDescent="0.45">
      <c r="A5522" s="11">
        <v>71.930000000000007</v>
      </c>
      <c r="B5522" s="14">
        <v>2.9329709999999998E-2</v>
      </c>
      <c r="C5522" s="15">
        <v>1.6153609999999999E-2</v>
      </c>
    </row>
    <row r="5523" spans="1:3" x14ac:dyDescent="0.45">
      <c r="A5523" s="11">
        <v>71.94</v>
      </c>
      <c r="B5523" s="14">
        <v>2.936018E-2</v>
      </c>
      <c r="C5523" s="15">
        <v>1.6169380000000001E-2</v>
      </c>
    </row>
    <row r="5524" spans="1:3" x14ac:dyDescent="0.45">
      <c r="A5524" s="11">
        <v>71.95</v>
      </c>
      <c r="B5524" s="14">
        <v>2.9390650000000001E-2</v>
      </c>
      <c r="C5524" s="15">
        <v>1.6185149999999999E-2</v>
      </c>
    </row>
    <row r="5525" spans="1:3" x14ac:dyDescent="0.45">
      <c r="A5525" s="11">
        <v>71.959999999999994</v>
      </c>
      <c r="B5525" s="14">
        <v>2.9421119999999999E-2</v>
      </c>
      <c r="C5525" s="15">
        <v>1.6200920000000001E-2</v>
      </c>
    </row>
    <row r="5526" spans="1:3" x14ac:dyDescent="0.45">
      <c r="A5526" s="11">
        <v>71.97</v>
      </c>
      <c r="B5526" s="14">
        <v>2.945159E-2</v>
      </c>
      <c r="C5526" s="15">
        <v>1.6216689999999999E-2</v>
      </c>
    </row>
    <row r="5527" spans="1:3" x14ac:dyDescent="0.45">
      <c r="A5527" s="11">
        <v>71.98</v>
      </c>
      <c r="B5527" s="14">
        <v>2.9482060000000001E-2</v>
      </c>
      <c r="C5527" s="15">
        <v>1.6232460000000001E-2</v>
      </c>
    </row>
    <row r="5528" spans="1:3" x14ac:dyDescent="0.45">
      <c r="A5528" s="11">
        <v>71.989999999999995</v>
      </c>
      <c r="B5528" s="14">
        <v>2.9512529999999999E-2</v>
      </c>
      <c r="C5528" s="15">
        <v>1.6248229999999999E-2</v>
      </c>
    </row>
    <row r="5529" spans="1:3" x14ac:dyDescent="0.45">
      <c r="A5529" s="11">
        <v>72</v>
      </c>
      <c r="B5529" s="14">
        <v>2.9543E-2</v>
      </c>
      <c r="C5529" s="15">
        <v>1.6264000000000001E-2</v>
      </c>
    </row>
    <row r="5530" spans="1:3" x14ac:dyDescent="0.45">
      <c r="A5530" s="11">
        <v>72.010000000000005</v>
      </c>
      <c r="B5530" s="14">
        <v>2.9576689999999999E-2</v>
      </c>
      <c r="C5530" s="15">
        <v>1.6281469999999999E-2</v>
      </c>
    </row>
    <row r="5531" spans="1:3" x14ac:dyDescent="0.45">
      <c r="A5531" s="11">
        <v>72.02</v>
      </c>
      <c r="B5531" s="14">
        <v>2.9610379999999999E-2</v>
      </c>
      <c r="C5531" s="15">
        <v>1.6298940000000001E-2</v>
      </c>
    </row>
    <row r="5532" spans="1:3" x14ac:dyDescent="0.45">
      <c r="A5532" s="11">
        <v>72.03</v>
      </c>
      <c r="B5532" s="14">
        <v>2.9644070000000002E-2</v>
      </c>
      <c r="C5532" s="15">
        <v>1.631641E-2</v>
      </c>
    </row>
    <row r="5533" spans="1:3" x14ac:dyDescent="0.45">
      <c r="A5533" s="11">
        <v>72.040000000000006</v>
      </c>
      <c r="B5533" s="14">
        <v>2.9677760000000001E-2</v>
      </c>
      <c r="C5533" s="15">
        <v>1.6333879999999999E-2</v>
      </c>
    </row>
    <row r="5534" spans="1:3" x14ac:dyDescent="0.45">
      <c r="A5534" s="11">
        <v>72.05</v>
      </c>
      <c r="B5534" s="14">
        <v>2.971145E-2</v>
      </c>
      <c r="C5534" s="15">
        <v>1.6351350000000001E-2</v>
      </c>
    </row>
    <row r="5535" spans="1:3" x14ac:dyDescent="0.45">
      <c r="A5535" s="11">
        <v>72.06</v>
      </c>
      <c r="B5535" s="14">
        <v>2.974514E-2</v>
      </c>
      <c r="C5535" s="15">
        <v>1.6368819999999999E-2</v>
      </c>
    </row>
    <row r="5536" spans="1:3" x14ac:dyDescent="0.45">
      <c r="A5536" s="11">
        <v>72.069999999999993</v>
      </c>
      <c r="B5536" s="14">
        <v>2.9778829999999999E-2</v>
      </c>
      <c r="C5536" s="15">
        <v>1.6386290000000001E-2</v>
      </c>
    </row>
    <row r="5537" spans="1:3" x14ac:dyDescent="0.45">
      <c r="A5537" s="11">
        <v>72.08</v>
      </c>
      <c r="B5537" s="14">
        <v>2.9812519999999999E-2</v>
      </c>
      <c r="C5537" s="15">
        <v>1.640376E-2</v>
      </c>
    </row>
    <row r="5538" spans="1:3" x14ac:dyDescent="0.45">
      <c r="A5538" s="11">
        <v>72.09</v>
      </c>
      <c r="B5538" s="14">
        <v>2.9846210000000001E-2</v>
      </c>
      <c r="C5538" s="15">
        <v>1.6421229999999998E-2</v>
      </c>
    </row>
    <row r="5539" spans="1:3" x14ac:dyDescent="0.45">
      <c r="A5539" s="11">
        <v>72.099999999999994</v>
      </c>
      <c r="B5539" s="14">
        <v>2.9879900000000001E-2</v>
      </c>
      <c r="C5539" s="15">
        <v>1.6438700000000001E-2</v>
      </c>
    </row>
    <row r="5540" spans="1:3" x14ac:dyDescent="0.45">
      <c r="A5540" s="11">
        <v>72.11</v>
      </c>
      <c r="B5540" s="14">
        <v>2.991359E-2</v>
      </c>
      <c r="C5540" s="15">
        <v>1.6456169999999999E-2</v>
      </c>
    </row>
    <row r="5541" spans="1:3" x14ac:dyDescent="0.45">
      <c r="A5541" s="11">
        <v>72.12</v>
      </c>
      <c r="B5541" s="14">
        <v>2.994728E-2</v>
      </c>
      <c r="C5541" s="15">
        <v>1.6473640000000001E-2</v>
      </c>
    </row>
    <row r="5542" spans="1:3" x14ac:dyDescent="0.45">
      <c r="A5542" s="11">
        <v>72.13</v>
      </c>
      <c r="B5542" s="14">
        <v>2.9980969999999999E-2</v>
      </c>
      <c r="C5542" s="15">
        <v>1.649111E-2</v>
      </c>
    </row>
    <row r="5543" spans="1:3" x14ac:dyDescent="0.45">
      <c r="A5543" s="11">
        <v>72.14</v>
      </c>
      <c r="B5543" s="14">
        <v>3.0014659999999999E-2</v>
      </c>
      <c r="C5543" s="15">
        <v>1.6508579999999998E-2</v>
      </c>
    </row>
    <row r="5544" spans="1:3" x14ac:dyDescent="0.45">
      <c r="A5544" s="11">
        <v>72.150000000000006</v>
      </c>
      <c r="B5544" s="14">
        <v>3.0048350000000001E-2</v>
      </c>
      <c r="C5544" s="15">
        <v>1.652605E-2</v>
      </c>
    </row>
    <row r="5545" spans="1:3" x14ac:dyDescent="0.45">
      <c r="A5545" s="11">
        <v>72.16</v>
      </c>
      <c r="B5545" s="14">
        <v>3.0082040000000001E-2</v>
      </c>
      <c r="C5545" s="15">
        <v>1.6543519999999999E-2</v>
      </c>
    </row>
    <row r="5546" spans="1:3" x14ac:dyDescent="0.45">
      <c r="A5546" s="11">
        <v>72.17</v>
      </c>
      <c r="B5546" s="14">
        <v>3.011573E-2</v>
      </c>
      <c r="C5546" s="15">
        <v>1.6560990000000001E-2</v>
      </c>
    </row>
    <row r="5547" spans="1:3" x14ac:dyDescent="0.45">
      <c r="A5547" s="11">
        <v>72.180000000000007</v>
      </c>
      <c r="B5547" s="14">
        <v>3.014942E-2</v>
      </c>
      <c r="C5547" s="15">
        <v>1.657846E-2</v>
      </c>
    </row>
    <row r="5548" spans="1:3" x14ac:dyDescent="0.45">
      <c r="A5548" s="11">
        <v>72.19</v>
      </c>
      <c r="B5548" s="14">
        <v>3.0183109999999999E-2</v>
      </c>
      <c r="C5548" s="15">
        <v>1.6595929999999998E-2</v>
      </c>
    </row>
    <row r="5549" spans="1:3" x14ac:dyDescent="0.45">
      <c r="A5549" s="11">
        <v>72.2</v>
      </c>
      <c r="B5549" s="14">
        <v>3.0216799999999999E-2</v>
      </c>
      <c r="C5549" s="15">
        <v>1.66134E-2</v>
      </c>
    </row>
    <row r="5550" spans="1:3" x14ac:dyDescent="0.45">
      <c r="A5550" s="11">
        <v>72.209999999999994</v>
      </c>
      <c r="B5550" s="14">
        <v>3.0250490000000001E-2</v>
      </c>
      <c r="C5550" s="15">
        <v>1.6630869999999999E-2</v>
      </c>
    </row>
    <row r="5551" spans="1:3" x14ac:dyDescent="0.45">
      <c r="A5551" s="11">
        <v>72.22</v>
      </c>
      <c r="B5551" s="14">
        <v>3.0284180000000001E-2</v>
      </c>
      <c r="C5551" s="15">
        <v>1.6648340000000001E-2</v>
      </c>
    </row>
    <row r="5552" spans="1:3" x14ac:dyDescent="0.45">
      <c r="A5552" s="11">
        <v>72.23</v>
      </c>
      <c r="B5552" s="14">
        <v>3.031787E-2</v>
      </c>
      <c r="C5552" s="15">
        <v>1.666581E-2</v>
      </c>
    </row>
    <row r="5553" spans="1:3" x14ac:dyDescent="0.45">
      <c r="A5553" s="11">
        <v>72.239999999999995</v>
      </c>
      <c r="B5553" s="14">
        <v>3.035156E-2</v>
      </c>
      <c r="C5553" s="15">
        <v>1.6683280000000002E-2</v>
      </c>
    </row>
    <row r="5554" spans="1:3" x14ac:dyDescent="0.45">
      <c r="A5554" s="11">
        <v>72.25</v>
      </c>
      <c r="B5554" s="14">
        <v>3.0385249999999999E-2</v>
      </c>
      <c r="C5554" s="15">
        <v>1.670075E-2</v>
      </c>
    </row>
    <row r="5555" spans="1:3" x14ac:dyDescent="0.45">
      <c r="A5555" s="11">
        <v>72.260000000000005</v>
      </c>
      <c r="B5555" s="14">
        <v>3.0418939999999998E-2</v>
      </c>
      <c r="C5555" s="15">
        <v>1.6718219999999999E-2</v>
      </c>
    </row>
    <row r="5556" spans="1:3" x14ac:dyDescent="0.45">
      <c r="A5556" s="11">
        <v>72.27</v>
      </c>
      <c r="B5556" s="14">
        <v>3.0452630000000001E-2</v>
      </c>
      <c r="C5556" s="15">
        <v>1.6735690000000001E-2</v>
      </c>
    </row>
    <row r="5557" spans="1:3" x14ac:dyDescent="0.45">
      <c r="A5557" s="11">
        <v>72.28</v>
      </c>
      <c r="B5557" s="14">
        <v>3.0486320000000001E-2</v>
      </c>
      <c r="C5557" s="15">
        <v>1.675316E-2</v>
      </c>
    </row>
    <row r="5558" spans="1:3" x14ac:dyDescent="0.45">
      <c r="A5558" s="11">
        <v>72.290000000000006</v>
      </c>
      <c r="B5558" s="14">
        <v>3.052001E-2</v>
      </c>
      <c r="C5558" s="15">
        <v>1.6770630000000002E-2</v>
      </c>
    </row>
    <row r="5559" spans="1:3" x14ac:dyDescent="0.45">
      <c r="A5559" s="11">
        <v>72.3</v>
      </c>
      <c r="B5559" s="14">
        <v>3.05537E-2</v>
      </c>
      <c r="C5559" s="15">
        <v>1.67881E-2</v>
      </c>
    </row>
    <row r="5560" spans="1:3" x14ac:dyDescent="0.45">
      <c r="A5560" s="11">
        <v>72.31</v>
      </c>
      <c r="B5560" s="14">
        <v>3.0587389999999999E-2</v>
      </c>
      <c r="C5560" s="15">
        <v>1.6805569999999999E-2</v>
      </c>
    </row>
    <row r="5561" spans="1:3" x14ac:dyDescent="0.45">
      <c r="A5561" s="11">
        <v>72.319999999999993</v>
      </c>
      <c r="B5561" s="14">
        <v>3.0621079999999998E-2</v>
      </c>
      <c r="C5561" s="15">
        <v>1.6823040000000001E-2</v>
      </c>
    </row>
    <row r="5562" spans="1:3" x14ac:dyDescent="0.45">
      <c r="A5562" s="11">
        <v>72.33</v>
      </c>
      <c r="B5562" s="14">
        <v>3.0654770000000001E-2</v>
      </c>
      <c r="C5562" s="15">
        <v>1.684051E-2</v>
      </c>
    </row>
    <row r="5563" spans="1:3" x14ac:dyDescent="0.45">
      <c r="A5563" s="11">
        <v>72.34</v>
      </c>
      <c r="B5563" s="14">
        <v>3.0688460000000001E-2</v>
      </c>
      <c r="C5563" s="15">
        <v>1.6857980000000002E-2</v>
      </c>
    </row>
    <row r="5564" spans="1:3" x14ac:dyDescent="0.45">
      <c r="A5564" s="11">
        <v>72.349999999999994</v>
      </c>
      <c r="B5564" s="14">
        <v>3.072215E-2</v>
      </c>
      <c r="C5564" s="15">
        <v>1.687545E-2</v>
      </c>
    </row>
    <row r="5565" spans="1:3" x14ac:dyDescent="0.45">
      <c r="A5565" s="11">
        <v>72.36</v>
      </c>
      <c r="B5565" s="14">
        <v>3.075584E-2</v>
      </c>
      <c r="C5565" s="15">
        <v>1.6892919999999999E-2</v>
      </c>
    </row>
    <row r="5566" spans="1:3" x14ac:dyDescent="0.45">
      <c r="A5566" s="11">
        <v>72.37</v>
      </c>
      <c r="B5566" s="14">
        <v>3.0789529999999999E-2</v>
      </c>
      <c r="C5566" s="15">
        <v>1.6910390000000001E-2</v>
      </c>
    </row>
    <row r="5567" spans="1:3" x14ac:dyDescent="0.45">
      <c r="A5567" s="11">
        <v>72.38</v>
      </c>
      <c r="B5567" s="14">
        <v>3.0823219999999998E-2</v>
      </c>
      <c r="C5567" s="15">
        <v>1.6927859999999999E-2</v>
      </c>
    </row>
    <row r="5568" spans="1:3" x14ac:dyDescent="0.45">
      <c r="A5568" s="11">
        <v>72.39</v>
      </c>
      <c r="B5568" s="14">
        <v>3.0856910000000001E-2</v>
      </c>
      <c r="C5568" s="15">
        <v>1.6945330000000002E-2</v>
      </c>
    </row>
    <row r="5569" spans="1:3" x14ac:dyDescent="0.45">
      <c r="A5569" s="11">
        <v>72.400000000000006</v>
      </c>
      <c r="B5569" s="14">
        <v>3.0890600000000001E-2</v>
      </c>
      <c r="C5569" s="15">
        <v>1.69628E-2</v>
      </c>
    </row>
    <row r="5570" spans="1:3" x14ac:dyDescent="0.45">
      <c r="A5570" s="11">
        <v>72.41</v>
      </c>
      <c r="B5570" s="14">
        <v>3.092429E-2</v>
      </c>
      <c r="C5570" s="15">
        <v>1.6980269999999999E-2</v>
      </c>
    </row>
    <row r="5571" spans="1:3" x14ac:dyDescent="0.45">
      <c r="A5571" s="11">
        <v>72.42</v>
      </c>
      <c r="B5571" s="14">
        <v>3.095798E-2</v>
      </c>
      <c r="C5571" s="15">
        <v>1.6997740000000001E-2</v>
      </c>
    </row>
    <row r="5572" spans="1:3" x14ac:dyDescent="0.45">
      <c r="A5572" s="11">
        <v>72.430000000000007</v>
      </c>
      <c r="B5572" s="14">
        <v>3.0991669999999999E-2</v>
      </c>
      <c r="C5572" s="15">
        <v>1.7015209999999999E-2</v>
      </c>
    </row>
    <row r="5573" spans="1:3" x14ac:dyDescent="0.45">
      <c r="A5573" s="11">
        <v>72.44</v>
      </c>
      <c r="B5573" s="14">
        <v>3.1025359999999998E-2</v>
      </c>
      <c r="C5573" s="15">
        <v>1.7032680000000001E-2</v>
      </c>
    </row>
    <row r="5574" spans="1:3" x14ac:dyDescent="0.45">
      <c r="A5574" s="11">
        <v>72.45</v>
      </c>
      <c r="B5574" s="14">
        <v>3.1059050000000001E-2</v>
      </c>
      <c r="C5574" s="15">
        <v>1.705015E-2</v>
      </c>
    </row>
    <row r="5575" spans="1:3" x14ac:dyDescent="0.45">
      <c r="A5575" s="11">
        <v>72.459999999999994</v>
      </c>
      <c r="B5575" s="14">
        <v>3.1092740000000001E-2</v>
      </c>
      <c r="C5575" s="15">
        <v>1.7067619999999999E-2</v>
      </c>
    </row>
    <row r="5576" spans="1:3" x14ac:dyDescent="0.45">
      <c r="A5576" s="11">
        <v>72.47</v>
      </c>
      <c r="B5576" s="14">
        <v>3.112643E-2</v>
      </c>
      <c r="C5576" s="15">
        <v>1.7085090000000001E-2</v>
      </c>
    </row>
    <row r="5577" spans="1:3" x14ac:dyDescent="0.45">
      <c r="A5577" s="11">
        <v>72.48</v>
      </c>
      <c r="B5577" s="14">
        <v>3.1160119999999999E-2</v>
      </c>
      <c r="C5577" s="15">
        <v>1.7102559999999999E-2</v>
      </c>
    </row>
    <row r="5578" spans="1:3" x14ac:dyDescent="0.45">
      <c r="A5578" s="11">
        <v>72.489999999999995</v>
      </c>
      <c r="B5578" s="14">
        <v>3.1193809999999999E-2</v>
      </c>
      <c r="C5578" s="15">
        <v>1.7120030000000001E-2</v>
      </c>
    </row>
    <row r="5579" spans="1:3" x14ac:dyDescent="0.45">
      <c r="A5579" s="11">
        <v>72.5</v>
      </c>
      <c r="B5579" s="14">
        <v>3.1227499999999998E-2</v>
      </c>
      <c r="C5579" s="15">
        <v>1.71375E-2</v>
      </c>
    </row>
    <row r="5580" spans="1:3" x14ac:dyDescent="0.45">
      <c r="A5580" s="11">
        <v>72.510000000000005</v>
      </c>
      <c r="B5580" s="14">
        <v>3.1261190000000001E-2</v>
      </c>
      <c r="C5580" s="15">
        <v>1.7154969999999999E-2</v>
      </c>
    </row>
    <row r="5581" spans="1:3" x14ac:dyDescent="0.45">
      <c r="A5581" s="11">
        <v>72.52</v>
      </c>
      <c r="B5581" s="14">
        <v>3.1294879999999997E-2</v>
      </c>
      <c r="C5581" s="15">
        <v>1.7172440000000001E-2</v>
      </c>
    </row>
    <row r="5582" spans="1:3" x14ac:dyDescent="0.45">
      <c r="A5582" s="11">
        <v>72.53</v>
      </c>
      <c r="B5582" s="14">
        <v>3.132857E-2</v>
      </c>
      <c r="C5582" s="15">
        <v>1.7189909999999999E-2</v>
      </c>
    </row>
    <row r="5583" spans="1:3" x14ac:dyDescent="0.45">
      <c r="A5583" s="11">
        <v>72.540000000000006</v>
      </c>
      <c r="B5583" s="14">
        <v>3.1362260000000003E-2</v>
      </c>
      <c r="C5583" s="15">
        <v>1.7207380000000001E-2</v>
      </c>
    </row>
    <row r="5584" spans="1:3" x14ac:dyDescent="0.45">
      <c r="A5584" s="11">
        <v>72.55</v>
      </c>
      <c r="B5584" s="14">
        <v>3.1395949999999999E-2</v>
      </c>
      <c r="C5584" s="15">
        <v>1.722485E-2</v>
      </c>
    </row>
    <row r="5585" spans="1:3" x14ac:dyDescent="0.45">
      <c r="A5585" s="11">
        <v>72.56</v>
      </c>
      <c r="B5585" s="14">
        <v>3.1429640000000002E-2</v>
      </c>
      <c r="C5585" s="15">
        <v>1.7242319999999998E-2</v>
      </c>
    </row>
    <row r="5586" spans="1:3" x14ac:dyDescent="0.45">
      <c r="A5586" s="11">
        <v>72.569999999999993</v>
      </c>
      <c r="B5586" s="14">
        <v>3.1463329999999998E-2</v>
      </c>
      <c r="C5586" s="15">
        <v>1.7259790000000001E-2</v>
      </c>
    </row>
    <row r="5587" spans="1:3" x14ac:dyDescent="0.45">
      <c r="A5587" s="11">
        <v>72.58</v>
      </c>
      <c r="B5587" s="14">
        <v>3.1497020000000001E-2</v>
      </c>
      <c r="C5587" s="15">
        <v>1.7277259999999999E-2</v>
      </c>
    </row>
    <row r="5588" spans="1:3" x14ac:dyDescent="0.45">
      <c r="A5588" s="11">
        <v>72.59</v>
      </c>
      <c r="B5588" s="14">
        <v>3.1530710000000003E-2</v>
      </c>
      <c r="C5588" s="15">
        <v>1.7294730000000001E-2</v>
      </c>
    </row>
    <row r="5589" spans="1:3" x14ac:dyDescent="0.45">
      <c r="A5589" s="11">
        <v>72.599999999999994</v>
      </c>
      <c r="B5589" s="14">
        <v>3.1564399999999999E-2</v>
      </c>
      <c r="C5589" s="15">
        <v>1.73122E-2</v>
      </c>
    </row>
    <row r="5590" spans="1:3" x14ac:dyDescent="0.45">
      <c r="A5590" s="11">
        <v>72.61</v>
      </c>
      <c r="B5590" s="14">
        <v>3.1598090000000002E-2</v>
      </c>
      <c r="C5590" s="15">
        <v>1.7329669999999998E-2</v>
      </c>
    </row>
    <row r="5591" spans="1:3" x14ac:dyDescent="0.45">
      <c r="A5591" s="11">
        <v>72.62</v>
      </c>
      <c r="B5591" s="14">
        <v>3.1631779999999998E-2</v>
      </c>
      <c r="C5591" s="15">
        <v>1.734714E-2</v>
      </c>
    </row>
    <row r="5592" spans="1:3" x14ac:dyDescent="0.45">
      <c r="A5592" s="11">
        <v>72.63</v>
      </c>
      <c r="B5592" s="14">
        <v>3.1665470000000001E-2</v>
      </c>
      <c r="C5592" s="15">
        <v>1.7364609999999999E-2</v>
      </c>
    </row>
    <row r="5593" spans="1:3" x14ac:dyDescent="0.45">
      <c r="A5593" s="11">
        <v>72.64</v>
      </c>
      <c r="B5593" s="14">
        <v>3.1699159999999997E-2</v>
      </c>
      <c r="C5593" s="15">
        <v>1.7382080000000001E-2</v>
      </c>
    </row>
    <row r="5594" spans="1:3" x14ac:dyDescent="0.45">
      <c r="A5594" s="11">
        <v>72.650000000000006</v>
      </c>
      <c r="B5594" s="14">
        <v>3.173285E-2</v>
      </c>
      <c r="C5594" s="15">
        <v>1.739955E-2</v>
      </c>
    </row>
    <row r="5595" spans="1:3" x14ac:dyDescent="0.45">
      <c r="A5595" s="11">
        <v>72.66</v>
      </c>
      <c r="B5595" s="14">
        <v>3.1766540000000003E-2</v>
      </c>
      <c r="C5595" s="15">
        <v>1.7417019999999998E-2</v>
      </c>
    </row>
    <row r="5596" spans="1:3" x14ac:dyDescent="0.45">
      <c r="A5596" s="11">
        <v>72.67</v>
      </c>
      <c r="B5596" s="14">
        <v>3.1800229999999999E-2</v>
      </c>
      <c r="C5596" s="15">
        <v>1.743449E-2</v>
      </c>
    </row>
    <row r="5597" spans="1:3" x14ac:dyDescent="0.45">
      <c r="A5597" s="11">
        <v>72.680000000000007</v>
      </c>
      <c r="B5597" s="14">
        <v>3.1833920000000002E-2</v>
      </c>
      <c r="C5597" s="15">
        <v>1.7451959999999999E-2</v>
      </c>
    </row>
    <row r="5598" spans="1:3" x14ac:dyDescent="0.45">
      <c r="A5598" s="11">
        <v>72.69</v>
      </c>
      <c r="B5598" s="14">
        <v>3.1867609999999998E-2</v>
      </c>
      <c r="C5598" s="15">
        <v>1.7469430000000001E-2</v>
      </c>
    </row>
    <row r="5599" spans="1:3" x14ac:dyDescent="0.45">
      <c r="A5599" s="11">
        <v>72.7</v>
      </c>
      <c r="B5599" s="14">
        <v>3.19013E-2</v>
      </c>
      <c r="C5599" s="15">
        <v>1.74869E-2</v>
      </c>
    </row>
    <row r="5600" spans="1:3" x14ac:dyDescent="0.45">
      <c r="A5600" s="11">
        <v>72.709999999999994</v>
      </c>
      <c r="B5600" s="14">
        <v>3.1934990000000003E-2</v>
      </c>
      <c r="C5600" s="15">
        <v>1.7504370000000002E-2</v>
      </c>
    </row>
    <row r="5601" spans="1:3" x14ac:dyDescent="0.45">
      <c r="A5601" s="11">
        <v>72.72</v>
      </c>
      <c r="B5601" s="14">
        <v>3.1968679999999999E-2</v>
      </c>
      <c r="C5601" s="15">
        <v>1.752184E-2</v>
      </c>
    </row>
    <row r="5602" spans="1:3" x14ac:dyDescent="0.45">
      <c r="A5602" s="11">
        <v>72.73</v>
      </c>
      <c r="B5602" s="14">
        <v>3.2002370000000002E-2</v>
      </c>
      <c r="C5602" s="15">
        <v>1.7539309999999999E-2</v>
      </c>
    </row>
    <row r="5603" spans="1:3" x14ac:dyDescent="0.45">
      <c r="A5603" s="11">
        <v>72.739999999999995</v>
      </c>
      <c r="B5603" s="14">
        <v>3.2036059999999998E-2</v>
      </c>
      <c r="C5603" s="15">
        <v>1.7556780000000001E-2</v>
      </c>
    </row>
    <row r="5604" spans="1:3" x14ac:dyDescent="0.45">
      <c r="A5604" s="11">
        <v>72.75</v>
      </c>
      <c r="B5604" s="14">
        <v>3.2069750000000001E-2</v>
      </c>
      <c r="C5604" s="15">
        <v>1.757425E-2</v>
      </c>
    </row>
    <row r="5605" spans="1:3" x14ac:dyDescent="0.45">
      <c r="A5605" s="11">
        <v>72.760000000000005</v>
      </c>
      <c r="B5605" s="14">
        <v>3.2103439999999997E-2</v>
      </c>
      <c r="C5605" s="15">
        <v>1.7591720000000002E-2</v>
      </c>
    </row>
    <row r="5606" spans="1:3" x14ac:dyDescent="0.45">
      <c r="A5606" s="11">
        <v>72.77</v>
      </c>
      <c r="B5606" s="14">
        <v>3.213713E-2</v>
      </c>
      <c r="C5606" s="15">
        <v>1.760919E-2</v>
      </c>
    </row>
    <row r="5607" spans="1:3" x14ac:dyDescent="0.45">
      <c r="A5607" s="11">
        <v>72.78</v>
      </c>
      <c r="B5607" s="14">
        <v>3.2170820000000003E-2</v>
      </c>
      <c r="C5607" s="15">
        <v>1.7626659999999999E-2</v>
      </c>
    </row>
    <row r="5608" spans="1:3" x14ac:dyDescent="0.45">
      <c r="A5608" s="11">
        <v>72.790000000000006</v>
      </c>
      <c r="B5608" s="14">
        <v>3.2204509999999999E-2</v>
      </c>
      <c r="C5608" s="15">
        <v>1.7644130000000001E-2</v>
      </c>
    </row>
    <row r="5609" spans="1:3" x14ac:dyDescent="0.45">
      <c r="A5609" s="11">
        <v>72.8</v>
      </c>
      <c r="B5609" s="14">
        <v>3.2238200000000002E-2</v>
      </c>
      <c r="C5609" s="15">
        <v>1.76616E-2</v>
      </c>
    </row>
    <row r="5610" spans="1:3" x14ac:dyDescent="0.45">
      <c r="A5610" s="11">
        <v>72.81</v>
      </c>
      <c r="B5610" s="14">
        <v>3.2271889999999998E-2</v>
      </c>
      <c r="C5610" s="15">
        <v>1.7679070000000002E-2</v>
      </c>
    </row>
    <row r="5611" spans="1:3" x14ac:dyDescent="0.45">
      <c r="A5611" s="11">
        <v>72.819999999999993</v>
      </c>
      <c r="B5611" s="14">
        <v>3.230558E-2</v>
      </c>
      <c r="C5611" s="15">
        <v>1.769654E-2</v>
      </c>
    </row>
    <row r="5612" spans="1:3" x14ac:dyDescent="0.45">
      <c r="A5612" s="11">
        <v>72.83</v>
      </c>
      <c r="B5612" s="14">
        <v>3.2339270000000003E-2</v>
      </c>
      <c r="C5612" s="15">
        <v>1.7714009999999999E-2</v>
      </c>
    </row>
    <row r="5613" spans="1:3" x14ac:dyDescent="0.45">
      <c r="A5613" s="11">
        <v>72.84</v>
      </c>
      <c r="B5613" s="14">
        <v>3.2372959999999999E-2</v>
      </c>
      <c r="C5613" s="15">
        <v>1.7731480000000001E-2</v>
      </c>
    </row>
    <row r="5614" spans="1:3" x14ac:dyDescent="0.45">
      <c r="A5614" s="11">
        <v>72.849999999999994</v>
      </c>
      <c r="B5614" s="14">
        <v>3.2406650000000002E-2</v>
      </c>
      <c r="C5614" s="15">
        <v>1.7748949999999999E-2</v>
      </c>
    </row>
    <row r="5615" spans="1:3" x14ac:dyDescent="0.45">
      <c r="A5615" s="11">
        <v>72.86</v>
      </c>
      <c r="B5615" s="14">
        <v>3.2440339999999998E-2</v>
      </c>
      <c r="C5615" s="15">
        <v>1.7766420000000002E-2</v>
      </c>
    </row>
    <row r="5616" spans="1:3" x14ac:dyDescent="0.45">
      <c r="A5616" s="11">
        <v>72.87</v>
      </c>
      <c r="B5616" s="14">
        <v>3.2474030000000001E-2</v>
      </c>
      <c r="C5616" s="15">
        <v>1.778389E-2</v>
      </c>
    </row>
    <row r="5617" spans="1:3" x14ac:dyDescent="0.45">
      <c r="A5617" s="11">
        <v>72.88</v>
      </c>
      <c r="B5617" s="14">
        <v>3.2507719999999997E-2</v>
      </c>
      <c r="C5617" s="15">
        <v>1.7801359999999999E-2</v>
      </c>
    </row>
    <row r="5618" spans="1:3" x14ac:dyDescent="0.45">
      <c r="A5618" s="11">
        <v>72.89</v>
      </c>
      <c r="B5618" s="14">
        <v>3.254141E-2</v>
      </c>
      <c r="C5618" s="15">
        <v>1.7818830000000001E-2</v>
      </c>
    </row>
    <row r="5619" spans="1:3" x14ac:dyDescent="0.45">
      <c r="A5619" s="11">
        <v>72.900000000000006</v>
      </c>
      <c r="B5619" s="14">
        <v>3.2575100000000003E-2</v>
      </c>
      <c r="C5619" s="15">
        <v>1.7836299999999999E-2</v>
      </c>
    </row>
    <row r="5620" spans="1:3" x14ac:dyDescent="0.45">
      <c r="A5620" s="11">
        <v>72.91</v>
      </c>
      <c r="B5620" s="14">
        <v>3.2608789999999999E-2</v>
      </c>
      <c r="C5620" s="15">
        <v>1.7853770000000001E-2</v>
      </c>
    </row>
    <row r="5621" spans="1:3" x14ac:dyDescent="0.45">
      <c r="A5621" s="11">
        <v>72.92</v>
      </c>
      <c r="B5621" s="14">
        <v>3.2642480000000001E-2</v>
      </c>
      <c r="C5621" s="15">
        <v>1.787124E-2</v>
      </c>
    </row>
    <row r="5622" spans="1:3" x14ac:dyDescent="0.45">
      <c r="A5622" s="11">
        <v>72.930000000000007</v>
      </c>
      <c r="B5622" s="14">
        <v>3.2676169999999997E-2</v>
      </c>
      <c r="C5622" s="15">
        <v>1.7888709999999999E-2</v>
      </c>
    </row>
    <row r="5623" spans="1:3" x14ac:dyDescent="0.45">
      <c r="A5623" s="11">
        <v>72.94</v>
      </c>
      <c r="B5623" s="14">
        <v>3.270986E-2</v>
      </c>
      <c r="C5623" s="15">
        <v>1.7906180000000001E-2</v>
      </c>
    </row>
    <row r="5624" spans="1:3" x14ac:dyDescent="0.45">
      <c r="A5624" s="11">
        <v>72.95</v>
      </c>
      <c r="B5624" s="14">
        <v>3.2743550000000003E-2</v>
      </c>
      <c r="C5624" s="15">
        <v>1.7923649999999999E-2</v>
      </c>
    </row>
    <row r="5625" spans="1:3" x14ac:dyDescent="0.45">
      <c r="A5625" s="11">
        <v>72.959999999999994</v>
      </c>
      <c r="B5625" s="14">
        <v>3.2777239999999999E-2</v>
      </c>
      <c r="C5625" s="15">
        <v>1.7941120000000001E-2</v>
      </c>
    </row>
    <row r="5626" spans="1:3" x14ac:dyDescent="0.45">
      <c r="A5626" s="11">
        <v>72.97</v>
      </c>
      <c r="B5626" s="14">
        <v>3.2810930000000002E-2</v>
      </c>
      <c r="C5626" s="15">
        <v>1.795859E-2</v>
      </c>
    </row>
    <row r="5627" spans="1:3" x14ac:dyDescent="0.45">
      <c r="A5627" s="11">
        <v>72.98</v>
      </c>
      <c r="B5627" s="14">
        <v>3.2844619999999998E-2</v>
      </c>
      <c r="C5627" s="15">
        <v>1.7976059999999999E-2</v>
      </c>
    </row>
    <row r="5628" spans="1:3" x14ac:dyDescent="0.45">
      <c r="A5628" s="11">
        <v>72.989999999999995</v>
      </c>
      <c r="B5628" s="14">
        <v>3.2878310000000001E-2</v>
      </c>
      <c r="C5628" s="15">
        <v>1.7993530000000001E-2</v>
      </c>
    </row>
    <row r="5629" spans="1:3" x14ac:dyDescent="0.45">
      <c r="A5629" s="11">
        <v>73</v>
      </c>
      <c r="B5629" s="14">
        <v>3.2911999999999997E-2</v>
      </c>
      <c r="C5629" s="15">
        <v>1.8010999999999999E-2</v>
      </c>
    </row>
    <row r="5630" spans="1:3" x14ac:dyDescent="0.45">
      <c r="A5630" s="11">
        <v>73.010000000000005</v>
      </c>
      <c r="B5630" s="14">
        <v>3.2949190000000003E-2</v>
      </c>
      <c r="C5630" s="15">
        <v>1.8030359999999999E-2</v>
      </c>
    </row>
    <row r="5631" spans="1:3" x14ac:dyDescent="0.45">
      <c r="A5631" s="11">
        <v>73.02</v>
      </c>
      <c r="B5631" s="14">
        <v>3.2986380000000003E-2</v>
      </c>
      <c r="C5631" s="15">
        <v>1.8049719999999998E-2</v>
      </c>
    </row>
    <row r="5632" spans="1:3" x14ac:dyDescent="0.45">
      <c r="A5632" s="11">
        <v>73.03</v>
      </c>
      <c r="B5632" s="14">
        <v>3.3023570000000002E-2</v>
      </c>
      <c r="C5632" s="15">
        <v>1.8069080000000001E-2</v>
      </c>
    </row>
    <row r="5633" spans="1:3" x14ac:dyDescent="0.45">
      <c r="A5633" s="11">
        <v>73.040000000000006</v>
      </c>
      <c r="B5633" s="14">
        <v>3.3060760000000002E-2</v>
      </c>
      <c r="C5633" s="15">
        <v>1.8088440000000001E-2</v>
      </c>
    </row>
    <row r="5634" spans="1:3" x14ac:dyDescent="0.45">
      <c r="A5634" s="11">
        <v>73.05</v>
      </c>
      <c r="B5634" s="14">
        <v>3.3097950000000001E-2</v>
      </c>
      <c r="C5634" s="15">
        <v>1.81078E-2</v>
      </c>
    </row>
    <row r="5635" spans="1:3" x14ac:dyDescent="0.45">
      <c r="A5635" s="11">
        <v>73.06</v>
      </c>
      <c r="B5635" s="14">
        <v>3.313514E-2</v>
      </c>
      <c r="C5635" s="15">
        <v>1.812716E-2</v>
      </c>
    </row>
    <row r="5636" spans="1:3" x14ac:dyDescent="0.45">
      <c r="A5636" s="11">
        <v>73.069999999999993</v>
      </c>
      <c r="B5636" s="14">
        <v>3.317233E-2</v>
      </c>
      <c r="C5636" s="15">
        <v>1.8146519999999999E-2</v>
      </c>
    </row>
    <row r="5637" spans="1:3" x14ac:dyDescent="0.45">
      <c r="A5637" s="11">
        <v>73.08</v>
      </c>
      <c r="B5637" s="14">
        <v>3.3209519999999999E-2</v>
      </c>
      <c r="C5637" s="15">
        <v>1.8165879999999999E-2</v>
      </c>
    </row>
    <row r="5638" spans="1:3" x14ac:dyDescent="0.45">
      <c r="A5638" s="11">
        <v>73.09</v>
      </c>
      <c r="B5638" s="14">
        <v>3.3246709999999999E-2</v>
      </c>
      <c r="C5638" s="15">
        <v>1.8185239999999998E-2</v>
      </c>
    </row>
    <row r="5639" spans="1:3" x14ac:dyDescent="0.45">
      <c r="A5639" s="11">
        <v>73.099999999999994</v>
      </c>
      <c r="B5639" s="14">
        <v>3.3283899999999998E-2</v>
      </c>
      <c r="C5639" s="15">
        <v>1.8204600000000001E-2</v>
      </c>
    </row>
    <row r="5640" spans="1:3" x14ac:dyDescent="0.45">
      <c r="A5640" s="11">
        <v>73.11</v>
      </c>
      <c r="B5640" s="14">
        <v>3.3321089999999998E-2</v>
      </c>
      <c r="C5640" s="15">
        <v>1.8223960000000001E-2</v>
      </c>
    </row>
    <row r="5641" spans="1:3" x14ac:dyDescent="0.45">
      <c r="A5641" s="11">
        <v>73.12</v>
      </c>
      <c r="B5641" s="14">
        <v>3.3358279999999997E-2</v>
      </c>
      <c r="C5641" s="15">
        <v>1.824332E-2</v>
      </c>
    </row>
    <row r="5642" spans="1:3" x14ac:dyDescent="0.45">
      <c r="A5642" s="11">
        <v>73.13</v>
      </c>
      <c r="B5642" s="14">
        <v>3.3395469999999997E-2</v>
      </c>
      <c r="C5642" s="15">
        <v>1.826268E-2</v>
      </c>
    </row>
    <row r="5643" spans="1:3" x14ac:dyDescent="0.45">
      <c r="A5643" s="11">
        <v>73.14</v>
      </c>
      <c r="B5643" s="14">
        <v>3.3432660000000003E-2</v>
      </c>
      <c r="C5643" s="15">
        <v>1.8282039999999999E-2</v>
      </c>
    </row>
    <row r="5644" spans="1:3" x14ac:dyDescent="0.45">
      <c r="A5644" s="11">
        <v>73.150000000000006</v>
      </c>
      <c r="B5644" s="14">
        <v>3.3469850000000002E-2</v>
      </c>
      <c r="C5644" s="15">
        <v>1.8301399999999999E-2</v>
      </c>
    </row>
    <row r="5645" spans="1:3" x14ac:dyDescent="0.45">
      <c r="A5645" s="11">
        <v>73.16</v>
      </c>
      <c r="B5645" s="14">
        <v>3.3507040000000002E-2</v>
      </c>
      <c r="C5645" s="15">
        <v>1.8320759999999998E-2</v>
      </c>
    </row>
    <row r="5646" spans="1:3" x14ac:dyDescent="0.45">
      <c r="A5646" s="11">
        <v>73.17</v>
      </c>
      <c r="B5646" s="14">
        <v>3.3544230000000001E-2</v>
      </c>
      <c r="C5646" s="15">
        <v>1.8340120000000001E-2</v>
      </c>
    </row>
    <row r="5647" spans="1:3" x14ac:dyDescent="0.45">
      <c r="A5647" s="11">
        <v>73.180000000000007</v>
      </c>
      <c r="B5647" s="14">
        <v>3.3581420000000001E-2</v>
      </c>
      <c r="C5647" s="15">
        <v>1.8359480000000001E-2</v>
      </c>
    </row>
    <row r="5648" spans="1:3" x14ac:dyDescent="0.45">
      <c r="A5648" s="11">
        <v>73.19</v>
      </c>
      <c r="B5648" s="14">
        <v>3.361861E-2</v>
      </c>
      <c r="C5648" s="15">
        <v>1.837884E-2</v>
      </c>
    </row>
    <row r="5649" spans="1:3" x14ac:dyDescent="0.45">
      <c r="A5649" s="11">
        <v>73.2</v>
      </c>
      <c r="B5649" s="14">
        <v>3.36558E-2</v>
      </c>
      <c r="C5649" s="15">
        <v>1.83982E-2</v>
      </c>
    </row>
    <row r="5650" spans="1:3" x14ac:dyDescent="0.45">
      <c r="A5650" s="11">
        <v>73.209999999999994</v>
      </c>
      <c r="B5650" s="14">
        <v>3.3692989999999999E-2</v>
      </c>
      <c r="C5650" s="15">
        <v>1.8417559999999999E-2</v>
      </c>
    </row>
    <row r="5651" spans="1:3" x14ac:dyDescent="0.45">
      <c r="A5651" s="11">
        <v>73.22</v>
      </c>
      <c r="B5651" s="14">
        <v>3.3730179999999998E-2</v>
      </c>
      <c r="C5651" s="15">
        <v>1.8436919999999999E-2</v>
      </c>
    </row>
    <row r="5652" spans="1:3" x14ac:dyDescent="0.45">
      <c r="A5652" s="11">
        <v>73.23</v>
      </c>
      <c r="B5652" s="14">
        <v>3.3767369999999998E-2</v>
      </c>
      <c r="C5652" s="15">
        <v>1.8456279999999999E-2</v>
      </c>
    </row>
    <row r="5653" spans="1:3" x14ac:dyDescent="0.45">
      <c r="A5653" s="11">
        <v>73.239999999999995</v>
      </c>
      <c r="B5653" s="14">
        <v>3.3804559999999997E-2</v>
      </c>
      <c r="C5653" s="15">
        <v>1.8475640000000002E-2</v>
      </c>
    </row>
    <row r="5654" spans="1:3" x14ac:dyDescent="0.45">
      <c r="A5654" s="11">
        <v>73.25</v>
      </c>
      <c r="B5654" s="14">
        <v>3.3841749999999997E-2</v>
      </c>
      <c r="C5654" s="15">
        <v>1.8495000000000001E-2</v>
      </c>
    </row>
    <row r="5655" spans="1:3" x14ac:dyDescent="0.45">
      <c r="A5655" s="11">
        <v>73.260000000000005</v>
      </c>
      <c r="B5655" s="14">
        <v>3.3878940000000003E-2</v>
      </c>
      <c r="C5655" s="15">
        <v>1.8514360000000001E-2</v>
      </c>
    </row>
    <row r="5656" spans="1:3" x14ac:dyDescent="0.45">
      <c r="A5656" s="11">
        <v>73.27</v>
      </c>
      <c r="B5656" s="14">
        <v>3.3916130000000003E-2</v>
      </c>
      <c r="C5656" s="15">
        <v>1.853372E-2</v>
      </c>
    </row>
    <row r="5657" spans="1:3" x14ac:dyDescent="0.45">
      <c r="A5657" s="11">
        <v>73.28</v>
      </c>
      <c r="B5657" s="14">
        <v>3.3953320000000002E-2</v>
      </c>
      <c r="C5657" s="15">
        <v>1.855308E-2</v>
      </c>
    </row>
    <row r="5658" spans="1:3" x14ac:dyDescent="0.45">
      <c r="A5658" s="11">
        <v>73.290000000000006</v>
      </c>
      <c r="B5658" s="14">
        <v>3.3990510000000002E-2</v>
      </c>
      <c r="C5658" s="15">
        <v>1.8572439999999999E-2</v>
      </c>
    </row>
    <row r="5659" spans="1:3" x14ac:dyDescent="0.45">
      <c r="A5659" s="11">
        <v>73.3</v>
      </c>
      <c r="B5659" s="14">
        <v>3.4027700000000001E-2</v>
      </c>
      <c r="C5659" s="15">
        <v>1.8591799999999999E-2</v>
      </c>
    </row>
    <row r="5660" spans="1:3" x14ac:dyDescent="0.45">
      <c r="A5660" s="11">
        <v>73.31</v>
      </c>
      <c r="B5660" s="14">
        <v>3.406489E-2</v>
      </c>
      <c r="C5660" s="15">
        <v>1.8611160000000002E-2</v>
      </c>
    </row>
    <row r="5661" spans="1:3" x14ac:dyDescent="0.45">
      <c r="A5661" s="11">
        <v>73.319999999999993</v>
      </c>
      <c r="B5661" s="14">
        <v>3.410208E-2</v>
      </c>
      <c r="C5661" s="15">
        <v>1.8630520000000001E-2</v>
      </c>
    </row>
    <row r="5662" spans="1:3" x14ac:dyDescent="0.45">
      <c r="A5662" s="11">
        <v>73.33</v>
      </c>
      <c r="B5662" s="14">
        <v>3.4139269999999999E-2</v>
      </c>
      <c r="C5662" s="15">
        <v>1.8649880000000001E-2</v>
      </c>
    </row>
    <row r="5663" spans="1:3" x14ac:dyDescent="0.45">
      <c r="A5663" s="11">
        <v>73.34</v>
      </c>
      <c r="B5663" s="14">
        <v>3.4176459999999999E-2</v>
      </c>
      <c r="C5663" s="15">
        <v>1.866924E-2</v>
      </c>
    </row>
    <row r="5664" spans="1:3" x14ac:dyDescent="0.45">
      <c r="A5664" s="11">
        <v>73.349999999999994</v>
      </c>
      <c r="B5664" s="14">
        <v>3.4213649999999998E-2</v>
      </c>
      <c r="C5664" s="15">
        <v>1.86886E-2</v>
      </c>
    </row>
    <row r="5665" spans="1:3" x14ac:dyDescent="0.45">
      <c r="A5665" s="11">
        <v>73.36</v>
      </c>
      <c r="B5665" s="14">
        <v>3.4250839999999998E-2</v>
      </c>
      <c r="C5665" s="15">
        <v>1.8707959999999999E-2</v>
      </c>
    </row>
    <row r="5666" spans="1:3" x14ac:dyDescent="0.45">
      <c r="A5666" s="11">
        <v>73.37</v>
      </c>
      <c r="B5666" s="14">
        <v>3.4288029999999997E-2</v>
      </c>
      <c r="C5666" s="15">
        <v>1.8727319999999999E-2</v>
      </c>
    </row>
    <row r="5667" spans="1:3" x14ac:dyDescent="0.45">
      <c r="A5667" s="11">
        <v>73.38</v>
      </c>
      <c r="B5667" s="14">
        <v>3.4325219999999997E-2</v>
      </c>
      <c r="C5667" s="15">
        <v>1.8746680000000002E-2</v>
      </c>
    </row>
    <row r="5668" spans="1:3" x14ac:dyDescent="0.45">
      <c r="A5668" s="11">
        <v>73.39</v>
      </c>
      <c r="B5668" s="14">
        <v>3.4362410000000003E-2</v>
      </c>
      <c r="C5668" s="15">
        <v>1.8766040000000001E-2</v>
      </c>
    </row>
    <row r="5669" spans="1:3" x14ac:dyDescent="0.45">
      <c r="A5669" s="11">
        <v>73.400000000000006</v>
      </c>
      <c r="B5669" s="14">
        <v>3.4399600000000002E-2</v>
      </c>
      <c r="C5669" s="15">
        <v>1.8785400000000001E-2</v>
      </c>
    </row>
    <row r="5670" spans="1:3" x14ac:dyDescent="0.45">
      <c r="A5670" s="11">
        <v>73.41</v>
      </c>
      <c r="B5670" s="14">
        <v>3.4436790000000002E-2</v>
      </c>
      <c r="C5670" s="15">
        <v>1.880476E-2</v>
      </c>
    </row>
    <row r="5671" spans="1:3" x14ac:dyDescent="0.45">
      <c r="A5671" s="11">
        <v>73.42</v>
      </c>
      <c r="B5671" s="14">
        <v>3.4473980000000001E-2</v>
      </c>
      <c r="C5671" s="15">
        <v>1.882412E-2</v>
      </c>
    </row>
    <row r="5672" spans="1:3" x14ac:dyDescent="0.45">
      <c r="A5672" s="11">
        <v>73.430000000000007</v>
      </c>
      <c r="B5672" s="14">
        <v>3.4511170000000001E-2</v>
      </c>
      <c r="C5672" s="15">
        <v>1.8843479999999999E-2</v>
      </c>
    </row>
    <row r="5673" spans="1:3" x14ac:dyDescent="0.45">
      <c r="A5673" s="11">
        <v>73.44</v>
      </c>
      <c r="B5673" s="14">
        <v>3.454836E-2</v>
      </c>
      <c r="C5673" s="15">
        <v>1.8862839999999999E-2</v>
      </c>
    </row>
    <row r="5674" spans="1:3" x14ac:dyDescent="0.45">
      <c r="A5674" s="11">
        <v>73.45</v>
      </c>
      <c r="B5674" s="14">
        <v>3.458555E-2</v>
      </c>
      <c r="C5674" s="15">
        <v>1.8882199999999998E-2</v>
      </c>
    </row>
    <row r="5675" spans="1:3" x14ac:dyDescent="0.45">
      <c r="A5675" s="11">
        <v>73.459999999999994</v>
      </c>
      <c r="B5675" s="14">
        <v>3.4622739999999999E-2</v>
      </c>
      <c r="C5675" s="15">
        <v>1.8901560000000001E-2</v>
      </c>
    </row>
    <row r="5676" spans="1:3" x14ac:dyDescent="0.45">
      <c r="A5676" s="11">
        <v>73.47</v>
      </c>
      <c r="B5676" s="14">
        <v>3.4659929999999999E-2</v>
      </c>
      <c r="C5676" s="15">
        <v>1.8920920000000001E-2</v>
      </c>
    </row>
    <row r="5677" spans="1:3" x14ac:dyDescent="0.45">
      <c r="A5677" s="11">
        <v>73.48</v>
      </c>
      <c r="B5677" s="14">
        <v>3.4697119999999998E-2</v>
      </c>
      <c r="C5677" s="15">
        <v>1.894028E-2</v>
      </c>
    </row>
    <row r="5678" spans="1:3" x14ac:dyDescent="0.45">
      <c r="A5678" s="11">
        <v>73.489999999999995</v>
      </c>
      <c r="B5678" s="14">
        <v>3.4734309999999997E-2</v>
      </c>
      <c r="C5678" s="15">
        <v>1.895964E-2</v>
      </c>
    </row>
    <row r="5679" spans="1:3" x14ac:dyDescent="0.45">
      <c r="A5679" s="11">
        <v>73.5</v>
      </c>
      <c r="B5679" s="14">
        <v>3.4771499999999997E-2</v>
      </c>
      <c r="C5679" s="15">
        <v>1.8978999999999999E-2</v>
      </c>
    </row>
    <row r="5680" spans="1:3" x14ac:dyDescent="0.45">
      <c r="A5680" s="11">
        <v>73.510000000000005</v>
      </c>
      <c r="B5680" s="14">
        <v>3.4808690000000003E-2</v>
      </c>
      <c r="C5680" s="15">
        <v>1.8998359999999999E-2</v>
      </c>
    </row>
    <row r="5681" spans="1:3" x14ac:dyDescent="0.45">
      <c r="A5681" s="11">
        <v>73.52</v>
      </c>
      <c r="B5681" s="14">
        <v>3.4845880000000003E-2</v>
      </c>
      <c r="C5681" s="15">
        <v>1.9017719999999998E-2</v>
      </c>
    </row>
    <row r="5682" spans="1:3" x14ac:dyDescent="0.45">
      <c r="A5682" s="11">
        <v>73.53</v>
      </c>
      <c r="B5682" s="14">
        <v>3.4883070000000002E-2</v>
      </c>
      <c r="C5682" s="15">
        <v>1.9037080000000001E-2</v>
      </c>
    </row>
    <row r="5683" spans="1:3" x14ac:dyDescent="0.45">
      <c r="A5683" s="11">
        <v>73.540000000000006</v>
      </c>
      <c r="B5683" s="14">
        <v>3.4920260000000002E-2</v>
      </c>
      <c r="C5683" s="15">
        <v>1.9056440000000001E-2</v>
      </c>
    </row>
    <row r="5684" spans="1:3" x14ac:dyDescent="0.45">
      <c r="A5684" s="11">
        <v>73.55</v>
      </c>
      <c r="B5684" s="14">
        <v>3.4957450000000001E-2</v>
      </c>
      <c r="C5684" s="15">
        <v>1.90758E-2</v>
      </c>
    </row>
    <row r="5685" spans="1:3" x14ac:dyDescent="0.45">
      <c r="A5685" s="11">
        <v>73.56</v>
      </c>
      <c r="B5685" s="14">
        <v>3.499464E-2</v>
      </c>
      <c r="C5685" s="15">
        <v>1.909516E-2</v>
      </c>
    </row>
    <row r="5686" spans="1:3" x14ac:dyDescent="0.45">
      <c r="A5686" s="11">
        <v>73.569999999999993</v>
      </c>
      <c r="B5686" s="14">
        <v>3.503183E-2</v>
      </c>
      <c r="C5686" s="15">
        <v>1.9114519999999999E-2</v>
      </c>
    </row>
    <row r="5687" spans="1:3" x14ac:dyDescent="0.45">
      <c r="A5687" s="11">
        <v>73.58</v>
      </c>
      <c r="B5687" s="14">
        <v>3.5069019999999999E-2</v>
      </c>
      <c r="C5687" s="15">
        <v>1.9133879999999999E-2</v>
      </c>
    </row>
    <row r="5688" spans="1:3" x14ac:dyDescent="0.45">
      <c r="A5688" s="11">
        <v>73.59</v>
      </c>
      <c r="B5688" s="14">
        <v>3.5106209999999999E-2</v>
      </c>
      <c r="C5688" s="15">
        <v>1.9153239999999998E-2</v>
      </c>
    </row>
    <row r="5689" spans="1:3" x14ac:dyDescent="0.45">
      <c r="A5689" s="11">
        <v>73.599999999999994</v>
      </c>
      <c r="B5689" s="14">
        <v>3.5143399999999998E-2</v>
      </c>
      <c r="C5689" s="15">
        <v>1.9172600000000001E-2</v>
      </c>
    </row>
    <row r="5690" spans="1:3" x14ac:dyDescent="0.45">
      <c r="A5690" s="11">
        <v>73.61</v>
      </c>
      <c r="B5690" s="14">
        <v>3.5180589999999998E-2</v>
      </c>
      <c r="C5690" s="15">
        <v>1.9191960000000001E-2</v>
      </c>
    </row>
    <row r="5691" spans="1:3" x14ac:dyDescent="0.45">
      <c r="A5691" s="11">
        <v>73.62</v>
      </c>
      <c r="B5691" s="14">
        <v>3.5217779999999997E-2</v>
      </c>
      <c r="C5691" s="15">
        <v>1.921132E-2</v>
      </c>
    </row>
    <row r="5692" spans="1:3" x14ac:dyDescent="0.45">
      <c r="A5692" s="11">
        <v>73.63</v>
      </c>
      <c r="B5692" s="14">
        <v>3.5254969999999997E-2</v>
      </c>
      <c r="C5692" s="15">
        <v>1.923068E-2</v>
      </c>
    </row>
    <row r="5693" spans="1:3" x14ac:dyDescent="0.45">
      <c r="A5693" s="11">
        <v>73.64</v>
      </c>
      <c r="B5693" s="14">
        <v>3.5292160000000003E-2</v>
      </c>
      <c r="C5693" s="15">
        <v>1.925004E-2</v>
      </c>
    </row>
    <row r="5694" spans="1:3" x14ac:dyDescent="0.45">
      <c r="A5694" s="11">
        <v>73.650000000000006</v>
      </c>
      <c r="B5694" s="14">
        <v>3.5329350000000002E-2</v>
      </c>
      <c r="C5694" s="15">
        <v>1.9269399999999999E-2</v>
      </c>
    </row>
    <row r="5695" spans="1:3" x14ac:dyDescent="0.45">
      <c r="A5695" s="11">
        <v>73.66</v>
      </c>
      <c r="B5695" s="14">
        <v>3.5366540000000002E-2</v>
      </c>
      <c r="C5695" s="15">
        <v>1.9288759999999999E-2</v>
      </c>
    </row>
    <row r="5696" spans="1:3" x14ac:dyDescent="0.45">
      <c r="A5696" s="11">
        <v>73.67</v>
      </c>
      <c r="B5696" s="14">
        <v>3.5403730000000001E-2</v>
      </c>
      <c r="C5696" s="15">
        <v>1.9308120000000002E-2</v>
      </c>
    </row>
    <row r="5697" spans="1:3" x14ac:dyDescent="0.45">
      <c r="A5697" s="11">
        <v>73.680000000000007</v>
      </c>
      <c r="B5697" s="14">
        <v>3.5440920000000001E-2</v>
      </c>
      <c r="C5697" s="15">
        <v>1.9327480000000001E-2</v>
      </c>
    </row>
    <row r="5698" spans="1:3" x14ac:dyDescent="0.45">
      <c r="A5698" s="11">
        <v>73.69</v>
      </c>
      <c r="B5698" s="14">
        <v>3.547811E-2</v>
      </c>
      <c r="C5698" s="15">
        <v>1.9346840000000001E-2</v>
      </c>
    </row>
    <row r="5699" spans="1:3" x14ac:dyDescent="0.45">
      <c r="A5699" s="11">
        <v>73.7</v>
      </c>
      <c r="B5699" s="14">
        <v>3.55153E-2</v>
      </c>
      <c r="C5699" s="15">
        <v>1.93662E-2</v>
      </c>
    </row>
    <row r="5700" spans="1:3" x14ac:dyDescent="0.45">
      <c r="A5700" s="11">
        <v>73.709999999999994</v>
      </c>
      <c r="B5700" s="14">
        <v>3.5552489999999999E-2</v>
      </c>
      <c r="C5700" s="15">
        <v>1.938556E-2</v>
      </c>
    </row>
    <row r="5701" spans="1:3" x14ac:dyDescent="0.45">
      <c r="A5701" s="11">
        <v>73.72</v>
      </c>
      <c r="B5701" s="14">
        <v>3.5589679999999999E-2</v>
      </c>
      <c r="C5701" s="15">
        <v>1.9404919999999999E-2</v>
      </c>
    </row>
    <row r="5702" spans="1:3" x14ac:dyDescent="0.45">
      <c r="A5702" s="11">
        <v>73.73</v>
      </c>
      <c r="B5702" s="14">
        <v>3.5626869999999998E-2</v>
      </c>
      <c r="C5702" s="15">
        <v>1.9424279999999999E-2</v>
      </c>
    </row>
    <row r="5703" spans="1:3" x14ac:dyDescent="0.45">
      <c r="A5703" s="11">
        <v>73.739999999999995</v>
      </c>
      <c r="B5703" s="14">
        <v>3.5664059999999997E-2</v>
      </c>
      <c r="C5703" s="15">
        <v>1.9443640000000002E-2</v>
      </c>
    </row>
    <row r="5704" spans="1:3" x14ac:dyDescent="0.45">
      <c r="A5704" s="11">
        <v>73.75</v>
      </c>
      <c r="B5704" s="14">
        <v>3.5701249999999997E-2</v>
      </c>
      <c r="C5704" s="15">
        <v>1.9463000000000001E-2</v>
      </c>
    </row>
    <row r="5705" spans="1:3" x14ac:dyDescent="0.45">
      <c r="A5705" s="11">
        <v>73.760000000000005</v>
      </c>
      <c r="B5705" s="14">
        <v>3.5738440000000003E-2</v>
      </c>
      <c r="C5705" s="15">
        <v>1.9482360000000001E-2</v>
      </c>
    </row>
    <row r="5706" spans="1:3" x14ac:dyDescent="0.45">
      <c r="A5706" s="11">
        <v>73.77</v>
      </c>
      <c r="B5706" s="14">
        <v>3.5775630000000003E-2</v>
      </c>
      <c r="C5706" s="15">
        <v>1.950172E-2</v>
      </c>
    </row>
    <row r="5707" spans="1:3" x14ac:dyDescent="0.45">
      <c r="A5707" s="11">
        <v>73.78</v>
      </c>
      <c r="B5707" s="14">
        <v>3.5812820000000002E-2</v>
      </c>
      <c r="C5707" s="15">
        <v>1.952108E-2</v>
      </c>
    </row>
    <row r="5708" spans="1:3" x14ac:dyDescent="0.45">
      <c r="A5708" s="11">
        <v>73.790000000000006</v>
      </c>
      <c r="B5708" s="14">
        <v>3.5850010000000002E-2</v>
      </c>
      <c r="C5708" s="15">
        <v>1.9540439999999999E-2</v>
      </c>
    </row>
    <row r="5709" spans="1:3" x14ac:dyDescent="0.45">
      <c r="A5709" s="11">
        <v>73.8</v>
      </c>
      <c r="B5709" s="14">
        <v>3.5887200000000001E-2</v>
      </c>
      <c r="C5709" s="15">
        <v>1.9559799999999999E-2</v>
      </c>
    </row>
    <row r="5710" spans="1:3" x14ac:dyDescent="0.45">
      <c r="A5710" s="11">
        <v>73.81</v>
      </c>
      <c r="B5710" s="14">
        <v>3.592439E-2</v>
      </c>
      <c r="C5710" s="15">
        <v>1.9579160000000002E-2</v>
      </c>
    </row>
    <row r="5711" spans="1:3" x14ac:dyDescent="0.45">
      <c r="A5711" s="11">
        <v>73.819999999999993</v>
      </c>
      <c r="B5711" s="14">
        <v>3.596158E-2</v>
      </c>
      <c r="C5711" s="15">
        <v>1.9598520000000001E-2</v>
      </c>
    </row>
    <row r="5712" spans="1:3" x14ac:dyDescent="0.45">
      <c r="A5712" s="11">
        <v>73.83</v>
      </c>
      <c r="B5712" s="14">
        <v>3.5998769999999999E-2</v>
      </c>
      <c r="C5712" s="15">
        <v>1.9617880000000001E-2</v>
      </c>
    </row>
    <row r="5713" spans="1:3" x14ac:dyDescent="0.45">
      <c r="A5713" s="11">
        <v>73.84</v>
      </c>
      <c r="B5713" s="14">
        <v>3.6035959999999999E-2</v>
      </c>
      <c r="C5713" s="15">
        <v>1.963724E-2</v>
      </c>
    </row>
    <row r="5714" spans="1:3" x14ac:dyDescent="0.45">
      <c r="A5714" s="11">
        <v>73.849999999999994</v>
      </c>
      <c r="B5714" s="14">
        <v>3.6073149999999998E-2</v>
      </c>
      <c r="C5714" s="15">
        <v>1.96566E-2</v>
      </c>
    </row>
    <row r="5715" spans="1:3" x14ac:dyDescent="0.45">
      <c r="A5715" s="11">
        <v>73.86</v>
      </c>
      <c r="B5715" s="14">
        <v>3.6110339999999998E-2</v>
      </c>
      <c r="C5715" s="15">
        <v>1.9675959999999999E-2</v>
      </c>
    </row>
    <row r="5716" spans="1:3" x14ac:dyDescent="0.45">
      <c r="A5716" s="11">
        <v>73.87</v>
      </c>
      <c r="B5716" s="14">
        <v>3.6147529999999997E-2</v>
      </c>
      <c r="C5716" s="15">
        <v>1.9695319999999999E-2</v>
      </c>
    </row>
    <row r="5717" spans="1:3" x14ac:dyDescent="0.45">
      <c r="A5717" s="11">
        <v>73.88</v>
      </c>
      <c r="B5717" s="14">
        <v>3.6184719999999997E-2</v>
      </c>
      <c r="C5717" s="15">
        <v>1.9714679999999998E-2</v>
      </c>
    </row>
    <row r="5718" spans="1:3" x14ac:dyDescent="0.45">
      <c r="A5718" s="11">
        <v>73.89</v>
      </c>
      <c r="B5718" s="14">
        <v>3.6221910000000003E-2</v>
      </c>
      <c r="C5718" s="15">
        <v>1.9734040000000001E-2</v>
      </c>
    </row>
    <row r="5719" spans="1:3" x14ac:dyDescent="0.45">
      <c r="A5719" s="11">
        <v>73.900000000000006</v>
      </c>
      <c r="B5719" s="14">
        <v>3.6259100000000002E-2</v>
      </c>
      <c r="C5719" s="15">
        <v>1.9753400000000001E-2</v>
      </c>
    </row>
    <row r="5720" spans="1:3" x14ac:dyDescent="0.45">
      <c r="A5720" s="11">
        <v>73.91</v>
      </c>
      <c r="B5720" s="14">
        <v>3.6296290000000002E-2</v>
      </c>
      <c r="C5720" s="15">
        <v>1.977276E-2</v>
      </c>
    </row>
    <row r="5721" spans="1:3" x14ac:dyDescent="0.45">
      <c r="A5721" s="11">
        <v>73.92</v>
      </c>
      <c r="B5721" s="14">
        <v>3.6333480000000001E-2</v>
      </c>
      <c r="C5721" s="15">
        <v>1.979212E-2</v>
      </c>
    </row>
    <row r="5722" spans="1:3" x14ac:dyDescent="0.45">
      <c r="A5722" s="11">
        <v>73.930000000000007</v>
      </c>
      <c r="B5722" s="14">
        <v>3.6370670000000001E-2</v>
      </c>
      <c r="C5722" s="15">
        <v>1.9811479999999999E-2</v>
      </c>
    </row>
    <row r="5723" spans="1:3" x14ac:dyDescent="0.45">
      <c r="A5723" s="11">
        <v>73.94</v>
      </c>
      <c r="B5723" s="14">
        <v>3.640786E-2</v>
      </c>
      <c r="C5723" s="15">
        <v>1.9830839999999999E-2</v>
      </c>
    </row>
    <row r="5724" spans="1:3" x14ac:dyDescent="0.45">
      <c r="A5724" s="11">
        <v>73.95</v>
      </c>
      <c r="B5724" s="14">
        <v>3.644505E-2</v>
      </c>
      <c r="C5724" s="15">
        <v>1.9850199999999998E-2</v>
      </c>
    </row>
    <row r="5725" spans="1:3" x14ac:dyDescent="0.45">
      <c r="A5725" s="11">
        <v>73.959999999999994</v>
      </c>
      <c r="B5725" s="14">
        <v>3.6482239999999999E-2</v>
      </c>
      <c r="C5725" s="15">
        <v>1.9869560000000001E-2</v>
      </c>
    </row>
    <row r="5726" spans="1:3" x14ac:dyDescent="0.45">
      <c r="A5726" s="11">
        <v>73.97</v>
      </c>
      <c r="B5726" s="14">
        <v>3.6519429999999999E-2</v>
      </c>
      <c r="C5726" s="15">
        <v>1.9888920000000001E-2</v>
      </c>
    </row>
    <row r="5727" spans="1:3" x14ac:dyDescent="0.45">
      <c r="A5727" s="11">
        <v>73.98</v>
      </c>
      <c r="B5727" s="14">
        <v>3.6556619999999998E-2</v>
      </c>
      <c r="C5727" s="15">
        <v>1.990828E-2</v>
      </c>
    </row>
    <row r="5728" spans="1:3" x14ac:dyDescent="0.45">
      <c r="A5728" s="11">
        <v>73.989999999999995</v>
      </c>
      <c r="B5728" s="14">
        <v>3.6593809999999997E-2</v>
      </c>
      <c r="C5728" s="15">
        <v>1.992764E-2</v>
      </c>
    </row>
    <row r="5729" spans="1:3" x14ac:dyDescent="0.45">
      <c r="A5729" s="11">
        <v>74</v>
      </c>
      <c r="B5729" s="14">
        <v>3.6630999999999997E-2</v>
      </c>
      <c r="C5729" s="15">
        <v>1.9946999999999999E-2</v>
      </c>
    </row>
    <row r="5730" spans="1:3" x14ac:dyDescent="0.45">
      <c r="A5730" s="11">
        <v>74.010000000000005</v>
      </c>
      <c r="B5730" s="14">
        <v>3.6672009999999998E-2</v>
      </c>
      <c r="C5730" s="15">
        <v>1.996846E-2</v>
      </c>
    </row>
    <row r="5731" spans="1:3" x14ac:dyDescent="0.45">
      <c r="A5731" s="11">
        <v>74.02</v>
      </c>
      <c r="B5731" s="14">
        <v>3.6713019999999999E-2</v>
      </c>
      <c r="C5731" s="15">
        <v>1.9989920000000001E-2</v>
      </c>
    </row>
    <row r="5732" spans="1:3" x14ac:dyDescent="0.45">
      <c r="A5732" s="11">
        <v>74.03</v>
      </c>
      <c r="B5732" s="14">
        <v>3.675403E-2</v>
      </c>
      <c r="C5732" s="15">
        <v>2.0011379999999999E-2</v>
      </c>
    </row>
    <row r="5733" spans="1:3" x14ac:dyDescent="0.45">
      <c r="A5733" s="11">
        <v>74.040000000000006</v>
      </c>
      <c r="B5733" s="14">
        <v>3.6795040000000001E-2</v>
      </c>
      <c r="C5733" s="15">
        <v>2.003284E-2</v>
      </c>
    </row>
    <row r="5734" spans="1:3" x14ac:dyDescent="0.45">
      <c r="A5734" s="11">
        <v>74.05</v>
      </c>
      <c r="B5734" s="14">
        <v>3.6836050000000002E-2</v>
      </c>
      <c r="C5734" s="15">
        <v>2.0054300000000001E-2</v>
      </c>
    </row>
    <row r="5735" spans="1:3" x14ac:dyDescent="0.45">
      <c r="A5735" s="11">
        <v>74.06</v>
      </c>
      <c r="B5735" s="14">
        <v>3.6877060000000003E-2</v>
      </c>
      <c r="C5735" s="15">
        <v>2.0075760000000002E-2</v>
      </c>
    </row>
    <row r="5736" spans="1:3" x14ac:dyDescent="0.45">
      <c r="A5736" s="11">
        <v>74.069999999999993</v>
      </c>
      <c r="B5736" s="14">
        <v>3.6918069999999997E-2</v>
      </c>
      <c r="C5736" s="15">
        <v>2.0097219999999999E-2</v>
      </c>
    </row>
    <row r="5737" spans="1:3" x14ac:dyDescent="0.45">
      <c r="A5737" s="11">
        <v>74.08</v>
      </c>
      <c r="B5737" s="14">
        <v>3.6959079999999998E-2</v>
      </c>
      <c r="C5737" s="15">
        <v>2.011868E-2</v>
      </c>
    </row>
    <row r="5738" spans="1:3" x14ac:dyDescent="0.45">
      <c r="A5738" s="11">
        <v>74.09</v>
      </c>
      <c r="B5738" s="14">
        <v>3.7000089999999999E-2</v>
      </c>
      <c r="C5738" s="15">
        <v>2.0140140000000001E-2</v>
      </c>
    </row>
    <row r="5739" spans="1:3" x14ac:dyDescent="0.45">
      <c r="A5739" s="11">
        <v>74.099999999999994</v>
      </c>
      <c r="B5739" s="14">
        <v>3.70411E-2</v>
      </c>
      <c r="C5739" s="15">
        <v>2.0161599999999998E-2</v>
      </c>
    </row>
    <row r="5740" spans="1:3" x14ac:dyDescent="0.45">
      <c r="A5740" s="11">
        <v>74.11</v>
      </c>
      <c r="B5740" s="14">
        <v>3.7082110000000001E-2</v>
      </c>
      <c r="C5740" s="15">
        <v>2.0183059999999999E-2</v>
      </c>
    </row>
    <row r="5741" spans="1:3" x14ac:dyDescent="0.45">
      <c r="A5741" s="11">
        <v>74.12</v>
      </c>
      <c r="B5741" s="14">
        <v>3.7123120000000003E-2</v>
      </c>
      <c r="C5741" s="15">
        <v>2.020452E-2</v>
      </c>
    </row>
    <row r="5742" spans="1:3" x14ac:dyDescent="0.45">
      <c r="A5742" s="11">
        <v>74.13</v>
      </c>
      <c r="B5742" s="14">
        <v>3.7164129999999997E-2</v>
      </c>
      <c r="C5742" s="15">
        <v>2.0225980000000001E-2</v>
      </c>
    </row>
    <row r="5743" spans="1:3" x14ac:dyDescent="0.45">
      <c r="A5743" s="11">
        <v>74.14</v>
      </c>
      <c r="B5743" s="14">
        <v>3.7205139999999998E-2</v>
      </c>
      <c r="C5743" s="15">
        <v>2.0247439999999998E-2</v>
      </c>
    </row>
    <row r="5744" spans="1:3" x14ac:dyDescent="0.45">
      <c r="A5744" s="11">
        <v>74.150000000000006</v>
      </c>
      <c r="B5744" s="14">
        <v>3.7246149999999999E-2</v>
      </c>
      <c r="C5744" s="15">
        <v>2.0268899999999999E-2</v>
      </c>
    </row>
    <row r="5745" spans="1:3" x14ac:dyDescent="0.45">
      <c r="A5745" s="11">
        <v>74.16</v>
      </c>
      <c r="B5745" s="14">
        <v>3.728716E-2</v>
      </c>
      <c r="C5745" s="15">
        <v>2.029036E-2</v>
      </c>
    </row>
    <row r="5746" spans="1:3" x14ac:dyDescent="0.45">
      <c r="A5746" s="11">
        <v>74.17</v>
      </c>
      <c r="B5746" s="14">
        <v>3.7328170000000001E-2</v>
      </c>
      <c r="C5746" s="15">
        <v>2.0311820000000001E-2</v>
      </c>
    </row>
    <row r="5747" spans="1:3" x14ac:dyDescent="0.45">
      <c r="A5747" s="11">
        <v>74.180000000000007</v>
      </c>
      <c r="B5747" s="14">
        <v>3.7369180000000002E-2</v>
      </c>
      <c r="C5747" s="15">
        <v>2.0333279999999999E-2</v>
      </c>
    </row>
    <row r="5748" spans="1:3" x14ac:dyDescent="0.45">
      <c r="A5748" s="11">
        <v>74.19</v>
      </c>
      <c r="B5748" s="14">
        <v>3.7410190000000003E-2</v>
      </c>
      <c r="C5748" s="15">
        <v>2.035474E-2</v>
      </c>
    </row>
    <row r="5749" spans="1:3" x14ac:dyDescent="0.45">
      <c r="A5749" s="11">
        <v>74.2</v>
      </c>
      <c r="B5749" s="14">
        <v>3.7451199999999997E-2</v>
      </c>
      <c r="C5749" s="15">
        <v>2.0376200000000001E-2</v>
      </c>
    </row>
    <row r="5750" spans="1:3" x14ac:dyDescent="0.45">
      <c r="A5750" s="11">
        <v>74.209999999999994</v>
      </c>
      <c r="B5750" s="14">
        <v>3.7492209999999998E-2</v>
      </c>
      <c r="C5750" s="15">
        <v>2.0397660000000001E-2</v>
      </c>
    </row>
    <row r="5751" spans="1:3" x14ac:dyDescent="0.45">
      <c r="A5751" s="11">
        <v>74.22</v>
      </c>
      <c r="B5751" s="14">
        <v>3.7533219999999999E-2</v>
      </c>
      <c r="C5751" s="15">
        <v>2.0419119999999999E-2</v>
      </c>
    </row>
    <row r="5752" spans="1:3" x14ac:dyDescent="0.45">
      <c r="A5752" s="11">
        <v>74.23</v>
      </c>
      <c r="B5752" s="14">
        <v>3.757423E-2</v>
      </c>
      <c r="C5752" s="15">
        <v>2.044058E-2</v>
      </c>
    </row>
    <row r="5753" spans="1:3" x14ac:dyDescent="0.45">
      <c r="A5753" s="11">
        <v>74.239999999999995</v>
      </c>
      <c r="B5753" s="14">
        <v>3.7615240000000001E-2</v>
      </c>
      <c r="C5753" s="15">
        <v>2.0462040000000001E-2</v>
      </c>
    </row>
    <row r="5754" spans="1:3" x14ac:dyDescent="0.45">
      <c r="A5754" s="11">
        <v>74.25</v>
      </c>
      <c r="B5754" s="14">
        <v>3.7656250000000002E-2</v>
      </c>
      <c r="C5754" s="15">
        <v>2.0483500000000002E-2</v>
      </c>
    </row>
    <row r="5755" spans="1:3" x14ac:dyDescent="0.45">
      <c r="A5755" s="11">
        <v>74.260000000000005</v>
      </c>
      <c r="B5755" s="14">
        <v>3.7697260000000003E-2</v>
      </c>
      <c r="C5755" s="15">
        <v>2.0504959999999999E-2</v>
      </c>
    </row>
    <row r="5756" spans="1:3" x14ac:dyDescent="0.45">
      <c r="A5756" s="11">
        <v>74.27</v>
      </c>
      <c r="B5756" s="14">
        <v>3.7738269999999997E-2</v>
      </c>
      <c r="C5756" s="15">
        <v>2.052642E-2</v>
      </c>
    </row>
    <row r="5757" spans="1:3" x14ac:dyDescent="0.45">
      <c r="A5757" s="11">
        <v>74.28</v>
      </c>
      <c r="B5757" s="14">
        <v>3.7779279999999998E-2</v>
      </c>
      <c r="C5757" s="15">
        <v>2.0547880000000001E-2</v>
      </c>
    </row>
    <row r="5758" spans="1:3" x14ac:dyDescent="0.45">
      <c r="A5758" s="11">
        <v>74.290000000000006</v>
      </c>
      <c r="B5758" s="14">
        <v>3.7820289999999999E-2</v>
      </c>
      <c r="C5758" s="15">
        <v>2.0569339999999998E-2</v>
      </c>
    </row>
    <row r="5759" spans="1:3" x14ac:dyDescent="0.45">
      <c r="A5759" s="11">
        <v>74.3</v>
      </c>
      <c r="B5759" s="14">
        <v>3.7861300000000001E-2</v>
      </c>
      <c r="C5759" s="15">
        <v>2.0590799999999999E-2</v>
      </c>
    </row>
    <row r="5760" spans="1:3" x14ac:dyDescent="0.45">
      <c r="A5760" s="11">
        <v>74.31</v>
      </c>
      <c r="B5760" s="14">
        <v>3.7902310000000002E-2</v>
      </c>
      <c r="C5760" s="15">
        <v>2.061226E-2</v>
      </c>
    </row>
    <row r="5761" spans="1:3" x14ac:dyDescent="0.45">
      <c r="A5761" s="11">
        <v>74.319999999999993</v>
      </c>
      <c r="B5761" s="14">
        <v>3.7943320000000003E-2</v>
      </c>
      <c r="C5761" s="15">
        <v>2.0633720000000001E-2</v>
      </c>
    </row>
    <row r="5762" spans="1:3" x14ac:dyDescent="0.45">
      <c r="A5762" s="11">
        <v>74.33</v>
      </c>
      <c r="B5762" s="14">
        <v>3.7984329999999997E-2</v>
      </c>
      <c r="C5762" s="15">
        <v>2.0655179999999999E-2</v>
      </c>
    </row>
    <row r="5763" spans="1:3" x14ac:dyDescent="0.45">
      <c r="A5763" s="11">
        <v>74.34</v>
      </c>
      <c r="B5763" s="14">
        <v>3.8025339999999998E-2</v>
      </c>
      <c r="C5763" s="15">
        <v>2.067664E-2</v>
      </c>
    </row>
    <row r="5764" spans="1:3" x14ac:dyDescent="0.45">
      <c r="A5764" s="11">
        <v>74.349999999999994</v>
      </c>
      <c r="B5764" s="14">
        <v>3.8066349999999999E-2</v>
      </c>
      <c r="C5764" s="15">
        <v>2.0698100000000001E-2</v>
      </c>
    </row>
    <row r="5765" spans="1:3" x14ac:dyDescent="0.45">
      <c r="A5765" s="11">
        <v>74.36</v>
      </c>
      <c r="B5765" s="14">
        <v>3.810736E-2</v>
      </c>
      <c r="C5765" s="15">
        <v>2.0719560000000001E-2</v>
      </c>
    </row>
    <row r="5766" spans="1:3" x14ac:dyDescent="0.45">
      <c r="A5766" s="11">
        <v>74.37</v>
      </c>
      <c r="B5766" s="14">
        <v>3.8148370000000001E-2</v>
      </c>
      <c r="C5766" s="15">
        <v>2.0741019999999999E-2</v>
      </c>
    </row>
    <row r="5767" spans="1:3" x14ac:dyDescent="0.45">
      <c r="A5767" s="11">
        <v>74.38</v>
      </c>
      <c r="B5767" s="14">
        <v>3.8189380000000002E-2</v>
      </c>
      <c r="C5767" s="15">
        <v>2.076248E-2</v>
      </c>
    </row>
    <row r="5768" spans="1:3" x14ac:dyDescent="0.45">
      <c r="A5768" s="11">
        <v>74.39</v>
      </c>
      <c r="B5768" s="14">
        <v>3.8230390000000003E-2</v>
      </c>
      <c r="C5768" s="15">
        <v>2.0783940000000001E-2</v>
      </c>
    </row>
    <row r="5769" spans="1:3" x14ac:dyDescent="0.45">
      <c r="A5769" s="11">
        <v>74.400000000000006</v>
      </c>
      <c r="B5769" s="14">
        <v>3.8271399999999997E-2</v>
      </c>
      <c r="C5769" s="15">
        <v>2.0805400000000002E-2</v>
      </c>
    </row>
    <row r="5770" spans="1:3" x14ac:dyDescent="0.45">
      <c r="A5770" s="11">
        <v>74.41</v>
      </c>
      <c r="B5770" s="14">
        <v>3.8312409999999998E-2</v>
      </c>
      <c r="C5770" s="15">
        <v>2.0826859999999999E-2</v>
      </c>
    </row>
    <row r="5771" spans="1:3" x14ac:dyDescent="0.45">
      <c r="A5771" s="11">
        <v>74.42</v>
      </c>
      <c r="B5771" s="14">
        <v>3.8353419999999999E-2</v>
      </c>
      <c r="C5771" s="15">
        <v>2.084832E-2</v>
      </c>
    </row>
    <row r="5772" spans="1:3" x14ac:dyDescent="0.45">
      <c r="A5772" s="11">
        <v>74.430000000000007</v>
      </c>
      <c r="B5772" s="14">
        <v>3.839443E-2</v>
      </c>
      <c r="C5772" s="15">
        <v>2.0869780000000001E-2</v>
      </c>
    </row>
    <row r="5773" spans="1:3" x14ac:dyDescent="0.45">
      <c r="A5773" s="11">
        <v>74.44</v>
      </c>
      <c r="B5773" s="14">
        <v>3.8435440000000001E-2</v>
      </c>
      <c r="C5773" s="15">
        <v>2.0891239999999998E-2</v>
      </c>
    </row>
    <row r="5774" spans="1:3" x14ac:dyDescent="0.45">
      <c r="A5774" s="11">
        <v>74.45</v>
      </c>
      <c r="B5774" s="14">
        <v>3.8476450000000002E-2</v>
      </c>
      <c r="C5774" s="15">
        <v>2.0912699999999999E-2</v>
      </c>
    </row>
    <row r="5775" spans="1:3" x14ac:dyDescent="0.45">
      <c r="A5775" s="11">
        <v>74.459999999999994</v>
      </c>
      <c r="B5775" s="14">
        <v>3.8517460000000003E-2</v>
      </c>
      <c r="C5775" s="15">
        <v>2.093416E-2</v>
      </c>
    </row>
    <row r="5776" spans="1:3" x14ac:dyDescent="0.45">
      <c r="A5776" s="11">
        <v>74.47</v>
      </c>
      <c r="B5776" s="14">
        <v>3.8558469999999997E-2</v>
      </c>
      <c r="C5776" s="15">
        <v>2.0955620000000001E-2</v>
      </c>
    </row>
    <row r="5777" spans="1:3" x14ac:dyDescent="0.45">
      <c r="A5777" s="11">
        <v>74.48</v>
      </c>
      <c r="B5777" s="14">
        <v>3.8599479999999999E-2</v>
      </c>
      <c r="C5777" s="15">
        <v>2.0977079999999999E-2</v>
      </c>
    </row>
    <row r="5778" spans="1:3" x14ac:dyDescent="0.45">
      <c r="A5778" s="11">
        <v>74.489999999999995</v>
      </c>
      <c r="B5778" s="14">
        <v>3.864049E-2</v>
      </c>
      <c r="C5778" s="15">
        <v>2.099854E-2</v>
      </c>
    </row>
    <row r="5779" spans="1:3" x14ac:dyDescent="0.45">
      <c r="A5779" s="11">
        <v>74.5</v>
      </c>
      <c r="B5779" s="14">
        <v>3.8681500000000001E-2</v>
      </c>
      <c r="C5779" s="15">
        <v>2.102E-2</v>
      </c>
    </row>
    <row r="5780" spans="1:3" x14ac:dyDescent="0.45">
      <c r="A5780" s="11">
        <v>74.510000000000005</v>
      </c>
      <c r="B5780" s="14">
        <v>3.8722510000000002E-2</v>
      </c>
      <c r="C5780" s="15">
        <v>2.1041460000000001E-2</v>
      </c>
    </row>
    <row r="5781" spans="1:3" x14ac:dyDescent="0.45">
      <c r="A5781" s="11">
        <v>74.52</v>
      </c>
      <c r="B5781" s="14">
        <v>3.8763520000000003E-2</v>
      </c>
      <c r="C5781" s="15">
        <v>2.1062919999999999E-2</v>
      </c>
    </row>
    <row r="5782" spans="1:3" x14ac:dyDescent="0.45">
      <c r="A5782" s="11">
        <v>74.53</v>
      </c>
      <c r="B5782" s="14">
        <v>3.8804529999999997E-2</v>
      </c>
      <c r="C5782" s="15">
        <v>2.108438E-2</v>
      </c>
    </row>
    <row r="5783" spans="1:3" x14ac:dyDescent="0.45">
      <c r="A5783" s="11">
        <v>74.540000000000006</v>
      </c>
      <c r="B5783" s="14">
        <v>3.8845539999999998E-2</v>
      </c>
      <c r="C5783" s="15">
        <v>2.1105840000000001E-2</v>
      </c>
    </row>
    <row r="5784" spans="1:3" x14ac:dyDescent="0.45">
      <c r="A5784" s="11">
        <v>74.55</v>
      </c>
      <c r="B5784" s="14">
        <v>3.8886549999999999E-2</v>
      </c>
      <c r="C5784" s="15">
        <v>2.1127300000000002E-2</v>
      </c>
    </row>
    <row r="5785" spans="1:3" x14ac:dyDescent="0.45">
      <c r="A5785" s="11">
        <v>74.56</v>
      </c>
      <c r="B5785" s="14">
        <v>3.892756E-2</v>
      </c>
      <c r="C5785" s="15">
        <v>2.1148759999999999E-2</v>
      </c>
    </row>
    <row r="5786" spans="1:3" x14ac:dyDescent="0.45">
      <c r="A5786" s="11">
        <v>74.569999999999993</v>
      </c>
      <c r="B5786" s="14">
        <v>3.8968570000000001E-2</v>
      </c>
      <c r="C5786" s="15">
        <v>2.117022E-2</v>
      </c>
    </row>
    <row r="5787" spans="1:3" x14ac:dyDescent="0.45">
      <c r="A5787" s="11">
        <v>74.58</v>
      </c>
      <c r="B5787" s="14">
        <v>3.9009580000000002E-2</v>
      </c>
      <c r="C5787" s="15">
        <v>2.1191680000000001E-2</v>
      </c>
    </row>
    <row r="5788" spans="1:3" x14ac:dyDescent="0.45">
      <c r="A5788" s="11">
        <v>74.59</v>
      </c>
      <c r="B5788" s="14">
        <v>3.9050590000000003E-2</v>
      </c>
      <c r="C5788" s="15">
        <v>2.1213139999999998E-2</v>
      </c>
    </row>
    <row r="5789" spans="1:3" x14ac:dyDescent="0.45">
      <c r="A5789" s="11">
        <v>74.599999999999994</v>
      </c>
      <c r="B5789" s="14">
        <v>3.9091599999999997E-2</v>
      </c>
      <c r="C5789" s="15">
        <v>2.1234599999999999E-2</v>
      </c>
    </row>
    <row r="5790" spans="1:3" x14ac:dyDescent="0.45">
      <c r="A5790" s="11">
        <v>74.61</v>
      </c>
      <c r="B5790" s="14">
        <v>3.9132609999999998E-2</v>
      </c>
      <c r="C5790" s="15">
        <v>2.125606E-2</v>
      </c>
    </row>
    <row r="5791" spans="1:3" x14ac:dyDescent="0.45">
      <c r="A5791" s="11">
        <v>74.62</v>
      </c>
      <c r="B5791" s="14">
        <v>3.9173619999999999E-2</v>
      </c>
      <c r="C5791" s="15">
        <v>2.1277520000000001E-2</v>
      </c>
    </row>
    <row r="5792" spans="1:3" x14ac:dyDescent="0.45">
      <c r="A5792" s="11">
        <v>74.63</v>
      </c>
      <c r="B5792" s="14">
        <v>3.921463E-2</v>
      </c>
      <c r="C5792" s="15">
        <v>2.1298979999999999E-2</v>
      </c>
    </row>
    <row r="5793" spans="1:3" x14ac:dyDescent="0.45">
      <c r="A5793" s="11">
        <v>74.64</v>
      </c>
      <c r="B5793" s="14">
        <v>3.9255640000000001E-2</v>
      </c>
      <c r="C5793" s="15">
        <v>2.132044E-2</v>
      </c>
    </row>
    <row r="5794" spans="1:3" x14ac:dyDescent="0.45">
      <c r="A5794" s="11">
        <v>74.650000000000006</v>
      </c>
      <c r="B5794" s="14">
        <v>3.9296650000000002E-2</v>
      </c>
      <c r="C5794" s="15">
        <v>2.13419E-2</v>
      </c>
    </row>
    <row r="5795" spans="1:3" x14ac:dyDescent="0.45">
      <c r="A5795" s="11">
        <v>74.66</v>
      </c>
      <c r="B5795" s="14">
        <v>3.9337660000000003E-2</v>
      </c>
      <c r="C5795" s="15">
        <v>2.1363360000000001E-2</v>
      </c>
    </row>
    <row r="5796" spans="1:3" x14ac:dyDescent="0.45">
      <c r="A5796" s="11">
        <v>74.67</v>
      </c>
      <c r="B5796" s="14">
        <v>3.9378669999999998E-2</v>
      </c>
      <c r="C5796" s="15">
        <v>2.1384819999999999E-2</v>
      </c>
    </row>
    <row r="5797" spans="1:3" x14ac:dyDescent="0.45">
      <c r="A5797" s="11">
        <v>74.680000000000007</v>
      </c>
      <c r="B5797" s="14">
        <v>3.9419679999999999E-2</v>
      </c>
      <c r="C5797" s="15">
        <v>2.140628E-2</v>
      </c>
    </row>
    <row r="5798" spans="1:3" x14ac:dyDescent="0.45">
      <c r="A5798" s="11">
        <v>74.69</v>
      </c>
      <c r="B5798" s="14">
        <v>3.946069E-2</v>
      </c>
      <c r="C5798" s="15">
        <v>2.1427740000000001E-2</v>
      </c>
    </row>
    <row r="5799" spans="1:3" x14ac:dyDescent="0.45">
      <c r="A5799" s="11">
        <v>74.7</v>
      </c>
      <c r="B5799" s="14">
        <v>3.9501700000000001E-2</v>
      </c>
      <c r="C5799" s="15">
        <v>2.1449200000000002E-2</v>
      </c>
    </row>
    <row r="5800" spans="1:3" x14ac:dyDescent="0.45">
      <c r="A5800" s="11">
        <v>74.709999999999994</v>
      </c>
      <c r="B5800" s="14">
        <v>3.9542710000000002E-2</v>
      </c>
      <c r="C5800" s="15">
        <v>2.1470659999999999E-2</v>
      </c>
    </row>
    <row r="5801" spans="1:3" x14ac:dyDescent="0.45">
      <c r="A5801" s="11">
        <v>74.72</v>
      </c>
      <c r="B5801" s="14">
        <v>3.9583720000000003E-2</v>
      </c>
      <c r="C5801" s="15">
        <v>2.149212E-2</v>
      </c>
    </row>
    <row r="5802" spans="1:3" x14ac:dyDescent="0.45">
      <c r="A5802" s="11">
        <v>74.73</v>
      </c>
      <c r="B5802" s="14">
        <v>3.9624729999999997E-2</v>
      </c>
      <c r="C5802" s="15">
        <v>2.1513580000000001E-2</v>
      </c>
    </row>
    <row r="5803" spans="1:3" x14ac:dyDescent="0.45">
      <c r="A5803" s="11">
        <v>74.739999999999995</v>
      </c>
      <c r="B5803" s="14">
        <v>3.9665739999999998E-2</v>
      </c>
      <c r="C5803" s="15">
        <v>2.1535039999999998E-2</v>
      </c>
    </row>
    <row r="5804" spans="1:3" x14ac:dyDescent="0.45">
      <c r="A5804" s="11">
        <v>74.75</v>
      </c>
      <c r="B5804" s="14">
        <v>3.9706749999999999E-2</v>
      </c>
      <c r="C5804" s="15">
        <v>2.1556499999999999E-2</v>
      </c>
    </row>
    <row r="5805" spans="1:3" x14ac:dyDescent="0.45">
      <c r="A5805" s="11">
        <v>74.760000000000005</v>
      </c>
      <c r="B5805" s="14">
        <v>3.974776E-2</v>
      </c>
      <c r="C5805" s="15">
        <v>2.157796E-2</v>
      </c>
    </row>
    <row r="5806" spans="1:3" x14ac:dyDescent="0.45">
      <c r="A5806" s="11">
        <v>74.77</v>
      </c>
      <c r="B5806" s="14">
        <v>3.9788770000000001E-2</v>
      </c>
      <c r="C5806" s="15">
        <v>2.1599420000000001E-2</v>
      </c>
    </row>
    <row r="5807" spans="1:3" x14ac:dyDescent="0.45">
      <c r="A5807" s="11">
        <v>74.78</v>
      </c>
      <c r="B5807" s="14">
        <v>3.9829780000000002E-2</v>
      </c>
      <c r="C5807" s="15">
        <v>2.1620879999999999E-2</v>
      </c>
    </row>
    <row r="5808" spans="1:3" x14ac:dyDescent="0.45">
      <c r="A5808" s="11">
        <v>74.790000000000006</v>
      </c>
      <c r="B5808" s="14">
        <v>3.9870790000000003E-2</v>
      </c>
      <c r="C5808" s="15">
        <v>2.1642339999999999E-2</v>
      </c>
    </row>
    <row r="5809" spans="1:3" x14ac:dyDescent="0.45">
      <c r="A5809" s="11">
        <v>74.8</v>
      </c>
      <c r="B5809" s="14">
        <v>3.9911799999999997E-2</v>
      </c>
      <c r="C5809" s="15">
        <v>2.16638E-2</v>
      </c>
    </row>
    <row r="5810" spans="1:3" x14ac:dyDescent="0.45">
      <c r="A5810" s="11">
        <v>74.81</v>
      </c>
      <c r="B5810" s="14">
        <v>3.9952809999999998E-2</v>
      </c>
      <c r="C5810" s="15">
        <v>2.1685260000000001E-2</v>
      </c>
    </row>
    <row r="5811" spans="1:3" x14ac:dyDescent="0.45">
      <c r="A5811" s="11">
        <v>74.819999999999993</v>
      </c>
      <c r="B5811" s="14">
        <v>3.9993819999999999E-2</v>
      </c>
      <c r="C5811" s="15">
        <v>2.1706719999999999E-2</v>
      </c>
    </row>
    <row r="5812" spans="1:3" x14ac:dyDescent="0.45">
      <c r="A5812" s="11">
        <v>74.83</v>
      </c>
      <c r="B5812" s="14">
        <v>4.003483E-2</v>
      </c>
      <c r="C5812" s="15">
        <v>2.172818E-2</v>
      </c>
    </row>
    <row r="5813" spans="1:3" x14ac:dyDescent="0.45">
      <c r="A5813" s="11">
        <v>74.84</v>
      </c>
      <c r="B5813" s="14">
        <v>4.0075840000000001E-2</v>
      </c>
      <c r="C5813" s="15">
        <v>2.1749640000000001E-2</v>
      </c>
    </row>
    <row r="5814" spans="1:3" x14ac:dyDescent="0.45">
      <c r="A5814" s="11">
        <v>74.849999999999994</v>
      </c>
      <c r="B5814" s="14">
        <v>4.0116850000000003E-2</v>
      </c>
      <c r="C5814" s="15">
        <v>2.1771100000000002E-2</v>
      </c>
    </row>
    <row r="5815" spans="1:3" x14ac:dyDescent="0.45">
      <c r="A5815" s="11">
        <v>74.86</v>
      </c>
      <c r="B5815" s="14">
        <v>4.0157859999999997E-2</v>
      </c>
      <c r="C5815" s="15">
        <v>2.1792559999999999E-2</v>
      </c>
    </row>
    <row r="5816" spans="1:3" x14ac:dyDescent="0.45">
      <c r="A5816" s="11">
        <v>74.87</v>
      </c>
      <c r="B5816" s="14">
        <v>4.0198869999999998E-2</v>
      </c>
      <c r="C5816" s="15">
        <v>2.181402E-2</v>
      </c>
    </row>
    <row r="5817" spans="1:3" x14ac:dyDescent="0.45">
      <c r="A5817" s="11">
        <v>74.88</v>
      </c>
      <c r="B5817" s="14">
        <v>4.0239879999999999E-2</v>
      </c>
      <c r="C5817" s="15">
        <v>2.1835480000000001E-2</v>
      </c>
    </row>
    <row r="5818" spans="1:3" x14ac:dyDescent="0.45">
      <c r="A5818" s="11">
        <v>74.89</v>
      </c>
      <c r="B5818" s="14">
        <v>4.028089E-2</v>
      </c>
      <c r="C5818" s="15">
        <v>2.1856939999999998E-2</v>
      </c>
    </row>
    <row r="5819" spans="1:3" x14ac:dyDescent="0.45">
      <c r="A5819" s="11">
        <v>74.900000000000006</v>
      </c>
      <c r="B5819" s="14">
        <v>4.0321900000000001E-2</v>
      </c>
      <c r="C5819" s="15">
        <v>2.1878399999999999E-2</v>
      </c>
    </row>
    <row r="5820" spans="1:3" x14ac:dyDescent="0.45">
      <c r="A5820" s="11">
        <v>74.91</v>
      </c>
      <c r="B5820" s="14">
        <v>4.0362910000000002E-2</v>
      </c>
      <c r="C5820" s="15">
        <v>2.189986E-2</v>
      </c>
    </row>
    <row r="5821" spans="1:3" x14ac:dyDescent="0.45">
      <c r="A5821" s="11">
        <v>74.92</v>
      </c>
      <c r="B5821" s="14">
        <v>4.0403920000000003E-2</v>
      </c>
      <c r="C5821" s="15">
        <v>2.1921320000000001E-2</v>
      </c>
    </row>
    <row r="5822" spans="1:3" x14ac:dyDescent="0.45">
      <c r="A5822" s="11">
        <v>74.930000000000007</v>
      </c>
      <c r="B5822" s="14">
        <v>4.0444929999999997E-2</v>
      </c>
      <c r="C5822" s="15">
        <v>2.1942779999999999E-2</v>
      </c>
    </row>
    <row r="5823" spans="1:3" x14ac:dyDescent="0.45">
      <c r="A5823" s="11">
        <v>74.94</v>
      </c>
      <c r="B5823" s="14">
        <v>4.0485939999999998E-2</v>
      </c>
      <c r="C5823" s="15">
        <v>2.1964239999999999E-2</v>
      </c>
    </row>
    <row r="5824" spans="1:3" x14ac:dyDescent="0.45">
      <c r="A5824" s="11">
        <v>74.95</v>
      </c>
      <c r="B5824" s="14">
        <v>4.0526949999999999E-2</v>
      </c>
      <c r="C5824" s="15">
        <v>2.19857E-2</v>
      </c>
    </row>
    <row r="5825" spans="1:3" x14ac:dyDescent="0.45">
      <c r="A5825" s="11">
        <v>74.959999999999994</v>
      </c>
      <c r="B5825" s="14">
        <v>4.056796E-2</v>
      </c>
      <c r="C5825" s="15">
        <v>2.2007160000000001E-2</v>
      </c>
    </row>
    <row r="5826" spans="1:3" x14ac:dyDescent="0.45">
      <c r="A5826" s="11">
        <v>74.97</v>
      </c>
      <c r="B5826" s="14">
        <v>4.0608970000000001E-2</v>
      </c>
      <c r="C5826" s="15">
        <v>2.2028619999999999E-2</v>
      </c>
    </row>
    <row r="5827" spans="1:3" x14ac:dyDescent="0.45">
      <c r="A5827" s="11">
        <v>74.98</v>
      </c>
      <c r="B5827" s="14">
        <v>4.0649980000000002E-2</v>
      </c>
      <c r="C5827" s="15">
        <v>2.205008E-2</v>
      </c>
    </row>
    <row r="5828" spans="1:3" x14ac:dyDescent="0.45">
      <c r="A5828" s="11">
        <v>74.989999999999995</v>
      </c>
      <c r="B5828" s="14">
        <v>4.0690990000000003E-2</v>
      </c>
      <c r="C5828" s="15">
        <v>2.2071540000000001E-2</v>
      </c>
    </row>
    <row r="5829" spans="1:3" x14ac:dyDescent="0.45">
      <c r="A5829" s="11">
        <v>75</v>
      </c>
      <c r="B5829" s="14">
        <v>4.0731999999999997E-2</v>
      </c>
      <c r="C5829" s="15">
        <v>2.2093000000000002E-2</v>
      </c>
    </row>
    <row r="5830" spans="1:3" x14ac:dyDescent="0.45">
      <c r="A5830" s="11">
        <v>75.010000000000005</v>
      </c>
      <c r="B5830" s="14">
        <v>4.0777189999999998E-2</v>
      </c>
      <c r="C5830" s="15">
        <v>2.2116790000000001E-2</v>
      </c>
    </row>
    <row r="5831" spans="1:3" x14ac:dyDescent="0.45">
      <c r="A5831" s="11">
        <v>75.02</v>
      </c>
      <c r="B5831" s="14">
        <v>4.0822379999999998E-2</v>
      </c>
      <c r="C5831" s="15">
        <v>2.214058E-2</v>
      </c>
    </row>
    <row r="5832" spans="1:3" x14ac:dyDescent="0.45">
      <c r="A5832" s="11">
        <v>75.03</v>
      </c>
      <c r="B5832" s="14">
        <v>4.0867569999999999E-2</v>
      </c>
      <c r="C5832" s="15">
        <v>2.2164369999999999E-2</v>
      </c>
    </row>
    <row r="5833" spans="1:3" x14ac:dyDescent="0.45">
      <c r="A5833" s="11">
        <v>75.040000000000006</v>
      </c>
      <c r="B5833" s="14">
        <v>4.0912759999999999E-2</v>
      </c>
      <c r="C5833" s="15">
        <v>2.2188159999999998E-2</v>
      </c>
    </row>
    <row r="5834" spans="1:3" x14ac:dyDescent="0.45">
      <c r="A5834" s="11">
        <v>75.05</v>
      </c>
      <c r="B5834" s="14">
        <v>4.095795E-2</v>
      </c>
      <c r="C5834" s="15">
        <v>2.2211950000000001E-2</v>
      </c>
    </row>
    <row r="5835" spans="1:3" x14ac:dyDescent="0.45">
      <c r="A5835" s="11">
        <v>75.06</v>
      </c>
      <c r="B5835" s="14">
        <v>4.100314E-2</v>
      </c>
      <c r="C5835" s="15">
        <v>2.223574E-2</v>
      </c>
    </row>
    <row r="5836" spans="1:3" x14ac:dyDescent="0.45">
      <c r="A5836" s="11">
        <v>75.069999999999993</v>
      </c>
      <c r="B5836" s="14">
        <v>4.1048330000000001E-2</v>
      </c>
      <c r="C5836" s="15">
        <v>2.225953E-2</v>
      </c>
    </row>
    <row r="5837" spans="1:3" x14ac:dyDescent="0.45">
      <c r="A5837" s="11">
        <v>75.08</v>
      </c>
      <c r="B5837" s="14">
        <v>4.1093520000000001E-2</v>
      </c>
      <c r="C5837" s="15">
        <v>2.2283319999999999E-2</v>
      </c>
    </row>
    <row r="5838" spans="1:3" x14ac:dyDescent="0.45">
      <c r="A5838" s="11">
        <v>75.09</v>
      </c>
      <c r="B5838" s="14">
        <v>4.1138710000000002E-2</v>
      </c>
      <c r="C5838" s="15">
        <v>2.2307110000000002E-2</v>
      </c>
    </row>
    <row r="5839" spans="1:3" x14ac:dyDescent="0.45">
      <c r="A5839" s="11">
        <v>75.099999999999994</v>
      </c>
      <c r="B5839" s="14">
        <v>4.1183900000000002E-2</v>
      </c>
      <c r="C5839" s="15">
        <v>2.2330900000000001E-2</v>
      </c>
    </row>
    <row r="5840" spans="1:3" x14ac:dyDescent="0.45">
      <c r="A5840" s="11">
        <v>75.11</v>
      </c>
      <c r="B5840" s="14">
        <v>4.1229090000000003E-2</v>
      </c>
      <c r="C5840" s="15">
        <v>2.235469E-2</v>
      </c>
    </row>
    <row r="5841" spans="1:3" x14ac:dyDescent="0.45">
      <c r="A5841" s="11">
        <v>75.12</v>
      </c>
      <c r="B5841" s="14">
        <v>4.1274280000000003E-2</v>
      </c>
      <c r="C5841" s="15">
        <v>2.2378479999999999E-2</v>
      </c>
    </row>
    <row r="5842" spans="1:3" x14ac:dyDescent="0.45">
      <c r="A5842" s="11">
        <v>75.13</v>
      </c>
      <c r="B5842" s="14">
        <v>4.1319469999999997E-2</v>
      </c>
      <c r="C5842" s="15">
        <v>2.2402269999999998E-2</v>
      </c>
    </row>
    <row r="5843" spans="1:3" x14ac:dyDescent="0.45">
      <c r="A5843" s="11">
        <v>75.14</v>
      </c>
      <c r="B5843" s="14">
        <v>4.1364659999999998E-2</v>
      </c>
      <c r="C5843" s="15">
        <v>2.2426060000000001E-2</v>
      </c>
    </row>
    <row r="5844" spans="1:3" x14ac:dyDescent="0.45">
      <c r="A5844" s="11">
        <v>75.150000000000006</v>
      </c>
      <c r="B5844" s="14">
        <v>4.1409849999999998E-2</v>
      </c>
      <c r="C5844" s="15">
        <v>2.244985E-2</v>
      </c>
    </row>
    <row r="5845" spans="1:3" x14ac:dyDescent="0.45">
      <c r="A5845" s="11">
        <v>75.16</v>
      </c>
      <c r="B5845" s="14">
        <v>4.1455039999999999E-2</v>
      </c>
      <c r="C5845" s="15">
        <v>2.247364E-2</v>
      </c>
    </row>
    <row r="5846" spans="1:3" x14ac:dyDescent="0.45">
      <c r="A5846" s="11">
        <v>75.17</v>
      </c>
      <c r="B5846" s="14">
        <v>4.1500229999999999E-2</v>
      </c>
      <c r="C5846" s="15">
        <v>2.2497429999999999E-2</v>
      </c>
    </row>
    <row r="5847" spans="1:3" x14ac:dyDescent="0.45">
      <c r="A5847" s="11">
        <v>75.180000000000007</v>
      </c>
      <c r="B5847" s="14">
        <v>4.154542E-2</v>
      </c>
      <c r="C5847" s="15">
        <v>2.2521220000000002E-2</v>
      </c>
    </row>
    <row r="5848" spans="1:3" x14ac:dyDescent="0.45">
      <c r="A5848" s="11">
        <v>75.19</v>
      </c>
      <c r="B5848" s="14">
        <v>4.159061E-2</v>
      </c>
      <c r="C5848" s="15">
        <v>2.2545010000000001E-2</v>
      </c>
    </row>
    <row r="5849" spans="1:3" x14ac:dyDescent="0.45">
      <c r="A5849" s="11">
        <v>75.2</v>
      </c>
      <c r="B5849" s="14">
        <v>4.1635800000000001E-2</v>
      </c>
      <c r="C5849" s="15">
        <v>2.25688E-2</v>
      </c>
    </row>
    <row r="5850" spans="1:3" x14ac:dyDescent="0.45">
      <c r="A5850" s="11">
        <v>75.209999999999994</v>
      </c>
      <c r="B5850" s="14">
        <v>4.1680990000000001E-2</v>
      </c>
      <c r="C5850" s="15">
        <v>2.2592589999999999E-2</v>
      </c>
    </row>
    <row r="5851" spans="1:3" x14ac:dyDescent="0.45">
      <c r="A5851" s="11">
        <v>75.22</v>
      </c>
      <c r="B5851" s="14">
        <v>4.1726180000000002E-2</v>
      </c>
      <c r="C5851" s="15">
        <v>2.2616379999999998E-2</v>
      </c>
    </row>
    <row r="5852" spans="1:3" x14ac:dyDescent="0.45">
      <c r="A5852" s="11">
        <v>75.23</v>
      </c>
      <c r="B5852" s="14">
        <v>4.1771370000000002E-2</v>
      </c>
      <c r="C5852" s="15">
        <v>2.2640170000000001E-2</v>
      </c>
    </row>
    <row r="5853" spans="1:3" x14ac:dyDescent="0.45">
      <c r="A5853" s="11">
        <v>75.239999999999995</v>
      </c>
      <c r="B5853" s="14">
        <v>4.1816560000000003E-2</v>
      </c>
      <c r="C5853" s="15">
        <v>2.266396E-2</v>
      </c>
    </row>
    <row r="5854" spans="1:3" x14ac:dyDescent="0.45">
      <c r="A5854" s="11">
        <v>75.25</v>
      </c>
      <c r="B5854" s="14">
        <v>4.1861750000000003E-2</v>
      </c>
      <c r="C5854" s="15">
        <v>2.268775E-2</v>
      </c>
    </row>
    <row r="5855" spans="1:3" x14ac:dyDescent="0.45">
      <c r="A5855" s="11">
        <v>75.260000000000005</v>
      </c>
      <c r="B5855" s="14">
        <v>4.1906939999999997E-2</v>
      </c>
      <c r="C5855" s="15">
        <v>2.2711539999999999E-2</v>
      </c>
    </row>
    <row r="5856" spans="1:3" x14ac:dyDescent="0.45">
      <c r="A5856" s="11">
        <v>75.27</v>
      </c>
      <c r="B5856" s="14">
        <v>4.1952129999999997E-2</v>
      </c>
      <c r="C5856" s="15">
        <v>2.2735330000000002E-2</v>
      </c>
    </row>
    <row r="5857" spans="1:3" x14ac:dyDescent="0.45">
      <c r="A5857" s="11">
        <v>75.28</v>
      </c>
      <c r="B5857" s="14">
        <v>4.1997319999999998E-2</v>
      </c>
      <c r="C5857" s="15">
        <v>2.2759120000000001E-2</v>
      </c>
    </row>
    <row r="5858" spans="1:3" x14ac:dyDescent="0.45">
      <c r="A5858" s="11">
        <v>75.290000000000006</v>
      </c>
      <c r="B5858" s="14">
        <v>4.2042509999999998E-2</v>
      </c>
      <c r="C5858" s="15">
        <v>2.278291E-2</v>
      </c>
    </row>
    <row r="5859" spans="1:3" x14ac:dyDescent="0.45">
      <c r="A5859" s="11">
        <v>75.3</v>
      </c>
      <c r="B5859" s="14">
        <v>4.2087699999999999E-2</v>
      </c>
      <c r="C5859" s="15">
        <v>2.2806699999999999E-2</v>
      </c>
    </row>
    <row r="5860" spans="1:3" x14ac:dyDescent="0.45">
      <c r="A5860" s="11">
        <v>75.31</v>
      </c>
      <c r="B5860" s="14">
        <v>4.2132889999999999E-2</v>
      </c>
      <c r="C5860" s="15">
        <v>2.2830489999999998E-2</v>
      </c>
    </row>
    <row r="5861" spans="1:3" x14ac:dyDescent="0.45">
      <c r="A5861" s="11">
        <v>75.319999999999993</v>
      </c>
      <c r="B5861" s="14">
        <v>4.217808E-2</v>
      </c>
      <c r="C5861" s="15">
        <v>2.2854280000000001E-2</v>
      </c>
    </row>
    <row r="5862" spans="1:3" x14ac:dyDescent="0.45">
      <c r="A5862" s="11">
        <v>75.33</v>
      </c>
      <c r="B5862" s="14">
        <v>4.222327E-2</v>
      </c>
      <c r="C5862" s="15">
        <v>2.287807E-2</v>
      </c>
    </row>
    <row r="5863" spans="1:3" x14ac:dyDescent="0.45">
      <c r="A5863" s="11">
        <v>75.34</v>
      </c>
      <c r="B5863" s="14">
        <v>4.2268460000000001E-2</v>
      </c>
      <c r="C5863" s="15">
        <v>2.290186E-2</v>
      </c>
    </row>
    <row r="5864" spans="1:3" x14ac:dyDescent="0.45">
      <c r="A5864" s="11">
        <v>75.349999999999994</v>
      </c>
      <c r="B5864" s="14">
        <v>4.2313650000000001E-2</v>
      </c>
      <c r="C5864" s="15">
        <v>2.2925649999999999E-2</v>
      </c>
    </row>
    <row r="5865" spans="1:3" x14ac:dyDescent="0.45">
      <c r="A5865" s="11">
        <v>75.36</v>
      </c>
      <c r="B5865" s="14">
        <v>4.2358840000000002E-2</v>
      </c>
      <c r="C5865" s="15">
        <v>2.2949440000000002E-2</v>
      </c>
    </row>
    <row r="5866" spans="1:3" x14ac:dyDescent="0.45">
      <c r="A5866" s="11">
        <v>75.37</v>
      </c>
      <c r="B5866" s="14">
        <v>4.2404030000000002E-2</v>
      </c>
      <c r="C5866" s="15">
        <v>2.2973230000000001E-2</v>
      </c>
    </row>
    <row r="5867" spans="1:3" x14ac:dyDescent="0.45">
      <c r="A5867" s="11">
        <v>75.38</v>
      </c>
      <c r="B5867" s="14">
        <v>4.2449220000000003E-2</v>
      </c>
      <c r="C5867" s="15">
        <v>2.299702E-2</v>
      </c>
    </row>
    <row r="5868" spans="1:3" x14ac:dyDescent="0.45">
      <c r="A5868" s="11">
        <v>75.39</v>
      </c>
      <c r="B5868" s="14">
        <v>4.2494410000000003E-2</v>
      </c>
      <c r="C5868" s="15">
        <v>2.3020809999999999E-2</v>
      </c>
    </row>
    <row r="5869" spans="1:3" x14ac:dyDescent="0.45">
      <c r="A5869" s="11">
        <v>75.400000000000006</v>
      </c>
      <c r="B5869" s="14">
        <v>4.2539599999999997E-2</v>
      </c>
      <c r="C5869" s="15">
        <v>2.3044599999999998E-2</v>
      </c>
    </row>
    <row r="5870" spans="1:3" x14ac:dyDescent="0.45">
      <c r="A5870" s="11">
        <v>75.41</v>
      </c>
      <c r="B5870" s="14">
        <v>4.2584789999999997E-2</v>
      </c>
      <c r="C5870" s="15">
        <v>2.3068390000000001E-2</v>
      </c>
    </row>
    <row r="5871" spans="1:3" x14ac:dyDescent="0.45">
      <c r="A5871" s="11">
        <v>75.42</v>
      </c>
      <c r="B5871" s="14">
        <v>4.2629979999999998E-2</v>
      </c>
      <c r="C5871" s="15">
        <v>2.309218E-2</v>
      </c>
    </row>
    <row r="5872" spans="1:3" x14ac:dyDescent="0.45">
      <c r="A5872" s="11">
        <v>75.430000000000007</v>
      </c>
      <c r="B5872" s="14">
        <v>4.2675169999999998E-2</v>
      </c>
      <c r="C5872" s="15">
        <v>2.311597E-2</v>
      </c>
    </row>
    <row r="5873" spans="1:3" x14ac:dyDescent="0.45">
      <c r="A5873" s="11">
        <v>75.44</v>
      </c>
      <c r="B5873" s="14">
        <v>4.2720359999999999E-2</v>
      </c>
      <c r="C5873" s="15">
        <v>2.3139759999999999E-2</v>
      </c>
    </row>
    <row r="5874" spans="1:3" x14ac:dyDescent="0.45">
      <c r="A5874" s="11">
        <v>75.45</v>
      </c>
      <c r="B5874" s="14">
        <v>4.2765549999999999E-2</v>
      </c>
      <c r="C5874" s="15">
        <v>2.3163550000000001E-2</v>
      </c>
    </row>
    <row r="5875" spans="1:3" x14ac:dyDescent="0.45">
      <c r="A5875" s="11">
        <v>75.459999999999994</v>
      </c>
      <c r="B5875" s="14">
        <v>4.281074E-2</v>
      </c>
      <c r="C5875" s="15">
        <v>2.3187340000000001E-2</v>
      </c>
    </row>
    <row r="5876" spans="1:3" x14ac:dyDescent="0.45">
      <c r="A5876" s="11">
        <v>75.47</v>
      </c>
      <c r="B5876" s="14">
        <v>4.285593E-2</v>
      </c>
      <c r="C5876" s="15">
        <v>2.321113E-2</v>
      </c>
    </row>
    <row r="5877" spans="1:3" x14ac:dyDescent="0.45">
      <c r="A5877" s="11">
        <v>75.48</v>
      </c>
      <c r="B5877" s="14">
        <v>4.2901120000000001E-2</v>
      </c>
      <c r="C5877" s="15">
        <v>2.3234919999999999E-2</v>
      </c>
    </row>
    <row r="5878" spans="1:3" x14ac:dyDescent="0.45">
      <c r="A5878" s="11">
        <v>75.489999999999995</v>
      </c>
      <c r="B5878" s="14">
        <v>4.2946310000000001E-2</v>
      </c>
      <c r="C5878" s="15">
        <v>2.3258709999999998E-2</v>
      </c>
    </row>
    <row r="5879" spans="1:3" x14ac:dyDescent="0.45">
      <c r="A5879" s="11">
        <v>75.5</v>
      </c>
      <c r="B5879" s="14">
        <v>4.2991500000000002E-2</v>
      </c>
      <c r="C5879" s="15">
        <v>2.3282500000000001E-2</v>
      </c>
    </row>
    <row r="5880" spans="1:3" x14ac:dyDescent="0.45">
      <c r="A5880" s="11">
        <v>75.510000000000005</v>
      </c>
      <c r="B5880" s="14">
        <v>4.3036690000000002E-2</v>
      </c>
      <c r="C5880" s="15">
        <v>2.330629E-2</v>
      </c>
    </row>
    <row r="5881" spans="1:3" x14ac:dyDescent="0.45">
      <c r="A5881" s="11">
        <v>75.52</v>
      </c>
      <c r="B5881" s="14">
        <v>4.3081880000000003E-2</v>
      </c>
      <c r="C5881" s="15">
        <v>2.333008E-2</v>
      </c>
    </row>
    <row r="5882" spans="1:3" x14ac:dyDescent="0.45">
      <c r="A5882" s="11">
        <v>75.53</v>
      </c>
      <c r="B5882" s="14">
        <v>4.3127070000000003E-2</v>
      </c>
      <c r="C5882" s="15">
        <v>2.3353869999999999E-2</v>
      </c>
    </row>
    <row r="5883" spans="1:3" x14ac:dyDescent="0.45">
      <c r="A5883" s="11">
        <v>75.540000000000006</v>
      </c>
      <c r="B5883" s="14">
        <v>4.3172259999999997E-2</v>
      </c>
      <c r="C5883" s="15">
        <v>2.3377660000000001E-2</v>
      </c>
    </row>
    <row r="5884" spans="1:3" x14ac:dyDescent="0.45">
      <c r="A5884" s="11">
        <v>75.55</v>
      </c>
      <c r="B5884" s="14">
        <v>4.3217449999999998E-2</v>
      </c>
      <c r="C5884" s="15">
        <v>2.3401450000000001E-2</v>
      </c>
    </row>
    <row r="5885" spans="1:3" x14ac:dyDescent="0.45">
      <c r="A5885" s="11">
        <v>75.56</v>
      </c>
      <c r="B5885" s="14">
        <v>4.3262639999999998E-2</v>
      </c>
      <c r="C5885" s="15">
        <v>2.342524E-2</v>
      </c>
    </row>
    <row r="5886" spans="1:3" x14ac:dyDescent="0.45">
      <c r="A5886" s="11">
        <v>75.569999999999993</v>
      </c>
      <c r="B5886" s="14">
        <v>4.3307829999999999E-2</v>
      </c>
      <c r="C5886" s="15">
        <v>2.3449029999999999E-2</v>
      </c>
    </row>
    <row r="5887" spans="1:3" x14ac:dyDescent="0.45">
      <c r="A5887" s="11">
        <v>75.58</v>
      </c>
      <c r="B5887" s="14">
        <v>4.3353019999999999E-2</v>
      </c>
      <c r="C5887" s="15">
        <v>2.3472819999999998E-2</v>
      </c>
    </row>
    <row r="5888" spans="1:3" x14ac:dyDescent="0.45">
      <c r="A5888" s="11">
        <v>75.59</v>
      </c>
      <c r="B5888" s="14">
        <v>4.339821E-2</v>
      </c>
      <c r="C5888" s="15">
        <v>2.3496610000000001E-2</v>
      </c>
    </row>
    <row r="5889" spans="1:3" x14ac:dyDescent="0.45">
      <c r="A5889" s="11">
        <v>75.599999999999994</v>
      </c>
      <c r="B5889" s="14">
        <v>4.34434E-2</v>
      </c>
      <c r="C5889" s="15">
        <v>2.35204E-2</v>
      </c>
    </row>
    <row r="5890" spans="1:3" x14ac:dyDescent="0.45">
      <c r="A5890" s="11">
        <v>75.61</v>
      </c>
      <c r="B5890" s="14">
        <v>4.3488590000000001E-2</v>
      </c>
      <c r="C5890" s="15">
        <v>2.354419E-2</v>
      </c>
    </row>
    <row r="5891" spans="1:3" x14ac:dyDescent="0.45">
      <c r="A5891" s="11">
        <v>75.62</v>
      </c>
      <c r="B5891" s="14">
        <v>4.3533780000000001E-2</v>
      </c>
      <c r="C5891" s="15">
        <v>2.3567979999999999E-2</v>
      </c>
    </row>
    <row r="5892" spans="1:3" x14ac:dyDescent="0.45">
      <c r="A5892" s="11">
        <v>75.63</v>
      </c>
      <c r="B5892" s="14">
        <v>4.3578970000000002E-2</v>
      </c>
      <c r="C5892" s="15">
        <v>2.3591770000000001E-2</v>
      </c>
    </row>
    <row r="5893" spans="1:3" x14ac:dyDescent="0.45">
      <c r="A5893" s="11">
        <v>75.64</v>
      </c>
      <c r="B5893" s="14">
        <v>4.3624160000000002E-2</v>
      </c>
      <c r="C5893" s="15">
        <v>2.3615560000000001E-2</v>
      </c>
    </row>
    <row r="5894" spans="1:3" x14ac:dyDescent="0.45">
      <c r="A5894" s="11">
        <v>75.650000000000006</v>
      </c>
      <c r="B5894" s="14">
        <v>4.3669350000000003E-2</v>
      </c>
      <c r="C5894" s="15">
        <v>2.363935E-2</v>
      </c>
    </row>
    <row r="5895" spans="1:3" x14ac:dyDescent="0.45">
      <c r="A5895" s="11">
        <v>75.66</v>
      </c>
      <c r="B5895" s="14">
        <v>4.3714540000000003E-2</v>
      </c>
      <c r="C5895" s="15">
        <v>2.3663139999999999E-2</v>
      </c>
    </row>
    <row r="5896" spans="1:3" x14ac:dyDescent="0.45">
      <c r="A5896" s="11">
        <v>75.67</v>
      </c>
      <c r="B5896" s="14">
        <v>4.3759729999999997E-2</v>
      </c>
      <c r="C5896" s="15">
        <v>2.3686929999999998E-2</v>
      </c>
    </row>
    <row r="5897" spans="1:3" x14ac:dyDescent="0.45">
      <c r="A5897" s="11">
        <v>75.680000000000007</v>
      </c>
      <c r="B5897" s="14">
        <v>4.3804919999999997E-2</v>
      </c>
      <c r="C5897" s="15">
        <v>2.3710720000000001E-2</v>
      </c>
    </row>
    <row r="5898" spans="1:3" x14ac:dyDescent="0.45">
      <c r="A5898" s="11">
        <v>75.69</v>
      </c>
      <c r="B5898" s="14">
        <v>4.3850109999999998E-2</v>
      </c>
      <c r="C5898" s="15">
        <v>2.373451E-2</v>
      </c>
    </row>
    <row r="5899" spans="1:3" x14ac:dyDescent="0.45">
      <c r="A5899" s="11">
        <v>75.7</v>
      </c>
      <c r="B5899" s="14">
        <v>4.3895299999999998E-2</v>
      </c>
      <c r="C5899" s="15">
        <v>2.37583E-2</v>
      </c>
    </row>
    <row r="5900" spans="1:3" x14ac:dyDescent="0.45">
      <c r="A5900" s="11">
        <v>75.709999999999994</v>
      </c>
      <c r="B5900" s="14">
        <v>4.3940489999999999E-2</v>
      </c>
      <c r="C5900" s="15">
        <v>2.3782089999999999E-2</v>
      </c>
    </row>
    <row r="5901" spans="1:3" x14ac:dyDescent="0.45">
      <c r="A5901" s="11">
        <v>75.72</v>
      </c>
      <c r="B5901" s="14">
        <v>4.3985679999999999E-2</v>
      </c>
      <c r="C5901" s="15">
        <v>2.3805880000000001E-2</v>
      </c>
    </row>
    <row r="5902" spans="1:3" x14ac:dyDescent="0.45">
      <c r="A5902" s="11">
        <v>75.73</v>
      </c>
      <c r="B5902" s="14">
        <v>4.403087E-2</v>
      </c>
      <c r="C5902" s="15">
        <v>2.3829670000000001E-2</v>
      </c>
    </row>
    <row r="5903" spans="1:3" x14ac:dyDescent="0.45">
      <c r="A5903" s="11">
        <v>75.739999999999995</v>
      </c>
      <c r="B5903" s="14">
        <v>4.407606E-2</v>
      </c>
      <c r="C5903" s="15">
        <v>2.385346E-2</v>
      </c>
    </row>
    <row r="5904" spans="1:3" x14ac:dyDescent="0.45">
      <c r="A5904" s="11">
        <v>75.75</v>
      </c>
      <c r="B5904" s="14">
        <v>4.4121250000000001E-2</v>
      </c>
      <c r="C5904" s="15">
        <v>2.3877249999999999E-2</v>
      </c>
    </row>
    <row r="5905" spans="1:3" x14ac:dyDescent="0.45">
      <c r="A5905" s="11">
        <v>75.760000000000005</v>
      </c>
      <c r="B5905" s="14">
        <v>4.4166440000000001E-2</v>
      </c>
      <c r="C5905" s="15">
        <v>2.3901039999999998E-2</v>
      </c>
    </row>
    <row r="5906" spans="1:3" x14ac:dyDescent="0.45">
      <c r="A5906" s="11">
        <v>75.77</v>
      </c>
      <c r="B5906" s="14">
        <v>4.4211630000000002E-2</v>
      </c>
      <c r="C5906" s="15">
        <v>2.3924830000000001E-2</v>
      </c>
    </row>
    <row r="5907" spans="1:3" x14ac:dyDescent="0.45">
      <c r="A5907" s="11">
        <v>75.78</v>
      </c>
      <c r="B5907" s="14">
        <v>4.4256820000000002E-2</v>
      </c>
      <c r="C5907" s="15">
        <v>2.394862E-2</v>
      </c>
    </row>
    <row r="5908" spans="1:3" x14ac:dyDescent="0.45">
      <c r="A5908" s="11">
        <v>75.790000000000006</v>
      </c>
      <c r="B5908" s="14">
        <v>4.4302010000000003E-2</v>
      </c>
      <c r="C5908" s="15">
        <v>2.397241E-2</v>
      </c>
    </row>
    <row r="5909" spans="1:3" x14ac:dyDescent="0.45">
      <c r="A5909" s="11">
        <v>75.8</v>
      </c>
      <c r="B5909" s="14">
        <v>4.4347200000000003E-2</v>
      </c>
      <c r="C5909" s="15">
        <v>2.3996199999999999E-2</v>
      </c>
    </row>
    <row r="5910" spans="1:3" x14ac:dyDescent="0.45">
      <c r="A5910" s="11">
        <v>75.81</v>
      </c>
      <c r="B5910" s="14">
        <v>4.4392389999999997E-2</v>
      </c>
      <c r="C5910" s="15">
        <v>2.4019990000000001E-2</v>
      </c>
    </row>
    <row r="5911" spans="1:3" x14ac:dyDescent="0.45">
      <c r="A5911" s="11">
        <v>75.819999999999993</v>
      </c>
      <c r="B5911" s="14">
        <v>4.4437579999999997E-2</v>
      </c>
      <c r="C5911" s="15">
        <v>2.4043780000000001E-2</v>
      </c>
    </row>
    <row r="5912" spans="1:3" x14ac:dyDescent="0.45">
      <c r="A5912" s="11">
        <v>75.83</v>
      </c>
      <c r="B5912" s="14">
        <v>4.4482769999999998E-2</v>
      </c>
      <c r="C5912" s="15">
        <v>2.406757E-2</v>
      </c>
    </row>
    <row r="5913" spans="1:3" x14ac:dyDescent="0.45">
      <c r="A5913" s="11">
        <v>75.84</v>
      </c>
      <c r="B5913" s="14">
        <v>4.4527959999999998E-2</v>
      </c>
      <c r="C5913" s="15">
        <v>2.4091359999999999E-2</v>
      </c>
    </row>
    <row r="5914" spans="1:3" x14ac:dyDescent="0.45">
      <c r="A5914" s="11">
        <v>75.849999999999994</v>
      </c>
      <c r="B5914" s="14">
        <v>4.4573149999999999E-2</v>
      </c>
      <c r="C5914" s="15">
        <v>2.4115149999999998E-2</v>
      </c>
    </row>
    <row r="5915" spans="1:3" x14ac:dyDescent="0.45">
      <c r="A5915" s="11">
        <v>75.86</v>
      </c>
      <c r="B5915" s="14">
        <v>4.4618339999999999E-2</v>
      </c>
      <c r="C5915" s="15">
        <v>2.4138940000000001E-2</v>
      </c>
    </row>
    <row r="5916" spans="1:3" x14ac:dyDescent="0.45">
      <c r="A5916" s="11">
        <v>75.87</v>
      </c>
      <c r="B5916" s="14">
        <v>4.466353E-2</v>
      </c>
      <c r="C5916" s="15">
        <v>2.416273E-2</v>
      </c>
    </row>
    <row r="5917" spans="1:3" x14ac:dyDescent="0.45">
      <c r="A5917" s="11">
        <v>75.88</v>
      </c>
      <c r="B5917" s="14">
        <v>4.470872E-2</v>
      </c>
      <c r="C5917" s="15">
        <v>2.418652E-2</v>
      </c>
    </row>
    <row r="5918" spans="1:3" x14ac:dyDescent="0.45">
      <c r="A5918" s="11">
        <v>75.89</v>
      </c>
      <c r="B5918" s="14">
        <v>4.4753910000000001E-2</v>
      </c>
      <c r="C5918" s="15">
        <v>2.4210309999999999E-2</v>
      </c>
    </row>
    <row r="5919" spans="1:3" x14ac:dyDescent="0.45">
      <c r="A5919" s="11">
        <v>75.900000000000006</v>
      </c>
      <c r="B5919" s="14">
        <v>4.4799100000000001E-2</v>
      </c>
      <c r="C5919" s="15">
        <v>2.4234100000000001E-2</v>
      </c>
    </row>
    <row r="5920" spans="1:3" x14ac:dyDescent="0.45">
      <c r="A5920" s="11">
        <v>75.91</v>
      </c>
      <c r="B5920" s="14">
        <v>4.4844290000000002E-2</v>
      </c>
      <c r="C5920" s="15">
        <v>2.4257890000000001E-2</v>
      </c>
    </row>
    <row r="5921" spans="1:3" x14ac:dyDescent="0.45">
      <c r="A5921" s="11">
        <v>75.92</v>
      </c>
      <c r="B5921" s="14">
        <v>4.4889480000000002E-2</v>
      </c>
      <c r="C5921" s="15">
        <v>2.428168E-2</v>
      </c>
    </row>
    <row r="5922" spans="1:3" x14ac:dyDescent="0.45">
      <c r="A5922" s="11">
        <v>75.930000000000007</v>
      </c>
      <c r="B5922" s="14">
        <v>4.4934670000000003E-2</v>
      </c>
      <c r="C5922" s="15">
        <v>2.4305469999999999E-2</v>
      </c>
    </row>
    <row r="5923" spans="1:3" x14ac:dyDescent="0.45">
      <c r="A5923" s="11">
        <v>75.94</v>
      </c>
      <c r="B5923" s="14">
        <v>4.4979860000000003E-2</v>
      </c>
      <c r="C5923" s="15">
        <v>2.4329259999999998E-2</v>
      </c>
    </row>
    <row r="5924" spans="1:3" x14ac:dyDescent="0.45">
      <c r="A5924" s="11">
        <v>75.95</v>
      </c>
      <c r="B5924" s="14">
        <v>4.5025049999999997E-2</v>
      </c>
      <c r="C5924" s="15">
        <v>2.4353050000000001E-2</v>
      </c>
    </row>
    <row r="5925" spans="1:3" x14ac:dyDescent="0.45">
      <c r="A5925" s="11">
        <v>75.959999999999994</v>
      </c>
      <c r="B5925" s="14">
        <v>4.5070239999999998E-2</v>
      </c>
      <c r="C5925" s="15">
        <v>2.437684E-2</v>
      </c>
    </row>
    <row r="5926" spans="1:3" x14ac:dyDescent="0.45">
      <c r="A5926" s="11">
        <v>75.97</v>
      </c>
      <c r="B5926" s="14">
        <v>4.5115429999999998E-2</v>
      </c>
      <c r="C5926" s="15">
        <v>2.440063E-2</v>
      </c>
    </row>
    <row r="5927" spans="1:3" x14ac:dyDescent="0.45">
      <c r="A5927" s="11">
        <v>75.98</v>
      </c>
      <c r="B5927" s="14">
        <v>4.5160619999999999E-2</v>
      </c>
      <c r="C5927" s="15">
        <v>2.4424419999999999E-2</v>
      </c>
    </row>
    <row r="5928" spans="1:3" x14ac:dyDescent="0.45">
      <c r="A5928" s="11">
        <v>75.989999999999995</v>
      </c>
      <c r="B5928" s="14">
        <v>4.5205809999999999E-2</v>
      </c>
      <c r="C5928" s="15">
        <v>2.4448210000000001E-2</v>
      </c>
    </row>
    <row r="5929" spans="1:3" x14ac:dyDescent="0.45">
      <c r="A5929" s="11">
        <v>76</v>
      </c>
      <c r="B5929" s="14">
        <v>4.5251E-2</v>
      </c>
      <c r="C5929" s="15">
        <v>2.4472000000000001E-2</v>
      </c>
    </row>
    <row r="5930" spans="1:3" x14ac:dyDescent="0.45">
      <c r="A5930" s="11">
        <v>76.010000000000005</v>
      </c>
      <c r="B5930" s="14">
        <v>4.5300720000000003E-2</v>
      </c>
      <c r="C5930" s="15">
        <v>2.4498349999999999E-2</v>
      </c>
    </row>
    <row r="5931" spans="1:3" x14ac:dyDescent="0.45">
      <c r="A5931" s="11">
        <v>76.02</v>
      </c>
      <c r="B5931" s="14">
        <v>4.5350439999999999E-2</v>
      </c>
      <c r="C5931" s="15">
        <v>2.45247E-2</v>
      </c>
    </row>
    <row r="5932" spans="1:3" x14ac:dyDescent="0.45">
      <c r="A5932" s="11">
        <v>76.03</v>
      </c>
      <c r="B5932" s="14">
        <v>4.5400160000000002E-2</v>
      </c>
      <c r="C5932" s="15">
        <v>2.4551050000000001E-2</v>
      </c>
    </row>
    <row r="5933" spans="1:3" x14ac:dyDescent="0.45">
      <c r="A5933" s="11">
        <v>76.040000000000006</v>
      </c>
      <c r="B5933" s="14">
        <v>4.5449879999999998E-2</v>
      </c>
      <c r="C5933" s="15">
        <v>2.4577399999999999E-2</v>
      </c>
    </row>
    <row r="5934" spans="1:3" x14ac:dyDescent="0.45">
      <c r="A5934" s="11">
        <v>76.05</v>
      </c>
      <c r="B5934" s="14">
        <v>4.5499600000000001E-2</v>
      </c>
      <c r="C5934" s="15">
        <v>2.4603750000000001E-2</v>
      </c>
    </row>
    <row r="5935" spans="1:3" x14ac:dyDescent="0.45">
      <c r="A5935" s="11">
        <v>76.06</v>
      </c>
      <c r="B5935" s="14">
        <v>4.5549319999999997E-2</v>
      </c>
      <c r="C5935" s="15">
        <v>2.4630099999999999E-2</v>
      </c>
    </row>
    <row r="5936" spans="1:3" x14ac:dyDescent="0.45">
      <c r="A5936" s="11">
        <v>76.069999999999993</v>
      </c>
      <c r="B5936" s="14">
        <v>4.559904E-2</v>
      </c>
      <c r="C5936" s="15">
        <v>2.465645E-2</v>
      </c>
    </row>
    <row r="5937" spans="1:3" x14ac:dyDescent="0.45">
      <c r="A5937" s="11">
        <v>76.08</v>
      </c>
      <c r="B5937" s="14">
        <v>4.5648759999999997E-2</v>
      </c>
      <c r="C5937" s="15">
        <v>2.4682800000000001E-2</v>
      </c>
    </row>
    <row r="5938" spans="1:3" x14ac:dyDescent="0.45">
      <c r="A5938" s="11">
        <v>76.09</v>
      </c>
      <c r="B5938" s="14">
        <v>4.569848E-2</v>
      </c>
      <c r="C5938" s="15">
        <v>2.4709149999999999E-2</v>
      </c>
    </row>
    <row r="5939" spans="1:3" x14ac:dyDescent="0.45">
      <c r="A5939" s="11">
        <v>76.099999999999994</v>
      </c>
      <c r="B5939" s="14">
        <v>4.5748200000000003E-2</v>
      </c>
      <c r="C5939" s="15">
        <v>2.4735500000000001E-2</v>
      </c>
    </row>
    <row r="5940" spans="1:3" x14ac:dyDescent="0.45">
      <c r="A5940" s="11">
        <v>76.11</v>
      </c>
      <c r="B5940" s="14">
        <v>4.5797919999999999E-2</v>
      </c>
      <c r="C5940" s="15">
        <v>2.4761849999999998E-2</v>
      </c>
    </row>
    <row r="5941" spans="1:3" x14ac:dyDescent="0.45">
      <c r="A5941" s="11">
        <v>76.12</v>
      </c>
      <c r="B5941" s="14">
        <v>4.5847640000000002E-2</v>
      </c>
      <c r="C5941" s="15">
        <v>2.47882E-2</v>
      </c>
    </row>
    <row r="5942" spans="1:3" x14ac:dyDescent="0.45">
      <c r="A5942" s="11">
        <v>76.13</v>
      </c>
      <c r="B5942" s="14">
        <v>4.5897359999999998E-2</v>
      </c>
      <c r="C5942" s="15">
        <v>2.4814550000000001E-2</v>
      </c>
    </row>
    <row r="5943" spans="1:3" x14ac:dyDescent="0.45">
      <c r="A5943" s="11">
        <v>76.14</v>
      </c>
      <c r="B5943" s="14">
        <v>4.5947080000000001E-2</v>
      </c>
      <c r="C5943" s="15">
        <v>2.4840899999999999E-2</v>
      </c>
    </row>
    <row r="5944" spans="1:3" x14ac:dyDescent="0.45">
      <c r="A5944" s="11">
        <v>76.150000000000006</v>
      </c>
      <c r="B5944" s="14">
        <v>4.5996799999999997E-2</v>
      </c>
      <c r="C5944" s="15">
        <v>2.486725E-2</v>
      </c>
    </row>
    <row r="5945" spans="1:3" x14ac:dyDescent="0.45">
      <c r="A5945" s="11">
        <v>76.16</v>
      </c>
      <c r="B5945" s="14">
        <v>4.6046520000000001E-2</v>
      </c>
      <c r="C5945" s="15">
        <v>2.4893599999999998E-2</v>
      </c>
    </row>
    <row r="5946" spans="1:3" x14ac:dyDescent="0.45">
      <c r="A5946" s="11">
        <v>76.17</v>
      </c>
      <c r="B5946" s="14">
        <v>4.6096239999999997E-2</v>
      </c>
      <c r="C5946" s="15">
        <v>2.491995E-2</v>
      </c>
    </row>
    <row r="5947" spans="1:3" x14ac:dyDescent="0.45">
      <c r="A5947" s="11">
        <v>76.180000000000007</v>
      </c>
      <c r="B5947" s="14">
        <v>4.614596E-2</v>
      </c>
      <c r="C5947" s="15">
        <v>2.4946300000000001E-2</v>
      </c>
    </row>
    <row r="5948" spans="1:3" x14ac:dyDescent="0.45">
      <c r="A5948" s="11">
        <v>76.19</v>
      </c>
      <c r="B5948" s="14">
        <v>4.6195680000000003E-2</v>
      </c>
      <c r="C5948" s="15">
        <v>2.4972649999999999E-2</v>
      </c>
    </row>
    <row r="5949" spans="1:3" x14ac:dyDescent="0.45">
      <c r="A5949" s="11">
        <v>76.2</v>
      </c>
      <c r="B5949" s="14">
        <v>4.6245399999999999E-2</v>
      </c>
      <c r="C5949" s="15">
        <v>2.4999E-2</v>
      </c>
    </row>
    <row r="5950" spans="1:3" x14ac:dyDescent="0.45">
      <c r="A5950" s="11">
        <v>76.209999999999994</v>
      </c>
      <c r="B5950" s="14">
        <v>4.6295120000000002E-2</v>
      </c>
      <c r="C5950" s="15">
        <v>2.5025349999999998E-2</v>
      </c>
    </row>
    <row r="5951" spans="1:3" x14ac:dyDescent="0.45">
      <c r="A5951" s="11">
        <v>76.22</v>
      </c>
      <c r="B5951" s="14">
        <v>4.6344839999999998E-2</v>
      </c>
      <c r="C5951" s="15">
        <v>2.50517E-2</v>
      </c>
    </row>
    <row r="5952" spans="1:3" x14ac:dyDescent="0.45">
      <c r="A5952" s="11">
        <v>76.23</v>
      </c>
      <c r="B5952" s="14">
        <v>4.6394560000000001E-2</v>
      </c>
      <c r="C5952" s="15">
        <v>2.5078050000000001E-2</v>
      </c>
    </row>
    <row r="5953" spans="1:3" x14ac:dyDescent="0.45">
      <c r="A5953" s="11">
        <v>76.239999999999995</v>
      </c>
      <c r="B5953" s="14">
        <v>4.6444279999999998E-2</v>
      </c>
      <c r="C5953" s="15">
        <v>2.5104399999999999E-2</v>
      </c>
    </row>
    <row r="5954" spans="1:3" x14ac:dyDescent="0.45">
      <c r="A5954" s="11">
        <v>76.25</v>
      </c>
      <c r="B5954" s="14">
        <v>4.6494000000000001E-2</v>
      </c>
      <c r="C5954" s="15">
        <v>2.513075E-2</v>
      </c>
    </row>
    <row r="5955" spans="1:3" x14ac:dyDescent="0.45">
      <c r="A5955" s="11">
        <v>76.260000000000005</v>
      </c>
      <c r="B5955" s="14">
        <v>4.6543719999999997E-2</v>
      </c>
      <c r="C5955" s="15">
        <v>2.5157100000000002E-2</v>
      </c>
    </row>
    <row r="5956" spans="1:3" x14ac:dyDescent="0.45">
      <c r="A5956" s="11">
        <v>76.27</v>
      </c>
      <c r="B5956" s="14">
        <v>4.659344E-2</v>
      </c>
      <c r="C5956" s="15">
        <v>2.518345E-2</v>
      </c>
    </row>
    <row r="5957" spans="1:3" x14ac:dyDescent="0.45">
      <c r="A5957" s="11">
        <v>76.28</v>
      </c>
      <c r="B5957" s="14">
        <v>4.6643160000000003E-2</v>
      </c>
      <c r="C5957" s="15">
        <v>2.5209800000000001E-2</v>
      </c>
    </row>
    <row r="5958" spans="1:3" x14ac:dyDescent="0.45">
      <c r="A5958" s="11">
        <v>76.290000000000006</v>
      </c>
      <c r="B5958" s="14">
        <v>4.6692879999999999E-2</v>
      </c>
      <c r="C5958" s="15">
        <v>2.5236149999999999E-2</v>
      </c>
    </row>
    <row r="5959" spans="1:3" x14ac:dyDescent="0.45">
      <c r="A5959" s="11">
        <v>76.3</v>
      </c>
      <c r="B5959" s="14">
        <v>4.6742600000000002E-2</v>
      </c>
      <c r="C5959" s="15">
        <v>2.52625E-2</v>
      </c>
    </row>
    <row r="5960" spans="1:3" x14ac:dyDescent="0.45">
      <c r="A5960" s="11">
        <v>76.31</v>
      </c>
      <c r="B5960" s="14">
        <v>4.6792319999999998E-2</v>
      </c>
      <c r="C5960" s="15">
        <v>2.5288850000000002E-2</v>
      </c>
    </row>
    <row r="5961" spans="1:3" x14ac:dyDescent="0.45">
      <c r="A5961" s="11">
        <v>76.319999999999993</v>
      </c>
      <c r="B5961" s="14">
        <v>4.6842040000000001E-2</v>
      </c>
      <c r="C5961" s="15">
        <v>2.53152E-2</v>
      </c>
    </row>
    <row r="5962" spans="1:3" x14ac:dyDescent="0.45">
      <c r="A5962" s="11">
        <v>76.33</v>
      </c>
      <c r="B5962" s="14">
        <v>4.6891759999999998E-2</v>
      </c>
      <c r="C5962" s="15">
        <v>2.5341550000000001E-2</v>
      </c>
    </row>
    <row r="5963" spans="1:3" x14ac:dyDescent="0.45">
      <c r="A5963" s="11">
        <v>76.34</v>
      </c>
      <c r="B5963" s="14">
        <v>4.6941480000000001E-2</v>
      </c>
      <c r="C5963" s="15">
        <v>2.5367899999999999E-2</v>
      </c>
    </row>
    <row r="5964" spans="1:3" x14ac:dyDescent="0.45">
      <c r="A5964" s="11">
        <v>76.349999999999994</v>
      </c>
      <c r="B5964" s="14">
        <v>4.6991199999999997E-2</v>
      </c>
      <c r="C5964" s="15">
        <v>2.539425E-2</v>
      </c>
    </row>
    <row r="5965" spans="1:3" x14ac:dyDescent="0.45">
      <c r="A5965" s="11">
        <v>76.36</v>
      </c>
      <c r="B5965" s="14">
        <v>4.704092E-2</v>
      </c>
      <c r="C5965" s="15">
        <v>2.5420600000000002E-2</v>
      </c>
    </row>
    <row r="5966" spans="1:3" x14ac:dyDescent="0.45">
      <c r="A5966" s="11">
        <v>76.37</v>
      </c>
      <c r="B5966" s="14">
        <v>4.7090640000000003E-2</v>
      </c>
      <c r="C5966" s="15">
        <v>2.5446949999999999E-2</v>
      </c>
    </row>
    <row r="5967" spans="1:3" x14ac:dyDescent="0.45">
      <c r="A5967" s="11">
        <v>76.38</v>
      </c>
      <c r="B5967" s="14">
        <v>4.7140359999999999E-2</v>
      </c>
      <c r="C5967" s="15">
        <v>2.5473300000000001E-2</v>
      </c>
    </row>
    <row r="5968" spans="1:3" x14ac:dyDescent="0.45">
      <c r="A5968" s="11">
        <v>76.39</v>
      </c>
      <c r="B5968" s="14">
        <v>4.7190080000000002E-2</v>
      </c>
      <c r="C5968" s="15">
        <v>2.5499649999999999E-2</v>
      </c>
    </row>
    <row r="5969" spans="1:3" x14ac:dyDescent="0.45">
      <c r="A5969" s="11">
        <v>76.400000000000006</v>
      </c>
      <c r="B5969" s="14">
        <v>4.7239799999999998E-2</v>
      </c>
      <c r="C5969" s="15">
        <v>2.5526E-2</v>
      </c>
    </row>
    <row r="5970" spans="1:3" x14ac:dyDescent="0.45">
      <c r="A5970" s="11">
        <v>76.41</v>
      </c>
      <c r="B5970" s="14">
        <v>4.7289520000000002E-2</v>
      </c>
      <c r="C5970" s="15">
        <v>2.5552350000000001E-2</v>
      </c>
    </row>
    <row r="5971" spans="1:3" x14ac:dyDescent="0.45">
      <c r="A5971" s="11">
        <v>76.42</v>
      </c>
      <c r="B5971" s="14">
        <v>4.7339239999999998E-2</v>
      </c>
      <c r="C5971" s="15">
        <v>2.5578699999999999E-2</v>
      </c>
    </row>
    <row r="5972" spans="1:3" x14ac:dyDescent="0.45">
      <c r="A5972" s="11">
        <v>76.430000000000007</v>
      </c>
      <c r="B5972" s="14">
        <v>4.7388960000000001E-2</v>
      </c>
      <c r="C5972" s="15">
        <v>2.5605050000000001E-2</v>
      </c>
    </row>
    <row r="5973" spans="1:3" x14ac:dyDescent="0.45">
      <c r="A5973" s="11">
        <v>76.44</v>
      </c>
      <c r="B5973" s="14">
        <v>4.7438679999999997E-2</v>
      </c>
      <c r="C5973" s="15">
        <v>2.5631399999999999E-2</v>
      </c>
    </row>
    <row r="5974" spans="1:3" x14ac:dyDescent="0.45">
      <c r="A5974" s="11">
        <v>76.45</v>
      </c>
      <c r="B5974" s="14">
        <v>4.74884E-2</v>
      </c>
      <c r="C5974" s="15">
        <v>2.565775E-2</v>
      </c>
    </row>
    <row r="5975" spans="1:3" x14ac:dyDescent="0.45">
      <c r="A5975" s="11">
        <v>76.459999999999994</v>
      </c>
      <c r="B5975" s="14">
        <v>4.7538120000000003E-2</v>
      </c>
      <c r="C5975" s="15">
        <v>2.5684100000000001E-2</v>
      </c>
    </row>
    <row r="5976" spans="1:3" x14ac:dyDescent="0.45">
      <c r="A5976" s="11">
        <v>76.47</v>
      </c>
      <c r="B5976" s="14">
        <v>4.7587839999999999E-2</v>
      </c>
      <c r="C5976" s="15">
        <v>2.5710449999999999E-2</v>
      </c>
    </row>
    <row r="5977" spans="1:3" x14ac:dyDescent="0.45">
      <c r="A5977" s="11">
        <v>76.48</v>
      </c>
      <c r="B5977" s="14">
        <v>4.7637560000000002E-2</v>
      </c>
      <c r="C5977" s="15">
        <v>2.5736800000000001E-2</v>
      </c>
    </row>
    <row r="5978" spans="1:3" x14ac:dyDescent="0.45">
      <c r="A5978" s="11">
        <v>76.489999999999995</v>
      </c>
      <c r="B5978" s="14">
        <v>4.7687279999999999E-2</v>
      </c>
      <c r="C5978" s="15">
        <v>2.5763149999999999E-2</v>
      </c>
    </row>
    <row r="5979" spans="1:3" x14ac:dyDescent="0.45">
      <c r="A5979" s="11">
        <v>76.5</v>
      </c>
      <c r="B5979" s="14">
        <v>4.7737000000000002E-2</v>
      </c>
      <c r="C5979" s="15">
        <v>2.57895E-2</v>
      </c>
    </row>
    <row r="5980" spans="1:3" x14ac:dyDescent="0.45">
      <c r="A5980" s="11">
        <v>76.510000000000005</v>
      </c>
      <c r="B5980" s="14">
        <v>4.7786719999999998E-2</v>
      </c>
      <c r="C5980" s="15">
        <v>2.5815850000000001E-2</v>
      </c>
    </row>
    <row r="5981" spans="1:3" x14ac:dyDescent="0.45">
      <c r="A5981" s="11">
        <v>76.52</v>
      </c>
      <c r="B5981" s="14">
        <v>4.7836440000000001E-2</v>
      </c>
      <c r="C5981" s="15">
        <v>2.5842199999999999E-2</v>
      </c>
    </row>
    <row r="5982" spans="1:3" x14ac:dyDescent="0.45">
      <c r="A5982" s="11">
        <v>76.53</v>
      </c>
      <c r="B5982" s="14">
        <v>4.7886159999999997E-2</v>
      </c>
      <c r="C5982" s="15">
        <v>2.5868550000000001E-2</v>
      </c>
    </row>
    <row r="5983" spans="1:3" x14ac:dyDescent="0.45">
      <c r="A5983" s="11">
        <v>76.540000000000006</v>
      </c>
      <c r="B5983" s="14">
        <v>4.793588E-2</v>
      </c>
      <c r="C5983" s="15">
        <v>2.5894899999999998E-2</v>
      </c>
    </row>
    <row r="5984" spans="1:3" x14ac:dyDescent="0.45">
      <c r="A5984" s="11">
        <v>76.55</v>
      </c>
      <c r="B5984" s="14">
        <v>4.7985600000000003E-2</v>
      </c>
      <c r="C5984" s="15">
        <v>2.592125E-2</v>
      </c>
    </row>
    <row r="5985" spans="1:3" x14ac:dyDescent="0.45">
      <c r="A5985" s="11">
        <v>76.56</v>
      </c>
      <c r="B5985" s="14">
        <v>4.8035319999999999E-2</v>
      </c>
      <c r="C5985" s="15">
        <v>2.5947600000000001E-2</v>
      </c>
    </row>
    <row r="5986" spans="1:3" x14ac:dyDescent="0.45">
      <c r="A5986" s="11">
        <v>76.569999999999993</v>
      </c>
      <c r="B5986" s="14">
        <v>4.8085040000000003E-2</v>
      </c>
      <c r="C5986" s="15">
        <v>2.5973949999999999E-2</v>
      </c>
    </row>
    <row r="5987" spans="1:3" x14ac:dyDescent="0.45">
      <c r="A5987" s="11">
        <v>76.58</v>
      </c>
      <c r="B5987" s="14">
        <v>4.8134759999999999E-2</v>
      </c>
      <c r="C5987" s="15">
        <v>2.60003E-2</v>
      </c>
    </row>
    <row r="5988" spans="1:3" x14ac:dyDescent="0.45">
      <c r="A5988" s="11">
        <v>76.59</v>
      </c>
      <c r="B5988" s="14">
        <v>4.8184480000000002E-2</v>
      </c>
      <c r="C5988" s="15">
        <v>2.6026649999999998E-2</v>
      </c>
    </row>
    <row r="5989" spans="1:3" x14ac:dyDescent="0.45">
      <c r="A5989" s="11">
        <v>76.599999999999994</v>
      </c>
      <c r="B5989" s="14">
        <v>4.8234199999999998E-2</v>
      </c>
      <c r="C5989" s="15">
        <v>2.6053E-2</v>
      </c>
    </row>
    <row r="5990" spans="1:3" x14ac:dyDescent="0.45">
      <c r="A5990" s="11">
        <v>76.61</v>
      </c>
      <c r="B5990" s="14">
        <v>4.8283920000000001E-2</v>
      </c>
      <c r="C5990" s="15">
        <v>2.6079350000000001E-2</v>
      </c>
    </row>
    <row r="5991" spans="1:3" x14ac:dyDescent="0.45">
      <c r="A5991" s="11">
        <v>76.62</v>
      </c>
      <c r="B5991" s="14">
        <v>4.8333639999999997E-2</v>
      </c>
      <c r="C5991" s="15">
        <v>2.6105699999999999E-2</v>
      </c>
    </row>
    <row r="5992" spans="1:3" x14ac:dyDescent="0.45">
      <c r="A5992" s="11">
        <v>76.63</v>
      </c>
      <c r="B5992" s="14">
        <v>4.838336E-2</v>
      </c>
      <c r="C5992" s="15">
        <v>2.613205E-2</v>
      </c>
    </row>
    <row r="5993" spans="1:3" x14ac:dyDescent="0.45">
      <c r="A5993" s="11">
        <v>76.64</v>
      </c>
      <c r="B5993" s="14">
        <v>4.8433080000000003E-2</v>
      </c>
      <c r="C5993" s="15">
        <v>2.6158399999999998E-2</v>
      </c>
    </row>
    <row r="5994" spans="1:3" x14ac:dyDescent="0.45">
      <c r="A5994" s="11">
        <v>76.650000000000006</v>
      </c>
      <c r="B5994" s="14">
        <v>4.84828E-2</v>
      </c>
      <c r="C5994" s="15">
        <v>2.618475E-2</v>
      </c>
    </row>
    <row r="5995" spans="1:3" x14ac:dyDescent="0.45">
      <c r="A5995" s="11">
        <v>76.66</v>
      </c>
      <c r="B5995" s="14">
        <v>4.8532520000000003E-2</v>
      </c>
      <c r="C5995" s="15">
        <v>2.6211100000000001E-2</v>
      </c>
    </row>
    <row r="5996" spans="1:3" x14ac:dyDescent="0.45">
      <c r="A5996" s="11">
        <v>76.67</v>
      </c>
      <c r="B5996" s="14">
        <v>4.8582239999999999E-2</v>
      </c>
      <c r="C5996" s="15">
        <v>2.6237449999999999E-2</v>
      </c>
    </row>
    <row r="5997" spans="1:3" x14ac:dyDescent="0.45">
      <c r="A5997" s="11">
        <v>76.680000000000007</v>
      </c>
      <c r="B5997" s="14">
        <v>4.8631960000000002E-2</v>
      </c>
      <c r="C5997" s="15">
        <v>2.62638E-2</v>
      </c>
    </row>
    <row r="5998" spans="1:3" x14ac:dyDescent="0.45">
      <c r="A5998" s="11">
        <v>76.69</v>
      </c>
      <c r="B5998" s="14">
        <v>4.8681679999999998E-2</v>
      </c>
      <c r="C5998" s="15">
        <v>2.6290150000000002E-2</v>
      </c>
    </row>
    <row r="5999" spans="1:3" x14ac:dyDescent="0.45">
      <c r="A5999" s="11">
        <v>76.7</v>
      </c>
      <c r="B5999" s="14">
        <v>4.8731400000000001E-2</v>
      </c>
      <c r="C5999" s="15">
        <v>2.63165E-2</v>
      </c>
    </row>
    <row r="6000" spans="1:3" x14ac:dyDescent="0.45">
      <c r="A6000" s="11">
        <v>76.709999999999994</v>
      </c>
      <c r="B6000" s="14">
        <v>4.8781119999999997E-2</v>
      </c>
      <c r="C6000" s="15">
        <v>2.6342850000000001E-2</v>
      </c>
    </row>
    <row r="6001" spans="1:3" x14ac:dyDescent="0.45">
      <c r="A6001" s="11">
        <v>76.72</v>
      </c>
      <c r="B6001" s="14">
        <v>4.883084E-2</v>
      </c>
      <c r="C6001" s="15">
        <v>2.6369199999999999E-2</v>
      </c>
    </row>
    <row r="6002" spans="1:3" x14ac:dyDescent="0.45">
      <c r="A6002" s="11">
        <v>76.73</v>
      </c>
      <c r="B6002" s="14">
        <v>4.8880560000000003E-2</v>
      </c>
      <c r="C6002" s="15">
        <v>2.639555E-2</v>
      </c>
    </row>
    <row r="6003" spans="1:3" x14ac:dyDescent="0.45">
      <c r="A6003" s="11">
        <v>76.739999999999995</v>
      </c>
      <c r="B6003" s="14">
        <v>4.893028E-2</v>
      </c>
      <c r="C6003" s="15">
        <v>2.6421900000000002E-2</v>
      </c>
    </row>
    <row r="6004" spans="1:3" x14ac:dyDescent="0.45">
      <c r="A6004" s="11">
        <v>76.75</v>
      </c>
      <c r="B6004" s="14">
        <v>4.8980000000000003E-2</v>
      </c>
      <c r="C6004" s="15">
        <v>2.644825E-2</v>
      </c>
    </row>
    <row r="6005" spans="1:3" x14ac:dyDescent="0.45">
      <c r="A6005" s="11">
        <v>76.760000000000005</v>
      </c>
      <c r="B6005" s="14">
        <v>4.9029719999999999E-2</v>
      </c>
      <c r="C6005" s="15">
        <v>2.6474600000000001E-2</v>
      </c>
    </row>
    <row r="6006" spans="1:3" x14ac:dyDescent="0.45">
      <c r="A6006" s="11">
        <v>76.77</v>
      </c>
      <c r="B6006" s="14">
        <v>4.9079440000000002E-2</v>
      </c>
      <c r="C6006" s="15">
        <v>2.6500949999999999E-2</v>
      </c>
    </row>
    <row r="6007" spans="1:3" x14ac:dyDescent="0.45">
      <c r="A6007" s="11">
        <v>76.78</v>
      </c>
      <c r="B6007" s="14">
        <v>4.9129159999999998E-2</v>
      </c>
      <c r="C6007" s="15">
        <v>2.65273E-2</v>
      </c>
    </row>
    <row r="6008" spans="1:3" x14ac:dyDescent="0.45">
      <c r="A6008" s="11">
        <v>76.790000000000006</v>
      </c>
      <c r="B6008" s="14">
        <v>4.9178880000000001E-2</v>
      </c>
      <c r="C6008" s="15">
        <v>2.6553650000000002E-2</v>
      </c>
    </row>
    <row r="6009" spans="1:3" x14ac:dyDescent="0.45">
      <c r="A6009" s="11">
        <v>76.8</v>
      </c>
      <c r="B6009" s="14">
        <v>4.9228599999999997E-2</v>
      </c>
      <c r="C6009" s="15">
        <v>2.6579999999999999E-2</v>
      </c>
    </row>
    <row r="6010" spans="1:3" x14ac:dyDescent="0.45">
      <c r="A6010" s="11">
        <v>76.81</v>
      </c>
      <c r="B6010" s="14">
        <v>4.927832E-2</v>
      </c>
      <c r="C6010" s="15">
        <v>2.6606350000000001E-2</v>
      </c>
    </row>
    <row r="6011" spans="1:3" x14ac:dyDescent="0.45">
      <c r="A6011" s="11">
        <v>76.819999999999993</v>
      </c>
      <c r="B6011" s="14">
        <v>4.9328039999999997E-2</v>
      </c>
      <c r="C6011" s="15">
        <v>2.6632699999999999E-2</v>
      </c>
    </row>
    <row r="6012" spans="1:3" x14ac:dyDescent="0.45">
      <c r="A6012" s="11">
        <v>76.83</v>
      </c>
      <c r="B6012" s="14">
        <v>4.937776E-2</v>
      </c>
      <c r="C6012" s="15">
        <v>2.665905E-2</v>
      </c>
    </row>
    <row r="6013" spans="1:3" x14ac:dyDescent="0.45">
      <c r="A6013" s="11">
        <v>76.84</v>
      </c>
      <c r="B6013" s="14">
        <v>4.9427480000000003E-2</v>
      </c>
      <c r="C6013" s="15">
        <v>2.6685400000000001E-2</v>
      </c>
    </row>
    <row r="6014" spans="1:3" x14ac:dyDescent="0.45">
      <c r="A6014" s="11">
        <v>76.849999999999994</v>
      </c>
      <c r="B6014" s="14">
        <v>4.9477199999999999E-2</v>
      </c>
      <c r="C6014" s="15">
        <v>2.6711749999999999E-2</v>
      </c>
    </row>
    <row r="6015" spans="1:3" x14ac:dyDescent="0.45">
      <c r="A6015" s="11">
        <v>76.86</v>
      </c>
      <c r="B6015" s="14">
        <v>4.9526920000000002E-2</v>
      </c>
      <c r="C6015" s="15">
        <v>2.6738100000000001E-2</v>
      </c>
    </row>
    <row r="6016" spans="1:3" x14ac:dyDescent="0.45">
      <c r="A6016" s="11">
        <v>76.87</v>
      </c>
      <c r="B6016" s="14">
        <v>4.9576639999999998E-2</v>
      </c>
      <c r="C6016" s="15">
        <v>2.6764449999999999E-2</v>
      </c>
    </row>
    <row r="6017" spans="1:3" x14ac:dyDescent="0.45">
      <c r="A6017" s="11">
        <v>76.88</v>
      </c>
      <c r="B6017" s="14">
        <v>4.9626360000000001E-2</v>
      </c>
      <c r="C6017" s="15">
        <v>2.67908E-2</v>
      </c>
    </row>
    <row r="6018" spans="1:3" x14ac:dyDescent="0.45">
      <c r="A6018" s="11">
        <v>76.89</v>
      </c>
      <c r="B6018" s="14">
        <v>4.9676079999999997E-2</v>
      </c>
      <c r="C6018" s="15">
        <v>2.6817150000000001E-2</v>
      </c>
    </row>
    <row r="6019" spans="1:3" x14ac:dyDescent="0.45">
      <c r="A6019" s="11">
        <v>76.900000000000006</v>
      </c>
      <c r="B6019" s="14">
        <v>4.9725800000000001E-2</v>
      </c>
      <c r="C6019" s="15">
        <v>2.6843499999999999E-2</v>
      </c>
    </row>
    <row r="6020" spans="1:3" x14ac:dyDescent="0.45">
      <c r="A6020" s="11">
        <v>76.91</v>
      </c>
      <c r="B6020" s="14">
        <v>4.9775519999999997E-2</v>
      </c>
      <c r="C6020" s="15">
        <v>2.6869850000000001E-2</v>
      </c>
    </row>
    <row r="6021" spans="1:3" x14ac:dyDescent="0.45">
      <c r="A6021" s="11">
        <v>76.92</v>
      </c>
      <c r="B6021" s="14">
        <v>4.982524E-2</v>
      </c>
      <c r="C6021" s="15">
        <v>2.6896199999999999E-2</v>
      </c>
    </row>
    <row r="6022" spans="1:3" x14ac:dyDescent="0.45">
      <c r="A6022" s="11">
        <v>76.930000000000007</v>
      </c>
      <c r="B6022" s="14">
        <v>4.9874960000000003E-2</v>
      </c>
      <c r="C6022" s="15">
        <v>2.692255E-2</v>
      </c>
    </row>
    <row r="6023" spans="1:3" x14ac:dyDescent="0.45">
      <c r="A6023" s="11">
        <v>76.94</v>
      </c>
      <c r="B6023" s="14">
        <v>4.9924679999999999E-2</v>
      </c>
      <c r="C6023" s="15">
        <v>2.6948900000000001E-2</v>
      </c>
    </row>
    <row r="6024" spans="1:3" x14ac:dyDescent="0.45">
      <c r="A6024" s="11">
        <v>76.95</v>
      </c>
      <c r="B6024" s="14">
        <v>4.9974400000000002E-2</v>
      </c>
      <c r="C6024" s="15">
        <v>2.6975249999999999E-2</v>
      </c>
    </row>
    <row r="6025" spans="1:3" x14ac:dyDescent="0.45">
      <c r="A6025" s="11">
        <v>76.959999999999994</v>
      </c>
      <c r="B6025" s="14">
        <v>5.0024119999999998E-2</v>
      </c>
      <c r="C6025" s="15">
        <v>2.7001600000000001E-2</v>
      </c>
    </row>
    <row r="6026" spans="1:3" x14ac:dyDescent="0.45">
      <c r="A6026" s="11">
        <v>76.97</v>
      </c>
      <c r="B6026" s="14">
        <v>5.0073840000000001E-2</v>
      </c>
      <c r="C6026" s="15">
        <v>2.7027949999999999E-2</v>
      </c>
    </row>
    <row r="6027" spans="1:3" x14ac:dyDescent="0.45">
      <c r="A6027" s="11">
        <v>76.98</v>
      </c>
      <c r="B6027" s="14">
        <v>5.0123559999999998E-2</v>
      </c>
      <c r="C6027" s="15">
        <v>2.70543E-2</v>
      </c>
    </row>
    <row r="6028" spans="1:3" x14ac:dyDescent="0.45">
      <c r="A6028" s="11">
        <v>76.989999999999995</v>
      </c>
      <c r="B6028" s="14">
        <v>5.0173280000000001E-2</v>
      </c>
      <c r="C6028" s="15">
        <v>2.7080650000000001E-2</v>
      </c>
    </row>
    <row r="6029" spans="1:3" x14ac:dyDescent="0.45">
      <c r="A6029" s="11">
        <v>77</v>
      </c>
      <c r="B6029" s="14">
        <v>5.0222999999999997E-2</v>
      </c>
      <c r="C6029" s="15">
        <v>2.7106999999999999E-2</v>
      </c>
    </row>
    <row r="6030" spans="1:3" x14ac:dyDescent="0.45">
      <c r="A6030" s="11">
        <v>77.010000000000005</v>
      </c>
      <c r="B6030" s="14">
        <v>5.0277660000000002E-2</v>
      </c>
      <c r="C6030" s="15">
        <v>2.7136199999999999E-2</v>
      </c>
    </row>
    <row r="6031" spans="1:3" x14ac:dyDescent="0.45">
      <c r="A6031" s="11">
        <v>77.02</v>
      </c>
      <c r="B6031" s="14">
        <v>5.033232E-2</v>
      </c>
      <c r="C6031" s="15">
        <v>2.7165399999999999E-2</v>
      </c>
    </row>
    <row r="6032" spans="1:3" x14ac:dyDescent="0.45">
      <c r="A6032" s="11">
        <v>77.03</v>
      </c>
      <c r="B6032" s="14">
        <v>5.0386979999999998E-2</v>
      </c>
      <c r="C6032" s="15">
        <v>2.7194599999999999E-2</v>
      </c>
    </row>
    <row r="6033" spans="1:3" x14ac:dyDescent="0.45">
      <c r="A6033" s="11">
        <v>77.040000000000006</v>
      </c>
      <c r="B6033" s="14">
        <v>5.0441640000000003E-2</v>
      </c>
      <c r="C6033" s="15">
        <v>2.7223799999999999E-2</v>
      </c>
    </row>
    <row r="6034" spans="1:3" x14ac:dyDescent="0.45">
      <c r="A6034" s="11">
        <v>77.05</v>
      </c>
      <c r="B6034" s="14">
        <v>5.0496300000000001E-2</v>
      </c>
      <c r="C6034" s="15">
        <v>2.7252999999999999E-2</v>
      </c>
    </row>
    <row r="6035" spans="1:3" x14ac:dyDescent="0.45">
      <c r="A6035" s="11">
        <v>77.06</v>
      </c>
      <c r="B6035" s="14">
        <v>5.0550959999999999E-2</v>
      </c>
      <c r="C6035" s="15">
        <v>2.72822E-2</v>
      </c>
    </row>
    <row r="6036" spans="1:3" x14ac:dyDescent="0.45">
      <c r="A6036" s="11">
        <v>77.069999999999993</v>
      </c>
      <c r="B6036" s="14">
        <v>5.0605619999999997E-2</v>
      </c>
      <c r="C6036" s="15">
        <v>2.73114E-2</v>
      </c>
    </row>
    <row r="6037" spans="1:3" x14ac:dyDescent="0.45">
      <c r="A6037" s="11">
        <v>77.08</v>
      </c>
      <c r="B6037" s="14">
        <v>5.0660280000000002E-2</v>
      </c>
      <c r="C6037" s="15">
        <v>2.73406E-2</v>
      </c>
    </row>
    <row r="6038" spans="1:3" x14ac:dyDescent="0.45">
      <c r="A6038" s="11">
        <v>77.09</v>
      </c>
      <c r="B6038" s="14">
        <v>5.071494E-2</v>
      </c>
      <c r="C6038" s="15">
        <v>2.73698E-2</v>
      </c>
    </row>
    <row r="6039" spans="1:3" x14ac:dyDescent="0.45">
      <c r="A6039" s="11">
        <v>77.099999999999994</v>
      </c>
      <c r="B6039" s="14">
        <v>5.0769599999999998E-2</v>
      </c>
      <c r="C6039" s="15">
        <v>2.7399E-2</v>
      </c>
    </row>
    <row r="6040" spans="1:3" x14ac:dyDescent="0.45">
      <c r="A6040" s="11">
        <v>77.11</v>
      </c>
      <c r="B6040" s="14">
        <v>5.0824260000000003E-2</v>
      </c>
      <c r="C6040" s="15">
        <v>2.74282E-2</v>
      </c>
    </row>
    <row r="6041" spans="1:3" x14ac:dyDescent="0.45">
      <c r="A6041" s="11">
        <v>77.12</v>
      </c>
      <c r="B6041" s="14">
        <v>5.0878920000000001E-2</v>
      </c>
      <c r="C6041" s="15">
        <v>2.74574E-2</v>
      </c>
    </row>
    <row r="6042" spans="1:3" x14ac:dyDescent="0.45">
      <c r="A6042" s="11">
        <v>77.13</v>
      </c>
      <c r="B6042" s="14">
        <v>5.0933579999999999E-2</v>
      </c>
      <c r="C6042" s="15">
        <v>2.74866E-2</v>
      </c>
    </row>
    <row r="6043" spans="1:3" x14ac:dyDescent="0.45">
      <c r="A6043" s="11">
        <v>77.14</v>
      </c>
      <c r="B6043" s="14">
        <v>5.0988239999999997E-2</v>
      </c>
      <c r="C6043" s="15">
        <v>2.75158E-2</v>
      </c>
    </row>
    <row r="6044" spans="1:3" x14ac:dyDescent="0.45">
      <c r="A6044" s="11">
        <v>77.150000000000006</v>
      </c>
      <c r="B6044" s="14">
        <v>5.1042900000000002E-2</v>
      </c>
      <c r="C6044" s="15">
        <v>2.7545E-2</v>
      </c>
    </row>
    <row r="6045" spans="1:3" x14ac:dyDescent="0.45">
      <c r="A6045" s="11">
        <v>77.16</v>
      </c>
      <c r="B6045" s="14">
        <v>5.109756E-2</v>
      </c>
      <c r="C6045" s="15">
        <v>2.75742E-2</v>
      </c>
    </row>
    <row r="6046" spans="1:3" x14ac:dyDescent="0.45">
      <c r="A6046" s="11">
        <v>77.17</v>
      </c>
      <c r="B6046" s="14">
        <v>5.1152219999999998E-2</v>
      </c>
      <c r="C6046" s="15">
        <v>2.76034E-2</v>
      </c>
    </row>
    <row r="6047" spans="1:3" x14ac:dyDescent="0.45">
      <c r="A6047" s="11">
        <v>77.180000000000007</v>
      </c>
      <c r="B6047" s="14">
        <v>5.1206880000000003E-2</v>
      </c>
      <c r="C6047" s="15">
        <v>2.76326E-2</v>
      </c>
    </row>
    <row r="6048" spans="1:3" x14ac:dyDescent="0.45">
      <c r="A6048" s="11">
        <v>77.19</v>
      </c>
      <c r="B6048" s="14">
        <v>5.1261540000000001E-2</v>
      </c>
      <c r="C6048" s="15">
        <v>2.76618E-2</v>
      </c>
    </row>
    <row r="6049" spans="1:3" x14ac:dyDescent="0.45">
      <c r="A6049" s="11">
        <v>77.2</v>
      </c>
      <c r="B6049" s="14">
        <v>5.1316199999999999E-2</v>
      </c>
      <c r="C6049" s="15">
        <v>2.7691E-2</v>
      </c>
    </row>
    <row r="6050" spans="1:3" x14ac:dyDescent="0.45">
      <c r="A6050" s="11">
        <v>77.209999999999994</v>
      </c>
      <c r="B6050" s="14">
        <v>5.1370859999999997E-2</v>
      </c>
      <c r="C6050" s="15">
        <v>2.77202E-2</v>
      </c>
    </row>
    <row r="6051" spans="1:3" x14ac:dyDescent="0.45">
      <c r="A6051" s="11">
        <v>77.22</v>
      </c>
      <c r="B6051" s="14">
        <v>5.1425520000000002E-2</v>
      </c>
      <c r="C6051" s="15">
        <v>2.77494E-2</v>
      </c>
    </row>
    <row r="6052" spans="1:3" x14ac:dyDescent="0.45">
      <c r="A6052" s="11">
        <v>77.23</v>
      </c>
      <c r="B6052" s="14">
        <v>5.148018E-2</v>
      </c>
      <c r="C6052" s="15">
        <v>2.7778600000000001E-2</v>
      </c>
    </row>
    <row r="6053" spans="1:3" x14ac:dyDescent="0.45">
      <c r="A6053" s="11">
        <v>77.239999999999995</v>
      </c>
      <c r="B6053" s="14">
        <v>5.1534839999999998E-2</v>
      </c>
      <c r="C6053" s="15">
        <v>2.7807800000000001E-2</v>
      </c>
    </row>
    <row r="6054" spans="1:3" x14ac:dyDescent="0.45">
      <c r="A6054" s="11">
        <v>77.25</v>
      </c>
      <c r="B6054" s="14">
        <v>5.1589500000000003E-2</v>
      </c>
      <c r="C6054" s="15">
        <v>2.7837000000000001E-2</v>
      </c>
    </row>
    <row r="6055" spans="1:3" x14ac:dyDescent="0.45">
      <c r="A6055" s="11">
        <v>77.260000000000005</v>
      </c>
      <c r="B6055" s="14">
        <v>5.1644160000000001E-2</v>
      </c>
      <c r="C6055" s="15">
        <v>2.7866200000000001E-2</v>
      </c>
    </row>
    <row r="6056" spans="1:3" x14ac:dyDescent="0.45">
      <c r="A6056" s="11">
        <v>77.27</v>
      </c>
      <c r="B6056" s="14">
        <v>5.1698819999999999E-2</v>
      </c>
      <c r="C6056" s="15">
        <v>2.7895400000000001E-2</v>
      </c>
    </row>
    <row r="6057" spans="1:3" x14ac:dyDescent="0.45">
      <c r="A6057" s="11">
        <v>77.28</v>
      </c>
      <c r="B6057" s="14">
        <v>5.1753479999999998E-2</v>
      </c>
      <c r="C6057" s="15">
        <v>2.7924600000000001E-2</v>
      </c>
    </row>
    <row r="6058" spans="1:3" x14ac:dyDescent="0.45">
      <c r="A6058" s="11">
        <v>77.290000000000006</v>
      </c>
      <c r="B6058" s="14">
        <v>5.1808140000000003E-2</v>
      </c>
      <c r="C6058" s="15">
        <v>2.7953800000000001E-2</v>
      </c>
    </row>
    <row r="6059" spans="1:3" x14ac:dyDescent="0.45">
      <c r="A6059" s="11">
        <v>77.3</v>
      </c>
      <c r="B6059" s="14">
        <v>5.1862800000000001E-2</v>
      </c>
      <c r="C6059" s="15">
        <v>2.7983000000000001E-2</v>
      </c>
    </row>
    <row r="6060" spans="1:3" x14ac:dyDescent="0.45">
      <c r="A6060" s="11">
        <v>77.31</v>
      </c>
      <c r="B6060" s="14">
        <v>5.1917459999999999E-2</v>
      </c>
      <c r="C6060" s="15">
        <v>2.8012200000000001E-2</v>
      </c>
    </row>
    <row r="6061" spans="1:3" x14ac:dyDescent="0.45">
      <c r="A6061" s="11">
        <v>77.319999999999993</v>
      </c>
      <c r="B6061" s="14">
        <v>5.1972119999999997E-2</v>
      </c>
      <c r="C6061" s="15">
        <v>2.8041400000000001E-2</v>
      </c>
    </row>
    <row r="6062" spans="1:3" x14ac:dyDescent="0.45">
      <c r="A6062" s="11">
        <v>77.33</v>
      </c>
      <c r="B6062" s="14">
        <v>5.2026780000000002E-2</v>
      </c>
      <c r="C6062" s="15">
        <v>2.8070600000000001E-2</v>
      </c>
    </row>
    <row r="6063" spans="1:3" x14ac:dyDescent="0.45">
      <c r="A6063" s="11">
        <v>77.34</v>
      </c>
      <c r="B6063" s="14">
        <v>5.208144E-2</v>
      </c>
      <c r="C6063" s="15">
        <v>2.8099800000000001E-2</v>
      </c>
    </row>
    <row r="6064" spans="1:3" x14ac:dyDescent="0.45">
      <c r="A6064" s="11">
        <v>77.349999999999994</v>
      </c>
      <c r="B6064" s="14">
        <v>5.2136099999999998E-2</v>
      </c>
      <c r="C6064" s="15">
        <v>2.8129000000000001E-2</v>
      </c>
    </row>
    <row r="6065" spans="1:3" x14ac:dyDescent="0.45">
      <c r="A6065" s="11">
        <v>77.36</v>
      </c>
      <c r="B6065" s="14">
        <v>5.2190760000000003E-2</v>
      </c>
      <c r="C6065" s="15">
        <v>2.8158200000000001E-2</v>
      </c>
    </row>
    <row r="6066" spans="1:3" x14ac:dyDescent="0.45">
      <c r="A6066" s="11">
        <v>77.37</v>
      </c>
      <c r="B6066" s="14">
        <v>5.2245420000000001E-2</v>
      </c>
      <c r="C6066" s="15">
        <v>2.8187400000000001E-2</v>
      </c>
    </row>
    <row r="6067" spans="1:3" x14ac:dyDescent="0.45">
      <c r="A6067" s="11">
        <v>77.38</v>
      </c>
      <c r="B6067" s="14">
        <v>5.2300079999999999E-2</v>
      </c>
      <c r="C6067" s="15">
        <v>2.8216600000000001E-2</v>
      </c>
    </row>
    <row r="6068" spans="1:3" x14ac:dyDescent="0.45">
      <c r="A6068" s="11">
        <v>77.39</v>
      </c>
      <c r="B6068" s="14">
        <v>5.2354739999999997E-2</v>
      </c>
      <c r="C6068" s="15">
        <v>2.8245800000000001E-2</v>
      </c>
    </row>
    <row r="6069" spans="1:3" x14ac:dyDescent="0.45">
      <c r="A6069" s="11">
        <v>77.400000000000006</v>
      </c>
      <c r="B6069" s="14">
        <v>5.2409400000000002E-2</v>
      </c>
      <c r="C6069" s="15">
        <v>2.8275000000000002E-2</v>
      </c>
    </row>
    <row r="6070" spans="1:3" x14ac:dyDescent="0.45">
      <c r="A6070" s="11">
        <v>77.41</v>
      </c>
      <c r="B6070" s="14">
        <v>5.246406E-2</v>
      </c>
      <c r="C6070" s="15">
        <v>2.8304200000000002E-2</v>
      </c>
    </row>
    <row r="6071" spans="1:3" x14ac:dyDescent="0.45">
      <c r="A6071" s="11">
        <v>77.42</v>
      </c>
      <c r="B6071" s="14">
        <v>5.2518719999999998E-2</v>
      </c>
      <c r="C6071" s="15">
        <v>2.8333400000000002E-2</v>
      </c>
    </row>
    <row r="6072" spans="1:3" x14ac:dyDescent="0.45">
      <c r="A6072" s="11">
        <v>77.430000000000007</v>
      </c>
      <c r="B6072" s="14">
        <v>5.2573380000000003E-2</v>
      </c>
      <c r="C6072" s="15">
        <v>2.8362600000000002E-2</v>
      </c>
    </row>
    <row r="6073" spans="1:3" x14ac:dyDescent="0.45">
      <c r="A6073" s="11">
        <v>77.44</v>
      </c>
      <c r="B6073" s="14">
        <v>5.2628040000000001E-2</v>
      </c>
      <c r="C6073" s="15">
        <v>2.8391799999999998E-2</v>
      </c>
    </row>
    <row r="6074" spans="1:3" x14ac:dyDescent="0.45">
      <c r="A6074" s="11">
        <v>77.45</v>
      </c>
      <c r="B6074" s="14">
        <v>5.2682699999999999E-2</v>
      </c>
      <c r="C6074" s="15">
        <v>2.8420999999999998E-2</v>
      </c>
    </row>
    <row r="6075" spans="1:3" x14ac:dyDescent="0.45">
      <c r="A6075" s="11">
        <v>77.459999999999994</v>
      </c>
      <c r="B6075" s="14">
        <v>5.2737359999999997E-2</v>
      </c>
      <c r="C6075" s="15">
        <v>2.8450199999999998E-2</v>
      </c>
    </row>
    <row r="6076" spans="1:3" x14ac:dyDescent="0.45">
      <c r="A6076" s="11">
        <v>77.47</v>
      </c>
      <c r="B6076" s="14">
        <v>5.2792020000000002E-2</v>
      </c>
      <c r="C6076" s="15">
        <v>2.8479399999999998E-2</v>
      </c>
    </row>
    <row r="6077" spans="1:3" x14ac:dyDescent="0.45">
      <c r="A6077" s="11">
        <v>77.48</v>
      </c>
      <c r="B6077" s="14">
        <v>5.284668E-2</v>
      </c>
      <c r="C6077" s="15">
        <v>2.8508599999999999E-2</v>
      </c>
    </row>
    <row r="6078" spans="1:3" x14ac:dyDescent="0.45">
      <c r="A6078" s="11">
        <v>77.489999999999995</v>
      </c>
      <c r="B6078" s="14">
        <v>5.2901339999999998E-2</v>
      </c>
      <c r="C6078" s="15">
        <v>2.8537799999999999E-2</v>
      </c>
    </row>
    <row r="6079" spans="1:3" x14ac:dyDescent="0.45">
      <c r="A6079" s="11">
        <v>77.5</v>
      </c>
      <c r="B6079" s="14">
        <v>5.2956000000000003E-2</v>
      </c>
      <c r="C6079" s="15">
        <v>2.8566999999999999E-2</v>
      </c>
    </row>
    <row r="6080" spans="1:3" x14ac:dyDescent="0.45">
      <c r="A6080" s="11">
        <v>77.510000000000005</v>
      </c>
      <c r="B6080" s="14">
        <v>5.3010660000000001E-2</v>
      </c>
      <c r="C6080" s="15">
        <v>2.8596199999999999E-2</v>
      </c>
    </row>
    <row r="6081" spans="1:3" x14ac:dyDescent="0.45">
      <c r="A6081" s="11">
        <v>77.52</v>
      </c>
      <c r="B6081" s="14">
        <v>5.3065319999999999E-2</v>
      </c>
      <c r="C6081" s="15">
        <v>2.8625399999999999E-2</v>
      </c>
    </row>
    <row r="6082" spans="1:3" x14ac:dyDescent="0.45">
      <c r="A6082" s="11">
        <v>77.53</v>
      </c>
      <c r="B6082" s="14">
        <v>5.3119979999999997E-2</v>
      </c>
      <c r="C6082" s="15">
        <v>2.8654599999999999E-2</v>
      </c>
    </row>
    <row r="6083" spans="1:3" x14ac:dyDescent="0.45">
      <c r="A6083" s="11">
        <v>77.540000000000006</v>
      </c>
      <c r="B6083" s="14">
        <v>5.3174640000000002E-2</v>
      </c>
      <c r="C6083" s="15">
        <v>2.8683799999999999E-2</v>
      </c>
    </row>
    <row r="6084" spans="1:3" x14ac:dyDescent="0.45">
      <c r="A6084" s="11">
        <v>77.55</v>
      </c>
      <c r="B6084" s="14">
        <v>5.32293E-2</v>
      </c>
      <c r="C6084" s="15">
        <v>2.8712999999999999E-2</v>
      </c>
    </row>
    <row r="6085" spans="1:3" x14ac:dyDescent="0.45">
      <c r="A6085" s="11">
        <v>77.56</v>
      </c>
      <c r="B6085" s="14">
        <v>5.3283959999999998E-2</v>
      </c>
      <c r="C6085" s="15">
        <v>2.8742199999999999E-2</v>
      </c>
    </row>
    <row r="6086" spans="1:3" x14ac:dyDescent="0.45">
      <c r="A6086" s="11">
        <v>77.569999999999993</v>
      </c>
      <c r="B6086" s="14">
        <v>5.3338620000000003E-2</v>
      </c>
      <c r="C6086" s="15">
        <v>2.8771399999999999E-2</v>
      </c>
    </row>
    <row r="6087" spans="1:3" x14ac:dyDescent="0.45">
      <c r="A6087" s="11">
        <v>77.58</v>
      </c>
      <c r="B6087" s="14">
        <v>5.3393280000000001E-2</v>
      </c>
      <c r="C6087" s="15">
        <v>2.8800599999999999E-2</v>
      </c>
    </row>
    <row r="6088" spans="1:3" x14ac:dyDescent="0.45">
      <c r="A6088" s="11">
        <v>77.59</v>
      </c>
      <c r="B6088" s="14">
        <v>5.3447939999999999E-2</v>
      </c>
      <c r="C6088" s="15">
        <v>2.8829799999999999E-2</v>
      </c>
    </row>
    <row r="6089" spans="1:3" x14ac:dyDescent="0.45">
      <c r="A6089" s="11">
        <v>77.599999999999994</v>
      </c>
      <c r="B6089" s="14">
        <v>5.3502599999999997E-2</v>
      </c>
      <c r="C6089" s="15">
        <v>2.8858999999999999E-2</v>
      </c>
    </row>
    <row r="6090" spans="1:3" x14ac:dyDescent="0.45">
      <c r="A6090" s="11">
        <v>77.61</v>
      </c>
      <c r="B6090" s="14">
        <v>5.3557260000000002E-2</v>
      </c>
      <c r="C6090" s="15">
        <v>2.8888199999999999E-2</v>
      </c>
    </row>
    <row r="6091" spans="1:3" x14ac:dyDescent="0.45">
      <c r="A6091" s="11">
        <v>77.62</v>
      </c>
      <c r="B6091" s="14">
        <v>5.361192E-2</v>
      </c>
      <c r="C6091" s="15">
        <v>2.8917399999999999E-2</v>
      </c>
    </row>
    <row r="6092" spans="1:3" x14ac:dyDescent="0.45">
      <c r="A6092" s="11">
        <v>77.63</v>
      </c>
      <c r="B6092" s="14">
        <v>5.3666579999999998E-2</v>
      </c>
      <c r="C6092" s="15">
        <v>2.8946599999999999E-2</v>
      </c>
    </row>
    <row r="6093" spans="1:3" x14ac:dyDescent="0.45">
      <c r="A6093" s="11">
        <v>77.64</v>
      </c>
      <c r="B6093" s="14">
        <v>5.3721240000000003E-2</v>
      </c>
      <c r="C6093" s="15">
        <v>2.8975799999999999E-2</v>
      </c>
    </row>
    <row r="6094" spans="1:3" x14ac:dyDescent="0.45">
      <c r="A6094" s="11">
        <v>77.650000000000006</v>
      </c>
      <c r="B6094" s="14">
        <v>5.3775900000000001E-2</v>
      </c>
      <c r="C6094" s="15">
        <v>2.9005E-2</v>
      </c>
    </row>
    <row r="6095" spans="1:3" x14ac:dyDescent="0.45">
      <c r="A6095" s="11">
        <v>77.66</v>
      </c>
      <c r="B6095" s="14">
        <v>5.383056E-2</v>
      </c>
      <c r="C6095" s="15">
        <v>2.90342E-2</v>
      </c>
    </row>
    <row r="6096" spans="1:3" x14ac:dyDescent="0.45">
      <c r="A6096" s="11">
        <v>77.67</v>
      </c>
      <c r="B6096" s="14">
        <v>5.3885219999999998E-2</v>
      </c>
      <c r="C6096" s="15">
        <v>2.90634E-2</v>
      </c>
    </row>
    <row r="6097" spans="1:3" x14ac:dyDescent="0.45">
      <c r="A6097" s="11">
        <v>77.680000000000007</v>
      </c>
      <c r="B6097" s="14">
        <v>5.3939880000000003E-2</v>
      </c>
      <c r="C6097" s="15">
        <v>2.90926E-2</v>
      </c>
    </row>
    <row r="6098" spans="1:3" x14ac:dyDescent="0.45">
      <c r="A6098" s="11">
        <v>77.69</v>
      </c>
      <c r="B6098" s="14">
        <v>5.3994540000000001E-2</v>
      </c>
      <c r="C6098" s="15">
        <v>2.91218E-2</v>
      </c>
    </row>
    <row r="6099" spans="1:3" x14ac:dyDescent="0.45">
      <c r="A6099" s="11">
        <v>77.7</v>
      </c>
      <c r="B6099" s="14">
        <v>5.4049199999999999E-2</v>
      </c>
      <c r="C6099" s="15">
        <v>2.9151E-2</v>
      </c>
    </row>
    <row r="6100" spans="1:3" x14ac:dyDescent="0.45">
      <c r="A6100" s="11">
        <v>77.709999999999994</v>
      </c>
      <c r="B6100" s="14">
        <v>5.4103859999999997E-2</v>
      </c>
      <c r="C6100" s="15">
        <v>2.91802E-2</v>
      </c>
    </row>
    <row r="6101" spans="1:3" x14ac:dyDescent="0.45">
      <c r="A6101" s="11">
        <v>77.72</v>
      </c>
      <c r="B6101" s="14">
        <v>5.4158520000000002E-2</v>
      </c>
      <c r="C6101" s="15">
        <v>2.92094E-2</v>
      </c>
    </row>
    <row r="6102" spans="1:3" x14ac:dyDescent="0.45">
      <c r="A6102" s="11">
        <v>77.73</v>
      </c>
      <c r="B6102" s="14">
        <v>5.421318E-2</v>
      </c>
      <c r="C6102" s="15">
        <v>2.92386E-2</v>
      </c>
    </row>
    <row r="6103" spans="1:3" x14ac:dyDescent="0.45">
      <c r="A6103" s="11">
        <v>77.739999999999995</v>
      </c>
      <c r="B6103" s="14">
        <v>5.4267839999999998E-2</v>
      </c>
      <c r="C6103" s="15">
        <v>2.92678E-2</v>
      </c>
    </row>
    <row r="6104" spans="1:3" x14ac:dyDescent="0.45">
      <c r="A6104" s="11">
        <v>77.75</v>
      </c>
      <c r="B6104" s="14">
        <v>5.4322500000000003E-2</v>
      </c>
      <c r="C6104" s="15">
        <v>2.9297E-2</v>
      </c>
    </row>
    <row r="6105" spans="1:3" x14ac:dyDescent="0.45">
      <c r="A6105" s="11">
        <v>77.760000000000005</v>
      </c>
      <c r="B6105" s="14">
        <v>5.4377160000000001E-2</v>
      </c>
      <c r="C6105" s="15">
        <v>2.93262E-2</v>
      </c>
    </row>
    <row r="6106" spans="1:3" x14ac:dyDescent="0.45">
      <c r="A6106" s="11">
        <v>77.77</v>
      </c>
      <c r="B6106" s="14">
        <v>5.4431819999999999E-2</v>
      </c>
      <c r="C6106" s="15">
        <v>2.93554E-2</v>
      </c>
    </row>
    <row r="6107" spans="1:3" x14ac:dyDescent="0.45">
      <c r="A6107" s="11">
        <v>77.78</v>
      </c>
      <c r="B6107" s="14">
        <v>5.4486479999999997E-2</v>
      </c>
      <c r="C6107" s="15">
        <v>2.93846E-2</v>
      </c>
    </row>
    <row r="6108" spans="1:3" x14ac:dyDescent="0.45">
      <c r="A6108" s="11">
        <v>77.790000000000006</v>
      </c>
      <c r="B6108" s="14">
        <v>5.4541140000000002E-2</v>
      </c>
      <c r="C6108" s="15">
        <v>2.94138E-2</v>
      </c>
    </row>
    <row r="6109" spans="1:3" x14ac:dyDescent="0.45">
      <c r="A6109" s="11">
        <v>77.8</v>
      </c>
      <c r="B6109" s="14">
        <v>5.45958E-2</v>
      </c>
      <c r="C6109" s="15">
        <v>2.9443E-2</v>
      </c>
    </row>
    <row r="6110" spans="1:3" x14ac:dyDescent="0.45">
      <c r="A6110" s="11">
        <v>77.81</v>
      </c>
      <c r="B6110" s="14">
        <v>5.4650459999999998E-2</v>
      </c>
      <c r="C6110" s="15">
        <v>2.94722E-2</v>
      </c>
    </row>
    <row r="6111" spans="1:3" x14ac:dyDescent="0.45">
      <c r="A6111" s="11">
        <v>77.819999999999993</v>
      </c>
      <c r="B6111" s="14">
        <v>5.4705120000000003E-2</v>
      </c>
      <c r="C6111" s="15">
        <v>2.9501400000000001E-2</v>
      </c>
    </row>
    <row r="6112" spans="1:3" x14ac:dyDescent="0.45">
      <c r="A6112" s="11">
        <v>77.83</v>
      </c>
      <c r="B6112" s="14">
        <v>5.4759780000000001E-2</v>
      </c>
      <c r="C6112" s="15">
        <v>2.9530600000000001E-2</v>
      </c>
    </row>
    <row r="6113" spans="1:3" x14ac:dyDescent="0.45">
      <c r="A6113" s="11">
        <v>77.84</v>
      </c>
      <c r="B6113" s="14">
        <v>5.4814439999999999E-2</v>
      </c>
      <c r="C6113" s="15">
        <v>2.9559800000000001E-2</v>
      </c>
    </row>
    <row r="6114" spans="1:3" x14ac:dyDescent="0.45">
      <c r="A6114" s="11">
        <v>77.849999999999994</v>
      </c>
      <c r="B6114" s="14">
        <v>5.4869099999999997E-2</v>
      </c>
      <c r="C6114" s="15">
        <v>2.9589000000000001E-2</v>
      </c>
    </row>
    <row r="6115" spans="1:3" x14ac:dyDescent="0.45">
      <c r="A6115" s="11">
        <v>77.86</v>
      </c>
      <c r="B6115" s="14">
        <v>5.4923760000000002E-2</v>
      </c>
      <c r="C6115" s="15">
        <v>2.9618200000000001E-2</v>
      </c>
    </row>
    <row r="6116" spans="1:3" x14ac:dyDescent="0.45">
      <c r="A6116" s="11">
        <v>77.87</v>
      </c>
      <c r="B6116" s="14">
        <v>5.497842E-2</v>
      </c>
      <c r="C6116" s="15">
        <v>2.9647400000000001E-2</v>
      </c>
    </row>
    <row r="6117" spans="1:3" x14ac:dyDescent="0.45">
      <c r="A6117" s="11">
        <v>77.88</v>
      </c>
      <c r="B6117" s="14">
        <v>5.5033079999999998E-2</v>
      </c>
      <c r="C6117" s="15">
        <v>2.9676600000000001E-2</v>
      </c>
    </row>
    <row r="6118" spans="1:3" x14ac:dyDescent="0.45">
      <c r="A6118" s="11">
        <v>77.89</v>
      </c>
      <c r="B6118" s="14">
        <v>5.5087740000000003E-2</v>
      </c>
      <c r="C6118" s="15">
        <v>2.9705800000000001E-2</v>
      </c>
    </row>
    <row r="6119" spans="1:3" x14ac:dyDescent="0.45">
      <c r="A6119" s="11">
        <v>77.900000000000006</v>
      </c>
      <c r="B6119" s="14">
        <v>5.5142400000000001E-2</v>
      </c>
      <c r="C6119" s="15">
        <v>2.9735000000000001E-2</v>
      </c>
    </row>
    <row r="6120" spans="1:3" x14ac:dyDescent="0.45">
      <c r="A6120" s="11">
        <v>77.91</v>
      </c>
      <c r="B6120" s="14">
        <v>5.5197059999999999E-2</v>
      </c>
      <c r="C6120" s="15">
        <v>2.9764200000000001E-2</v>
      </c>
    </row>
    <row r="6121" spans="1:3" x14ac:dyDescent="0.45">
      <c r="A6121" s="11">
        <v>77.92</v>
      </c>
      <c r="B6121" s="14">
        <v>5.5251719999999997E-2</v>
      </c>
      <c r="C6121" s="15">
        <v>2.9793400000000001E-2</v>
      </c>
    </row>
    <row r="6122" spans="1:3" x14ac:dyDescent="0.45">
      <c r="A6122" s="11">
        <v>77.930000000000007</v>
      </c>
      <c r="B6122" s="14">
        <v>5.5306380000000002E-2</v>
      </c>
      <c r="C6122" s="15">
        <v>2.9822600000000001E-2</v>
      </c>
    </row>
    <row r="6123" spans="1:3" x14ac:dyDescent="0.45">
      <c r="A6123" s="11">
        <v>77.94</v>
      </c>
      <c r="B6123" s="14">
        <v>5.536104E-2</v>
      </c>
      <c r="C6123" s="15">
        <v>2.9851800000000001E-2</v>
      </c>
    </row>
    <row r="6124" spans="1:3" x14ac:dyDescent="0.45">
      <c r="A6124" s="11">
        <v>77.95</v>
      </c>
      <c r="B6124" s="14">
        <v>5.5415699999999998E-2</v>
      </c>
      <c r="C6124" s="15">
        <v>2.9881000000000001E-2</v>
      </c>
    </row>
    <row r="6125" spans="1:3" x14ac:dyDescent="0.45">
      <c r="A6125" s="11">
        <v>77.959999999999994</v>
      </c>
      <c r="B6125" s="14">
        <v>5.5470360000000003E-2</v>
      </c>
      <c r="C6125" s="15">
        <v>2.9910200000000001E-2</v>
      </c>
    </row>
    <row r="6126" spans="1:3" x14ac:dyDescent="0.45">
      <c r="A6126" s="11">
        <v>77.97</v>
      </c>
      <c r="B6126" s="14">
        <v>5.5525020000000001E-2</v>
      </c>
      <c r="C6126" s="15">
        <v>2.9939400000000001E-2</v>
      </c>
    </row>
    <row r="6127" spans="1:3" x14ac:dyDescent="0.45">
      <c r="A6127" s="11">
        <v>77.98</v>
      </c>
      <c r="B6127" s="14">
        <v>5.5579679999999999E-2</v>
      </c>
      <c r="C6127" s="15">
        <v>2.9968600000000001E-2</v>
      </c>
    </row>
    <row r="6128" spans="1:3" x14ac:dyDescent="0.45">
      <c r="A6128" s="11">
        <v>77.989999999999995</v>
      </c>
      <c r="B6128" s="14">
        <v>5.5634339999999997E-2</v>
      </c>
      <c r="C6128" s="15">
        <v>2.9997800000000002E-2</v>
      </c>
    </row>
    <row r="6129" spans="1:3" x14ac:dyDescent="0.45">
      <c r="A6129" s="11">
        <v>78</v>
      </c>
      <c r="B6129" s="14">
        <v>5.5689000000000002E-2</v>
      </c>
      <c r="C6129" s="15">
        <v>3.0027000000000002E-2</v>
      </c>
    </row>
    <row r="6130" spans="1:3" x14ac:dyDescent="0.45">
      <c r="A6130" s="11">
        <v>78.010000000000005</v>
      </c>
      <c r="B6130" s="14">
        <v>5.5749E-2</v>
      </c>
      <c r="C6130" s="15">
        <v>3.005936E-2</v>
      </c>
    </row>
    <row r="6131" spans="1:3" x14ac:dyDescent="0.45">
      <c r="A6131" s="11">
        <v>78.02</v>
      </c>
      <c r="B6131" s="14">
        <v>5.5808999999999997E-2</v>
      </c>
      <c r="C6131" s="15">
        <v>3.0091719999999999E-2</v>
      </c>
    </row>
    <row r="6132" spans="1:3" x14ac:dyDescent="0.45">
      <c r="A6132" s="11">
        <v>78.03</v>
      </c>
      <c r="B6132" s="14">
        <v>5.5869000000000002E-2</v>
      </c>
      <c r="C6132" s="15">
        <v>3.0124080000000001E-2</v>
      </c>
    </row>
    <row r="6133" spans="1:3" x14ac:dyDescent="0.45">
      <c r="A6133" s="11">
        <v>78.040000000000006</v>
      </c>
      <c r="B6133" s="14">
        <v>5.5929E-2</v>
      </c>
      <c r="C6133" s="15">
        <v>3.015644E-2</v>
      </c>
    </row>
    <row r="6134" spans="1:3" x14ac:dyDescent="0.45">
      <c r="A6134" s="11">
        <v>78.05</v>
      </c>
      <c r="B6134" s="14">
        <v>5.5988999999999997E-2</v>
      </c>
      <c r="C6134" s="15">
        <v>3.0188799999999998E-2</v>
      </c>
    </row>
    <row r="6135" spans="1:3" x14ac:dyDescent="0.45">
      <c r="A6135" s="11">
        <v>78.06</v>
      </c>
      <c r="B6135" s="14">
        <v>5.6049000000000002E-2</v>
      </c>
      <c r="C6135" s="15">
        <v>3.022116E-2</v>
      </c>
    </row>
    <row r="6136" spans="1:3" x14ac:dyDescent="0.45">
      <c r="A6136" s="11">
        <v>78.069999999999993</v>
      </c>
      <c r="B6136" s="14">
        <v>5.6108999999999999E-2</v>
      </c>
      <c r="C6136" s="15">
        <v>3.0253519999999999E-2</v>
      </c>
    </row>
    <row r="6137" spans="1:3" x14ac:dyDescent="0.45">
      <c r="A6137" s="11">
        <v>78.08</v>
      </c>
      <c r="B6137" s="14">
        <v>5.6168999999999997E-2</v>
      </c>
      <c r="C6137" s="15">
        <v>3.0285880000000001E-2</v>
      </c>
    </row>
    <row r="6138" spans="1:3" x14ac:dyDescent="0.45">
      <c r="A6138" s="11">
        <v>78.09</v>
      </c>
      <c r="B6138" s="14">
        <v>5.6229000000000001E-2</v>
      </c>
      <c r="C6138" s="15">
        <v>3.031824E-2</v>
      </c>
    </row>
    <row r="6139" spans="1:3" x14ac:dyDescent="0.45">
      <c r="A6139" s="11">
        <v>78.099999999999994</v>
      </c>
      <c r="B6139" s="14">
        <v>5.6288999999999999E-2</v>
      </c>
      <c r="C6139" s="15">
        <v>3.0350599999999998E-2</v>
      </c>
    </row>
    <row r="6140" spans="1:3" x14ac:dyDescent="0.45">
      <c r="A6140" s="11">
        <v>78.11</v>
      </c>
      <c r="B6140" s="14">
        <v>5.6349000000000003E-2</v>
      </c>
      <c r="C6140" s="15">
        <v>3.0382960000000001E-2</v>
      </c>
    </row>
    <row r="6141" spans="1:3" x14ac:dyDescent="0.45">
      <c r="A6141" s="11">
        <v>78.12</v>
      </c>
      <c r="B6141" s="14">
        <v>5.6409000000000001E-2</v>
      </c>
      <c r="C6141" s="15">
        <v>3.0415319999999999E-2</v>
      </c>
    </row>
    <row r="6142" spans="1:3" x14ac:dyDescent="0.45">
      <c r="A6142" s="11">
        <v>78.13</v>
      </c>
      <c r="B6142" s="14">
        <v>5.6468999999999998E-2</v>
      </c>
      <c r="C6142" s="15">
        <v>3.0447680000000001E-2</v>
      </c>
    </row>
    <row r="6143" spans="1:3" x14ac:dyDescent="0.45">
      <c r="A6143" s="11">
        <v>78.14</v>
      </c>
      <c r="B6143" s="14">
        <v>5.6529000000000003E-2</v>
      </c>
      <c r="C6143" s="15">
        <v>3.048004E-2</v>
      </c>
    </row>
    <row r="6144" spans="1:3" x14ac:dyDescent="0.45">
      <c r="A6144" s="11">
        <v>78.150000000000006</v>
      </c>
      <c r="B6144" s="14">
        <v>5.6589E-2</v>
      </c>
      <c r="C6144" s="15">
        <v>3.0512399999999999E-2</v>
      </c>
    </row>
    <row r="6145" spans="1:3" x14ac:dyDescent="0.45">
      <c r="A6145" s="11">
        <v>78.16</v>
      </c>
      <c r="B6145" s="14">
        <v>5.6648999999999998E-2</v>
      </c>
      <c r="C6145" s="15">
        <v>3.0544760000000001E-2</v>
      </c>
    </row>
    <row r="6146" spans="1:3" x14ac:dyDescent="0.45">
      <c r="A6146" s="11">
        <v>78.17</v>
      </c>
      <c r="B6146" s="14">
        <v>5.6709000000000002E-2</v>
      </c>
      <c r="C6146" s="15">
        <v>3.0577119999999999E-2</v>
      </c>
    </row>
    <row r="6147" spans="1:3" x14ac:dyDescent="0.45">
      <c r="A6147" s="11">
        <v>78.180000000000007</v>
      </c>
      <c r="B6147" s="14">
        <v>5.6769E-2</v>
      </c>
      <c r="C6147" s="15">
        <v>3.0609480000000001E-2</v>
      </c>
    </row>
    <row r="6148" spans="1:3" x14ac:dyDescent="0.45">
      <c r="A6148" s="11">
        <v>78.19</v>
      </c>
      <c r="B6148" s="14">
        <v>5.6828999999999998E-2</v>
      </c>
      <c r="C6148" s="15">
        <v>3.064184E-2</v>
      </c>
    </row>
    <row r="6149" spans="1:3" x14ac:dyDescent="0.45">
      <c r="A6149" s="11">
        <v>78.2</v>
      </c>
      <c r="B6149" s="14">
        <v>5.6889000000000002E-2</v>
      </c>
      <c r="C6149" s="15">
        <v>3.0674199999999999E-2</v>
      </c>
    </row>
    <row r="6150" spans="1:3" x14ac:dyDescent="0.45">
      <c r="A6150" s="11">
        <v>78.209999999999994</v>
      </c>
      <c r="B6150" s="14">
        <v>5.6949E-2</v>
      </c>
      <c r="C6150" s="15">
        <v>3.0706560000000001E-2</v>
      </c>
    </row>
    <row r="6151" spans="1:3" x14ac:dyDescent="0.45">
      <c r="A6151" s="11">
        <v>78.22</v>
      </c>
      <c r="B6151" s="14">
        <v>5.7008999999999997E-2</v>
      </c>
      <c r="C6151" s="15">
        <v>3.0738919999999999E-2</v>
      </c>
    </row>
    <row r="6152" spans="1:3" x14ac:dyDescent="0.45">
      <c r="A6152" s="11">
        <v>78.23</v>
      </c>
      <c r="B6152" s="14">
        <v>5.7069000000000002E-2</v>
      </c>
      <c r="C6152" s="15">
        <v>3.0771280000000002E-2</v>
      </c>
    </row>
    <row r="6153" spans="1:3" x14ac:dyDescent="0.45">
      <c r="A6153" s="11">
        <v>78.239999999999995</v>
      </c>
      <c r="B6153" s="14">
        <v>5.7128999999999999E-2</v>
      </c>
      <c r="C6153" s="15">
        <v>3.080364E-2</v>
      </c>
    </row>
    <row r="6154" spans="1:3" x14ac:dyDescent="0.45">
      <c r="A6154" s="11">
        <v>78.25</v>
      </c>
      <c r="B6154" s="14">
        <v>5.7188999999999997E-2</v>
      </c>
      <c r="C6154" s="15">
        <v>3.0835999999999999E-2</v>
      </c>
    </row>
    <row r="6155" spans="1:3" x14ac:dyDescent="0.45">
      <c r="A6155" s="11">
        <v>78.260000000000005</v>
      </c>
      <c r="B6155" s="14">
        <v>5.7249000000000001E-2</v>
      </c>
      <c r="C6155" s="15">
        <v>3.0868360000000001E-2</v>
      </c>
    </row>
    <row r="6156" spans="1:3" x14ac:dyDescent="0.45">
      <c r="A6156" s="11">
        <v>78.27</v>
      </c>
      <c r="B6156" s="14">
        <v>5.7308999999999999E-2</v>
      </c>
      <c r="C6156" s="15">
        <v>3.090072E-2</v>
      </c>
    </row>
    <row r="6157" spans="1:3" x14ac:dyDescent="0.45">
      <c r="A6157" s="11">
        <v>78.28</v>
      </c>
      <c r="B6157" s="14">
        <v>5.7369000000000003E-2</v>
      </c>
      <c r="C6157" s="15">
        <v>3.0933080000000002E-2</v>
      </c>
    </row>
    <row r="6158" spans="1:3" x14ac:dyDescent="0.45">
      <c r="A6158" s="11">
        <v>78.290000000000006</v>
      </c>
      <c r="B6158" s="14">
        <v>5.7429000000000001E-2</v>
      </c>
      <c r="C6158" s="15">
        <v>3.096544E-2</v>
      </c>
    </row>
    <row r="6159" spans="1:3" x14ac:dyDescent="0.45">
      <c r="A6159" s="11">
        <v>78.3</v>
      </c>
      <c r="B6159" s="14">
        <v>5.7488999999999998E-2</v>
      </c>
      <c r="C6159" s="15">
        <v>3.0997799999999999E-2</v>
      </c>
    </row>
    <row r="6160" spans="1:3" x14ac:dyDescent="0.45">
      <c r="A6160" s="11">
        <v>78.31</v>
      </c>
      <c r="B6160" s="14">
        <v>5.7549000000000003E-2</v>
      </c>
      <c r="C6160" s="15">
        <v>3.1030160000000001E-2</v>
      </c>
    </row>
    <row r="6161" spans="1:3" x14ac:dyDescent="0.45">
      <c r="A6161" s="11">
        <v>78.319999999999993</v>
      </c>
      <c r="B6161" s="14">
        <v>5.7609E-2</v>
      </c>
      <c r="C6161" s="15">
        <v>3.106252E-2</v>
      </c>
    </row>
    <row r="6162" spans="1:3" x14ac:dyDescent="0.45">
      <c r="A6162" s="11">
        <v>78.33</v>
      </c>
      <c r="B6162" s="14">
        <v>5.7668999999999998E-2</v>
      </c>
      <c r="C6162" s="15">
        <v>3.1094879999999998E-2</v>
      </c>
    </row>
    <row r="6163" spans="1:3" x14ac:dyDescent="0.45">
      <c r="A6163" s="11">
        <v>78.34</v>
      </c>
      <c r="B6163" s="14">
        <v>5.7729000000000003E-2</v>
      </c>
      <c r="C6163" s="15">
        <v>3.112724E-2</v>
      </c>
    </row>
    <row r="6164" spans="1:3" x14ac:dyDescent="0.45">
      <c r="A6164" s="11">
        <v>78.349999999999994</v>
      </c>
      <c r="B6164" s="14">
        <v>5.7789E-2</v>
      </c>
      <c r="C6164" s="15">
        <v>3.1159599999999999E-2</v>
      </c>
    </row>
    <row r="6165" spans="1:3" x14ac:dyDescent="0.45">
      <c r="A6165" s="11">
        <v>78.36</v>
      </c>
      <c r="B6165" s="14">
        <v>5.7848999999999998E-2</v>
      </c>
      <c r="C6165" s="15">
        <v>3.1191960000000001E-2</v>
      </c>
    </row>
    <row r="6166" spans="1:3" x14ac:dyDescent="0.45">
      <c r="A6166" s="11">
        <v>78.37</v>
      </c>
      <c r="B6166" s="14">
        <v>5.7909000000000002E-2</v>
      </c>
      <c r="C6166" s="15">
        <v>3.122432E-2</v>
      </c>
    </row>
    <row r="6167" spans="1:3" x14ac:dyDescent="0.45">
      <c r="A6167" s="11">
        <v>78.38</v>
      </c>
      <c r="B6167" s="14">
        <v>5.7969E-2</v>
      </c>
      <c r="C6167" s="15">
        <v>3.1256680000000002E-2</v>
      </c>
    </row>
    <row r="6168" spans="1:3" x14ac:dyDescent="0.45">
      <c r="A6168" s="11">
        <v>78.39</v>
      </c>
      <c r="B6168" s="14">
        <v>5.8028999999999997E-2</v>
      </c>
      <c r="C6168" s="15">
        <v>3.1289039999999997E-2</v>
      </c>
    </row>
    <row r="6169" spans="1:3" x14ac:dyDescent="0.45">
      <c r="A6169" s="11">
        <v>78.400000000000006</v>
      </c>
      <c r="B6169" s="14">
        <v>5.8089000000000002E-2</v>
      </c>
      <c r="C6169" s="15">
        <v>3.1321399999999999E-2</v>
      </c>
    </row>
    <row r="6170" spans="1:3" x14ac:dyDescent="0.45">
      <c r="A6170" s="11">
        <v>78.41</v>
      </c>
      <c r="B6170" s="14">
        <v>5.8148999999999999E-2</v>
      </c>
      <c r="C6170" s="15">
        <v>3.1353760000000001E-2</v>
      </c>
    </row>
    <row r="6171" spans="1:3" x14ac:dyDescent="0.45">
      <c r="A6171" s="11">
        <v>78.42</v>
      </c>
      <c r="B6171" s="14">
        <v>5.8208999999999997E-2</v>
      </c>
      <c r="C6171" s="15">
        <v>3.1386120000000003E-2</v>
      </c>
    </row>
    <row r="6172" spans="1:3" x14ac:dyDescent="0.45">
      <c r="A6172" s="11">
        <v>78.430000000000007</v>
      </c>
      <c r="B6172" s="14">
        <v>5.8269000000000001E-2</v>
      </c>
      <c r="C6172" s="15">
        <v>3.1418479999999999E-2</v>
      </c>
    </row>
    <row r="6173" spans="1:3" x14ac:dyDescent="0.45">
      <c r="A6173" s="11">
        <v>78.44</v>
      </c>
      <c r="B6173" s="14">
        <v>5.8328999999999999E-2</v>
      </c>
      <c r="C6173" s="15">
        <v>3.1450840000000001E-2</v>
      </c>
    </row>
    <row r="6174" spans="1:3" x14ac:dyDescent="0.45">
      <c r="A6174" s="11">
        <v>78.45</v>
      </c>
      <c r="B6174" s="14">
        <v>5.8389000000000003E-2</v>
      </c>
      <c r="C6174" s="15">
        <v>3.1483200000000003E-2</v>
      </c>
    </row>
    <row r="6175" spans="1:3" x14ac:dyDescent="0.45">
      <c r="A6175" s="11">
        <v>78.459999999999994</v>
      </c>
      <c r="B6175" s="14">
        <v>5.8449000000000001E-2</v>
      </c>
      <c r="C6175" s="15">
        <v>3.1515559999999998E-2</v>
      </c>
    </row>
    <row r="6176" spans="1:3" x14ac:dyDescent="0.45">
      <c r="A6176" s="11">
        <v>78.47</v>
      </c>
      <c r="B6176" s="14">
        <v>5.8508999999999999E-2</v>
      </c>
      <c r="C6176" s="15">
        <v>3.154792E-2</v>
      </c>
    </row>
    <row r="6177" spans="1:3" x14ac:dyDescent="0.45">
      <c r="A6177" s="11">
        <v>78.48</v>
      </c>
      <c r="B6177" s="14">
        <v>5.8569000000000003E-2</v>
      </c>
      <c r="C6177" s="15">
        <v>3.1580280000000002E-2</v>
      </c>
    </row>
    <row r="6178" spans="1:3" x14ac:dyDescent="0.45">
      <c r="A6178" s="11">
        <v>78.489999999999995</v>
      </c>
      <c r="B6178" s="14">
        <v>5.8629000000000001E-2</v>
      </c>
      <c r="C6178" s="15">
        <v>3.1612639999999997E-2</v>
      </c>
    </row>
    <row r="6179" spans="1:3" x14ac:dyDescent="0.45">
      <c r="A6179" s="11">
        <v>78.5</v>
      </c>
      <c r="B6179" s="14">
        <v>5.8688999999999998E-2</v>
      </c>
      <c r="C6179" s="15">
        <v>3.1645E-2</v>
      </c>
    </row>
    <row r="6180" spans="1:3" x14ac:dyDescent="0.45">
      <c r="A6180" s="11">
        <v>78.510000000000005</v>
      </c>
      <c r="B6180" s="14">
        <v>5.8749000000000003E-2</v>
      </c>
      <c r="C6180" s="15">
        <v>3.1677360000000002E-2</v>
      </c>
    </row>
    <row r="6181" spans="1:3" x14ac:dyDescent="0.45">
      <c r="A6181" s="11">
        <v>78.52</v>
      </c>
      <c r="B6181" s="14">
        <v>5.8809E-2</v>
      </c>
      <c r="C6181" s="15">
        <v>3.1709719999999997E-2</v>
      </c>
    </row>
    <row r="6182" spans="1:3" x14ac:dyDescent="0.45">
      <c r="A6182" s="11">
        <v>78.53</v>
      </c>
      <c r="B6182" s="14">
        <v>5.8868999999999998E-2</v>
      </c>
      <c r="C6182" s="15">
        <v>3.1742079999999999E-2</v>
      </c>
    </row>
    <row r="6183" spans="1:3" x14ac:dyDescent="0.45">
      <c r="A6183" s="11">
        <v>78.540000000000006</v>
      </c>
      <c r="B6183" s="14">
        <v>5.8929000000000002E-2</v>
      </c>
      <c r="C6183" s="15">
        <v>3.1774440000000001E-2</v>
      </c>
    </row>
    <row r="6184" spans="1:3" x14ac:dyDescent="0.45">
      <c r="A6184" s="11">
        <v>78.55</v>
      </c>
      <c r="B6184" s="14">
        <v>5.8989E-2</v>
      </c>
      <c r="C6184" s="15">
        <v>3.1806800000000003E-2</v>
      </c>
    </row>
    <row r="6185" spans="1:3" x14ac:dyDescent="0.45">
      <c r="A6185" s="11">
        <v>78.56</v>
      </c>
      <c r="B6185" s="14">
        <v>5.9048999999999997E-2</v>
      </c>
      <c r="C6185" s="15">
        <v>3.1839159999999998E-2</v>
      </c>
    </row>
    <row r="6186" spans="1:3" x14ac:dyDescent="0.45">
      <c r="A6186" s="11">
        <v>78.569999999999993</v>
      </c>
      <c r="B6186" s="14">
        <v>5.9109000000000002E-2</v>
      </c>
      <c r="C6186" s="15">
        <v>3.187152E-2</v>
      </c>
    </row>
    <row r="6187" spans="1:3" x14ac:dyDescent="0.45">
      <c r="A6187" s="11">
        <v>78.58</v>
      </c>
      <c r="B6187" s="14">
        <v>5.9168999999999999E-2</v>
      </c>
      <c r="C6187" s="15">
        <v>3.1903880000000003E-2</v>
      </c>
    </row>
    <row r="6188" spans="1:3" x14ac:dyDescent="0.45">
      <c r="A6188" s="11">
        <v>78.59</v>
      </c>
      <c r="B6188" s="14">
        <v>5.9228999999999997E-2</v>
      </c>
      <c r="C6188" s="15">
        <v>3.1936239999999998E-2</v>
      </c>
    </row>
    <row r="6189" spans="1:3" x14ac:dyDescent="0.45">
      <c r="A6189" s="11">
        <v>78.599999999999994</v>
      </c>
      <c r="B6189" s="14">
        <v>5.9289000000000001E-2</v>
      </c>
      <c r="C6189" s="15">
        <v>3.19686E-2</v>
      </c>
    </row>
    <row r="6190" spans="1:3" x14ac:dyDescent="0.45">
      <c r="A6190" s="11">
        <v>78.61</v>
      </c>
      <c r="B6190" s="14">
        <v>5.9348999999999999E-2</v>
      </c>
      <c r="C6190" s="15">
        <v>3.2000960000000002E-2</v>
      </c>
    </row>
    <row r="6191" spans="1:3" x14ac:dyDescent="0.45">
      <c r="A6191" s="11">
        <v>78.62</v>
      </c>
      <c r="B6191" s="14">
        <v>5.9409000000000003E-2</v>
      </c>
      <c r="C6191" s="15">
        <v>3.2033319999999997E-2</v>
      </c>
    </row>
    <row r="6192" spans="1:3" x14ac:dyDescent="0.45">
      <c r="A6192" s="11">
        <v>78.63</v>
      </c>
      <c r="B6192" s="14">
        <v>5.9469000000000001E-2</v>
      </c>
      <c r="C6192" s="15">
        <v>3.2065679999999999E-2</v>
      </c>
    </row>
    <row r="6193" spans="1:3" x14ac:dyDescent="0.45">
      <c r="A6193" s="11">
        <v>78.64</v>
      </c>
      <c r="B6193" s="14">
        <v>5.9528999999999999E-2</v>
      </c>
      <c r="C6193" s="15">
        <v>3.2098040000000001E-2</v>
      </c>
    </row>
    <row r="6194" spans="1:3" x14ac:dyDescent="0.45">
      <c r="A6194" s="11">
        <v>78.650000000000006</v>
      </c>
      <c r="B6194" s="14">
        <v>5.9589000000000003E-2</v>
      </c>
      <c r="C6194" s="15">
        <v>3.2130400000000003E-2</v>
      </c>
    </row>
    <row r="6195" spans="1:3" x14ac:dyDescent="0.45">
      <c r="A6195" s="11">
        <v>78.66</v>
      </c>
      <c r="B6195" s="14">
        <v>5.9649000000000001E-2</v>
      </c>
      <c r="C6195" s="15">
        <v>3.2162759999999999E-2</v>
      </c>
    </row>
    <row r="6196" spans="1:3" x14ac:dyDescent="0.45">
      <c r="A6196" s="11">
        <v>78.67</v>
      </c>
      <c r="B6196" s="14">
        <v>5.9708999999999998E-2</v>
      </c>
      <c r="C6196" s="15">
        <v>3.2195120000000001E-2</v>
      </c>
    </row>
    <row r="6197" spans="1:3" x14ac:dyDescent="0.45">
      <c r="A6197" s="11">
        <v>78.680000000000007</v>
      </c>
      <c r="B6197" s="14">
        <v>5.9769000000000003E-2</v>
      </c>
      <c r="C6197" s="15">
        <v>3.2227480000000003E-2</v>
      </c>
    </row>
    <row r="6198" spans="1:3" x14ac:dyDescent="0.45">
      <c r="A6198" s="11">
        <v>78.69</v>
      </c>
      <c r="B6198" s="14">
        <v>5.9829E-2</v>
      </c>
      <c r="C6198" s="15">
        <v>3.2259839999999998E-2</v>
      </c>
    </row>
    <row r="6199" spans="1:3" x14ac:dyDescent="0.45">
      <c r="A6199" s="11">
        <v>78.7</v>
      </c>
      <c r="B6199" s="14">
        <v>5.9888999999999998E-2</v>
      </c>
      <c r="C6199" s="15">
        <v>3.22922E-2</v>
      </c>
    </row>
    <row r="6200" spans="1:3" x14ac:dyDescent="0.45">
      <c r="A6200" s="11">
        <v>78.709999999999994</v>
      </c>
      <c r="B6200" s="14">
        <v>5.9949000000000002E-2</v>
      </c>
      <c r="C6200" s="15">
        <v>3.2324560000000002E-2</v>
      </c>
    </row>
    <row r="6201" spans="1:3" x14ac:dyDescent="0.45">
      <c r="A6201" s="11">
        <v>78.72</v>
      </c>
      <c r="B6201" s="14">
        <v>6.0009E-2</v>
      </c>
      <c r="C6201" s="15">
        <v>3.2356919999999997E-2</v>
      </c>
    </row>
    <row r="6202" spans="1:3" x14ac:dyDescent="0.45">
      <c r="A6202" s="11">
        <v>78.73</v>
      </c>
      <c r="B6202" s="14">
        <v>6.0068999999999997E-2</v>
      </c>
      <c r="C6202" s="15">
        <v>3.2389279999999999E-2</v>
      </c>
    </row>
    <row r="6203" spans="1:3" x14ac:dyDescent="0.45">
      <c r="A6203" s="11">
        <v>78.739999999999995</v>
      </c>
      <c r="B6203" s="14">
        <v>6.0129000000000002E-2</v>
      </c>
      <c r="C6203" s="15">
        <v>3.2421640000000002E-2</v>
      </c>
    </row>
    <row r="6204" spans="1:3" x14ac:dyDescent="0.45">
      <c r="A6204" s="11">
        <v>78.75</v>
      </c>
      <c r="B6204" s="14">
        <v>6.0188999999999999E-2</v>
      </c>
      <c r="C6204" s="15">
        <v>3.2453999999999997E-2</v>
      </c>
    </row>
    <row r="6205" spans="1:3" x14ac:dyDescent="0.45">
      <c r="A6205" s="11">
        <v>78.760000000000005</v>
      </c>
      <c r="B6205" s="14">
        <v>6.0248999999999997E-2</v>
      </c>
      <c r="C6205" s="15">
        <v>3.2486359999999999E-2</v>
      </c>
    </row>
    <row r="6206" spans="1:3" x14ac:dyDescent="0.45">
      <c r="A6206" s="11">
        <v>78.77</v>
      </c>
      <c r="B6206" s="14">
        <v>6.0309000000000001E-2</v>
      </c>
      <c r="C6206" s="15">
        <v>3.2518720000000001E-2</v>
      </c>
    </row>
    <row r="6207" spans="1:3" x14ac:dyDescent="0.45">
      <c r="A6207" s="11">
        <v>78.78</v>
      </c>
      <c r="B6207" s="14">
        <v>6.0368999999999999E-2</v>
      </c>
      <c r="C6207" s="15">
        <v>3.2551080000000003E-2</v>
      </c>
    </row>
    <row r="6208" spans="1:3" x14ac:dyDescent="0.45">
      <c r="A6208" s="11">
        <v>78.790000000000006</v>
      </c>
      <c r="B6208" s="14">
        <v>6.0428999999999997E-2</v>
      </c>
      <c r="C6208" s="15">
        <v>3.2583439999999998E-2</v>
      </c>
    </row>
    <row r="6209" spans="1:3" x14ac:dyDescent="0.45">
      <c r="A6209" s="11">
        <v>78.8</v>
      </c>
      <c r="B6209" s="14">
        <v>6.0489000000000001E-2</v>
      </c>
      <c r="C6209" s="15">
        <v>3.26158E-2</v>
      </c>
    </row>
    <row r="6210" spans="1:3" x14ac:dyDescent="0.45">
      <c r="A6210" s="11">
        <v>78.81</v>
      </c>
      <c r="B6210" s="14">
        <v>6.0548999999999999E-2</v>
      </c>
      <c r="C6210" s="15">
        <v>3.2648160000000002E-2</v>
      </c>
    </row>
    <row r="6211" spans="1:3" x14ac:dyDescent="0.45">
      <c r="A6211" s="11">
        <v>78.819999999999993</v>
      </c>
      <c r="B6211" s="14">
        <v>6.0609000000000003E-2</v>
      </c>
      <c r="C6211" s="15">
        <v>3.2680519999999998E-2</v>
      </c>
    </row>
    <row r="6212" spans="1:3" x14ac:dyDescent="0.45">
      <c r="A6212" s="11">
        <v>78.83</v>
      </c>
      <c r="B6212" s="14">
        <v>6.0669000000000001E-2</v>
      </c>
      <c r="C6212" s="15">
        <v>3.271288E-2</v>
      </c>
    </row>
    <row r="6213" spans="1:3" x14ac:dyDescent="0.45">
      <c r="A6213" s="11">
        <v>78.84</v>
      </c>
      <c r="B6213" s="14">
        <v>6.0728999999999998E-2</v>
      </c>
      <c r="C6213" s="15">
        <v>3.2745240000000002E-2</v>
      </c>
    </row>
    <row r="6214" spans="1:3" x14ac:dyDescent="0.45">
      <c r="A6214" s="11">
        <v>78.849999999999994</v>
      </c>
      <c r="B6214" s="14">
        <v>6.0789000000000003E-2</v>
      </c>
      <c r="C6214" s="15">
        <v>3.2777599999999997E-2</v>
      </c>
    </row>
    <row r="6215" spans="1:3" x14ac:dyDescent="0.45">
      <c r="A6215" s="11">
        <v>78.86</v>
      </c>
      <c r="B6215" s="14">
        <v>6.0849E-2</v>
      </c>
      <c r="C6215" s="15">
        <v>3.2809959999999999E-2</v>
      </c>
    </row>
    <row r="6216" spans="1:3" x14ac:dyDescent="0.45">
      <c r="A6216" s="11">
        <v>78.87</v>
      </c>
      <c r="B6216" s="14">
        <v>6.0908999999999998E-2</v>
      </c>
      <c r="C6216" s="15">
        <v>3.2842320000000001E-2</v>
      </c>
    </row>
    <row r="6217" spans="1:3" x14ac:dyDescent="0.45">
      <c r="A6217" s="11">
        <v>78.88</v>
      </c>
      <c r="B6217" s="14">
        <v>6.0969000000000002E-2</v>
      </c>
      <c r="C6217" s="15">
        <v>3.2874680000000003E-2</v>
      </c>
    </row>
    <row r="6218" spans="1:3" x14ac:dyDescent="0.45">
      <c r="A6218" s="11">
        <v>78.89</v>
      </c>
      <c r="B6218" s="14">
        <v>6.1029E-2</v>
      </c>
      <c r="C6218" s="15">
        <v>3.2907039999999999E-2</v>
      </c>
    </row>
    <row r="6219" spans="1:3" x14ac:dyDescent="0.45">
      <c r="A6219" s="11">
        <v>78.900000000000006</v>
      </c>
      <c r="B6219" s="14">
        <v>6.1088999999999997E-2</v>
      </c>
      <c r="C6219" s="15">
        <v>3.2939400000000001E-2</v>
      </c>
    </row>
    <row r="6220" spans="1:3" x14ac:dyDescent="0.45">
      <c r="A6220" s="11">
        <v>78.91</v>
      </c>
      <c r="B6220" s="14">
        <v>6.1149000000000002E-2</v>
      </c>
      <c r="C6220" s="15">
        <v>3.2971760000000003E-2</v>
      </c>
    </row>
    <row r="6221" spans="1:3" x14ac:dyDescent="0.45">
      <c r="A6221" s="11">
        <v>78.92</v>
      </c>
      <c r="B6221" s="14">
        <v>6.1209E-2</v>
      </c>
      <c r="C6221" s="15">
        <v>3.3004119999999998E-2</v>
      </c>
    </row>
    <row r="6222" spans="1:3" x14ac:dyDescent="0.45">
      <c r="A6222" s="11">
        <v>78.930000000000007</v>
      </c>
      <c r="B6222" s="14">
        <v>6.1268999999999997E-2</v>
      </c>
      <c r="C6222" s="15">
        <v>3.303648E-2</v>
      </c>
    </row>
    <row r="6223" spans="1:3" x14ac:dyDescent="0.45">
      <c r="A6223" s="11">
        <v>78.94</v>
      </c>
      <c r="B6223" s="14">
        <v>6.1329000000000002E-2</v>
      </c>
      <c r="C6223" s="15">
        <v>3.3068840000000002E-2</v>
      </c>
    </row>
    <row r="6224" spans="1:3" x14ac:dyDescent="0.45">
      <c r="A6224" s="11">
        <v>78.95</v>
      </c>
      <c r="B6224" s="14">
        <v>6.1388999999999999E-2</v>
      </c>
      <c r="C6224" s="15">
        <v>3.3101199999999997E-2</v>
      </c>
    </row>
    <row r="6225" spans="1:3" x14ac:dyDescent="0.45">
      <c r="A6225" s="11">
        <v>78.959999999999994</v>
      </c>
      <c r="B6225" s="14">
        <v>6.1448999999999997E-2</v>
      </c>
      <c r="C6225" s="15">
        <v>3.3133559999999999E-2</v>
      </c>
    </row>
    <row r="6226" spans="1:3" x14ac:dyDescent="0.45">
      <c r="A6226" s="11">
        <v>78.97</v>
      </c>
      <c r="B6226" s="14">
        <v>6.1509000000000001E-2</v>
      </c>
      <c r="C6226" s="15">
        <v>3.3165920000000002E-2</v>
      </c>
    </row>
    <row r="6227" spans="1:3" x14ac:dyDescent="0.45">
      <c r="A6227" s="11">
        <v>78.98</v>
      </c>
      <c r="B6227" s="14">
        <v>6.1568999999999999E-2</v>
      </c>
      <c r="C6227" s="15">
        <v>3.3198279999999997E-2</v>
      </c>
    </row>
    <row r="6228" spans="1:3" x14ac:dyDescent="0.45">
      <c r="A6228" s="11">
        <v>78.989999999999995</v>
      </c>
      <c r="B6228" s="14">
        <v>6.1629000000000003E-2</v>
      </c>
      <c r="C6228" s="15">
        <v>3.3230639999999999E-2</v>
      </c>
    </row>
    <row r="6229" spans="1:3" x14ac:dyDescent="0.45">
      <c r="A6229" s="11">
        <v>79</v>
      </c>
      <c r="B6229" s="14">
        <v>6.1689000000000001E-2</v>
      </c>
      <c r="C6229" s="15">
        <v>3.3263000000000001E-2</v>
      </c>
    </row>
    <row r="6230" spans="1:3" x14ac:dyDescent="0.45">
      <c r="A6230" s="11">
        <v>79.010000000000005</v>
      </c>
      <c r="B6230" s="14">
        <v>6.1754820000000002E-2</v>
      </c>
      <c r="C6230" s="15">
        <v>3.329886E-2</v>
      </c>
    </row>
    <row r="6231" spans="1:3" x14ac:dyDescent="0.45">
      <c r="A6231" s="11">
        <v>79.02</v>
      </c>
      <c r="B6231" s="14">
        <v>6.1820640000000003E-2</v>
      </c>
      <c r="C6231" s="15">
        <v>3.3334719999999998E-2</v>
      </c>
    </row>
    <row r="6232" spans="1:3" x14ac:dyDescent="0.45">
      <c r="A6232" s="11">
        <v>79.03</v>
      </c>
      <c r="B6232" s="14">
        <v>6.1886459999999997E-2</v>
      </c>
      <c r="C6232" s="15">
        <v>3.3370579999999997E-2</v>
      </c>
    </row>
    <row r="6233" spans="1:3" x14ac:dyDescent="0.45">
      <c r="A6233" s="11">
        <v>79.040000000000006</v>
      </c>
      <c r="B6233" s="14">
        <v>6.1952279999999998E-2</v>
      </c>
      <c r="C6233" s="15">
        <v>3.3406440000000003E-2</v>
      </c>
    </row>
    <row r="6234" spans="1:3" x14ac:dyDescent="0.45">
      <c r="A6234" s="11">
        <v>79.05</v>
      </c>
      <c r="B6234" s="14">
        <v>6.20181E-2</v>
      </c>
      <c r="C6234" s="15">
        <v>3.3442300000000001E-2</v>
      </c>
    </row>
    <row r="6235" spans="1:3" x14ac:dyDescent="0.45">
      <c r="A6235" s="11">
        <v>79.06</v>
      </c>
      <c r="B6235" s="14">
        <v>6.2083920000000001E-2</v>
      </c>
      <c r="C6235" s="15">
        <v>3.347816E-2</v>
      </c>
    </row>
    <row r="6236" spans="1:3" x14ac:dyDescent="0.45">
      <c r="A6236" s="11">
        <v>79.069999999999993</v>
      </c>
      <c r="B6236" s="14">
        <v>6.2149740000000002E-2</v>
      </c>
      <c r="C6236" s="15">
        <v>3.3514019999999999E-2</v>
      </c>
    </row>
    <row r="6237" spans="1:3" x14ac:dyDescent="0.45">
      <c r="A6237" s="11">
        <v>79.08</v>
      </c>
      <c r="B6237" s="14">
        <v>6.2215560000000003E-2</v>
      </c>
      <c r="C6237" s="15">
        <v>3.3549879999999997E-2</v>
      </c>
    </row>
    <row r="6238" spans="1:3" x14ac:dyDescent="0.45">
      <c r="A6238" s="11">
        <v>79.09</v>
      </c>
      <c r="B6238" s="14">
        <v>6.2281379999999997E-2</v>
      </c>
      <c r="C6238" s="15">
        <v>3.3585740000000003E-2</v>
      </c>
    </row>
    <row r="6239" spans="1:3" x14ac:dyDescent="0.45">
      <c r="A6239" s="11">
        <v>79.099999999999994</v>
      </c>
      <c r="B6239" s="14">
        <v>6.2347199999999998E-2</v>
      </c>
      <c r="C6239" s="15">
        <v>3.3621600000000001E-2</v>
      </c>
    </row>
    <row r="6240" spans="1:3" x14ac:dyDescent="0.45">
      <c r="A6240" s="11">
        <v>79.11</v>
      </c>
      <c r="B6240" s="14">
        <v>6.241302E-2</v>
      </c>
      <c r="C6240" s="15">
        <v>3.365746E-2</v>
      </c>
    </row>
    <row r="6241" spans="1:3" x14ac:dyDescent="0.45">
      <c r="A6241" s="11">
        <v>79.12</v>
      </c>
      <c r="B6241" s="14">
        <v>6.2478840000000001E-2</v>
      </c>
      <c r="C6241" s="15">
        <v>3.3693319999999999E-2</v>
      </c>
    </row>
    <row r="6242" spans="1:3" x14ac:dyDescent="0.45">
      <c r="A6242" s="11">
        <v>79.13</v>
      </c>
      <c r="B6242" s="14">
        <v>6.2544660000000002E-2</v>
      </c>
      <c r="C6242" s="15">
        <v>3.3729179999999997E-2</v>
      </c>
    </row>
    <row r="6243" spans="1:3" x14ac:dyDescent="0.45">
      <c r="A6243" s="11">
        <v>79.14</v>
      </c>
      <c r="B6243" s="14">
        <v>6.2610479999999996E-2</v>
      </c>
      <c r="C6243" s="15">
        <v>3.3765040000000003E-2</v>
      </c>
    </row>
    <row r="6244" spans="1:3" x14ac:dyDescent="0.45">
      <c r="A6244" s="11">
        <v>79.150000000000006</v>
      </c>
      <c r="B6244" s="14">
        <v>6.2676300000000004E-2</v>
      </c>
      <c r="C6244" s="15">
        <v>3.3800900000000002E-2</v>
      </c>
    </row>
    <row r="6245" spans="1:3" x14ac:dyDescent="0.45">
      <c r="A6245" s="11">
        <v>79.16</v>
      </c>
      <c r="B6245" s="14">
        <v>6.2742119999999998E-2</v>
      </c>
      <c r="C6245" s="15">
        <v>3.383676E-2</v>
      </c>
    </row>
    <row r="6246" spans="1:3" x14ac:dyDescent="0.45">
      <c r="A6246" s="11">
        <v>79.17</v>
      </c>
      <c r="B6246" s="14">
        <v>6.2807940000000007E-2</v>
      </c>
      <c r="C6246" s="15">
        <v>3.3872619999999999E-2</v>
      </c>
    </row>
    <row r="6247" spans="1:3" x14ac:dyDescent="0.45">
      <c r="A6247" s="11">
        <v>79.180000000000007</v>
      </c>
      <c r="B6247" s="14">
        <v>6.2873760000000001E-2</v>
      </c>
      <c r="C6247" s="15">
        <v>3.3908479999999998E-2</v>
      </c>
    </row>
    <row r="6248" spans="1:3" x14ac:dyDescent="0.45">
      <c r="A6248" s="11">
        <v>79.19</v>
      </c>
      <c r="B6248" s="14">
        <v>6.2939579999999995E-2</v>
      </c>
      <c r="C6248" s="15">
        <v>3.3944340000000003E-2</v>
      </c>
    </row>
    <row r="6249" spans="1:3" x14ac:dyDescent="0.45">
      <c r="A6249" s="11">
        <v>79.2</v>
      </c>
      <c r="B6249" s="14">
        <v>6.3005400000000003E-2</v>
      </c>
      <c r="C6249" s="15">
        <v>3.3980200000000002E-2</v>
      </c>
    </row>
    <row r="6250" spans="1:3" x14ac:dyDescent="0.45">
      <c r="A6250" s="11">
        <v>79.209999999999994</v>
      </c>
      <c r="B6250" s="14">
        <v>6.3071219999999997E-2</v>
      </c>
      <c r="C6250" s="15">
        <v>3.4016060000000001E-2</v>
      </c>
    </row>
    <row r="6251" spans="1:3" x14ac:dyDescent="0.45">
      <c r="A6251" s="11">
        <v>79.22</v>
      </c>
      <c r="B6251" s="14">
        <v>6.3137040000000005E-2</v>
      </c>
      <c r="C6251" s="15">
        <v>3.4051919999999999E-2</v>
      </c>
    </row>
    <row r="6252" spans="1:3" x14ac:dyDescent="0.45">
      <c r="A6252" s="11">
        <v>79.23</v>
      </c>
      <c r="B6252" s="14">
        <v>6.320286E-2</v>
      </c>
      <c r="C6252" s="15">
        <v>3.4087779999999998E-2</v>
      </c>
    </row>
    <row r="6253" spans="1:3" x14ac:dyDescent="0.45">
      <c r="A6253" s="11">
        <v>79.239999999999995</v>
      </c>
      <c r="B6253" s="14">
        <v>6.3268679999999994E-2</v>
      </c>
      <c r="C6253" s="15">
        <v>3.4123639999999997E-2</v>
      </c>
    </row>
    <row r="6254" spans="1:3" x14ac:dyDescent="0.45">
      <c r="A6254" s="11">
        <v>79.25</v>
      </c>
      <c r="B6254" s="14">
        <v>6.3334500000000002E-2</v>
      </c>
      <c r="C6254" s="15">
        <v>3.4159500000000002E-2</v>
      </c>
    </row>
    <row r="6255" spans="1:3" x14ac:dyDescent="0.45">
      <c r="A6255" s="11">
        <v>79.260000000000005</v>
      </c>
      <c r="B6255" s="14">
        <v>6.3400319999999996E-2</v>
      </c>
      <c r="C6255" s="15">
        <v>3.4195360000000001E-2</v>
      </c>
    </row>
    <row r="6256" spans="1:3" x14ac:dyDescent="0.45">
      <c r="A6256" s="11">
        <v>79.27</v>
      </c>
      <c r="B6256" s="14">
        <v>6.3466140000000004E-2</v>
      </c>
      <c r="C6256" s="15">
        <v>3.423122E-2</v>
      </c>
    </row>
    <row r="6257" spans="1:3" x14ac:dyDescent="0.45">
      <c r="A6257" s="11">
        <v>79.28</v>
      </c>
      <c r="B6257" s="14">
        <v>6.3531959999999998E-2</v>
      </c>
      <c r="C6257" s="15">
        <v>3.4267079999999998E-2</v>
      </c>
    </row>
    <row r="6258" spans="1:3" x14ac:dyDescent="0.45">
      <c r="A6258" s="11">
        <v>79.290000000000006</v>
      </c>
      <c r="B6258" s="14">
        <v>6.3597780000000007E-2</v>
      </c>
      <c r="C6258" s="15">
        <v>3.4302939999999997E-2</v>
      </c>
    </row>
    <row r="6259" spans="1:3" x14ac:dyDescent="0.45">
      <c r="A6259" s="11">
        <v>79.3</v>
      </c>
      <c r="B6259" s="14">
        <v>6.3663600000000001E-2</v>
      </c>
      <c r="C6259" s="15">
        <v>3.4338800000000003E-2</v>
      </c>
    </row>
    <row r="6260" spans="1:3" x14ac:dyDescent="0.45">
      <c r="A6260" s="11">
        <v>79.31</v>
      </c>
      <c r="B6260" s="14">
        <v>6.3729419999999995E-2</v>
      </c>
      <c r="C6260" s="15">
        <v>3.4374660000000001E-2</v>
      </c>
    </row>
    <row r="6261" spans="1:3" x14ac:dyDescent="0.45">
      <c r="A6261" s="11">
        <v>79.319999999999993</v>
      </c>
      <c r="B6261" s="14">
        <v>6.3795240000000003E-2</v>
      </c>
      <c r="C6261" s="15">
        <v>3.441052E-2</v>
      </c>
    </row>
    <row r="6262" spans="1:3" x14ac:dyDescent="0.45">
      <c r="A6262" s="11">
        <v>79.33</v>
      </c>
      <c r="B6262" s="14">
        <v>6.3861059999999997E-2</v>
      </c>
      <c r="C6262" s="15">
        <v>3.4446379999999999E-2</v>
      </c>
    </row>
    <row r="6263" spans="1:3" x14ac:dyDescent="0.45">
      <c r="A6263" s="11">
        <v>79.34</v>
      </c>
      <c r="B6263" s="14">
        <v>6.3926880000000005E-2</v>
      </c>
      <c r="C6263" s="15">
        <v>3.4482239999999997E-2</v>
      </c>
    </row>
    <row r="6264" spans="1:3" x14ac:dyDescent="0.45">
      <c r="A6264" s="11">
        <v>79.349999999999994</v>
      </c>
      <c r="B6264" s="14">
        <v>6.39927E-2</v>
      </c>
      <c r="C6264" s="15">
        <v>3.4518100000000003E-2</v>
      </c>
    </row>
    <row r="6265" spans="1:3" x14ac:dyDescent="0.45">
      <c r="A6265" s="11">
        <v>79.36</v>
      </c>
      <c r="B6265" s="14">
        <v>6.4058519999999994E-2</v>
      </c>
      <c r="C6265" s="15">
        <v>3.4553960000000002E-2</v>
      </c>
    </row>
    <row r="6266" spans="1:3" x14ac:dyDescent="0.45">
      <c r="A6266" s="11">
        <v>79.37</v>
      </c>
      <c r="B6266" s="14">
        <v>6.4124340000000002E-2</v>
      </c>
      <c r="C6266" s="15">
        <v>3.458982E-2</v>
      </c>
    </row>
    <row r="6267" spans="1:3" x14ac:dyDescent="0.45">
      <c r="A6267" s="11">
        <v>79.38</v>
      </c>
      <c r="B6267" s="14">
        <v>6.4190159999999996E-2</v>
      </c>
      <c r="C6267" s="15">
        <v>3.4625679999999999E-2</v>
      </c>
    </row>
    <row r="6268" spans="1:3" x14ac:dyDescent="0.45">
      <c r="A6268" s="11">
        <v>79.39</v>
      </c>
      <c r="B6268" s="14">
        <v>6.4255980000000004E-2</v>
      </c>
      <c r="C6268" s="15">
        <v>3.4661539999999998E-2</v>
      </c>
    </row>
    <row r="6269" spans="1:3" x14ac:dyDescent="0.45">
      <c r="A6269" s="11">
        <v>79.400000000000006</v>
      </c>
      <c r="B6269" s="14">
        <v>6.4321799999999998E-2</v>
      </c>
      <c r="C6269" s="15">
        <v>3.4697400000000003E-2</v>
      </c>
    </row>
    <row r="6270" spans="1:3" x14ac:dyDescent="0.45">
      <c r="A6270" s="11">
        <v>79.41</v>
      </c>
      <c r="B6270" s="14">
        <v>6.4387620000000007E-2</v>
      </c>
      <c r="C6270" s="15">
        <v>3.4733260000000002E-2</v>
      </c>
    </row>
    <row r="6271" spans="1:3" x14ac:dyDescent="0.45">
      <c r="A6271" s="11">
        <v>79.42</v>
      </c>
      <c r="B6271" s="14">
        <v>6.4453440000000001E-2</v>
      </c>
      <c r="C6271" s="15">
        <v>3.4769120000000001E-2</v>
      </c>
    </row>
    <row r="6272" spans="1:3" x14ac:dyDescent="0.45">
      <c r="A6272" s="11">
        <v>79.430000000000007</v>
      </c>
      <c r="B6272" s="14">
        <v>6.4519259999999995E-2</v>
      </c>
      <c r="C6272" s="15">
        <v>3.4804979999999999E-2</v>
      </c>
    </row>
    <row r="6273" spans="1:3" x14ac:dyDescent="0.45">
      <c r="A6273" s="11">
        <v>79.44</v>
      </c>
      <c r="B6273" s="14">
        <v>6.4585080000000003E-2</v>
      </c>
      <c r="C6273" s="15">
        <v>3.4840839999999998E-2</v>
      </c>
    </row>
    <row r="6274" spans="1:3" x14ac:dyDescent="0.45">
      <c r="A6274" s="11">
        <v>79.45</v>
      </c>
      <c r="B6274" s="14">
        <v>6.4650899999999997E-2</v>
      </c>
      <c r="C6274" s="15">
        <v>3.4876699999999997E-2</v>
      </c>
    </row>
    <row r="6275" spans="1:3" x14ac:dyDescent="0.45">
      <c r="A6275" s="11">
        <v>79.459999999999994</v>
      </c>
      <c r="B6275" s="14">
        <v>6.4716720000000005E-2</v>
      </c>
      <c r="C6275" s="15">
        <v>3.4912560000000002E-2</v>
      </c>
    </row>
    <row r="6276" spans="1:3" x14ac:dyDescent="0.45">
      <c r="A6276" s="11">
        <v>79.47</v>
      </c>
      <c r="B6276" s="14">
        <v>6.478254E-2</v>
      </c>
      <c r="C6276" s="15">
        <v>3.4948420000000001E-2</v>
      </c>
    </row>
    <row r="6277" spans="1:3" x14ac:dyDescent="0.45">
      <c r="A6277" s="11">
        <v>79.48</v>
      </c>
      <c r="B6277" s="14">
        <v>6.4848359999999994E-2</v>
      </c>
      <c r="C6277" s="15">
        <v>3.498428E-2</v>
      </c>
    </row>
    <row r="6278" spans="1:3" x14ac:dyDescent="0.45">
      <c r="A6278" s="11">
        <v>79.489999999999995</v>
      </c>
      <c r="B6278" s="14">
        <v>6.4914180000000002E-2</v>
      </c>
      <c r="C6278" s="15">
        <v>3.5020139999999998E-2</v>
      </c>
    </row>
    <row r="6279" spans="1:3" x14ac:dyDescent="0.45">
      <c r="A6279" s="11">
        <v>79.5</v>
      </c>
      <c r="B6279" s="14">
        <v>6.4979999999999996E-2</v>
      </c>
      <c r="C6279" s="15">
        <v>3.5055999999999997E-2</v>
      </c>
    </row>
    <row r="6280" spans="1:3" x14ac:dyDescent="0.45">
      <c r="A6280" s="11">
        <v>79.510000000000005</v>
      </c>
      <c r="B6280" s="14">
        <v>6.5045820000000004E-2</v>
      </c>
      <c r="C6280" s="15">
        <v>3.5091860000000002E-2</v>
      </c>
    </row>
    <row r="6281" spans="1:3" x14ac:dyDescent="0.45">
      <c r="A6281" s="11">
        <v>79.52</v>
      </c>
      <c r="B6281" s="14">
        <v>6.5111639999999998E-2</v>
      </c>
      <c r="C6281" s="15">
        <v>3.5127720000000001E-2</v>
      </c>
    </row>
    <row r="6282" spans="1:3" x14ac:dyDescent="0.45">
      <c r="A6282" s="11">
        <v>79.53</v>
      </c>
      <c r="B6282" s="14">
        <v>6.5177460000000007E-2</v>
      </c>
      <c r="C6282" s="15">
        <v>3.516358E-2</v>
      </c>
    </row>
    <row r="6283" spans="1:3" x14ac:dyDescent="0.45">
      <c r="A6283" s="11">
        <v>79.540000000000006</v>
      </c>
      <c r="B6283" s="14">
        <v>6.5243280000000001E-2</v>
      </c>
      <c r="C6283" s="15">
        <v>3.5199439999999999E-2</v>
      </c>
    </row>
    <row r="6284" spans="1:3" x14ac:dyDescent="0.45">
      <c r="A6284" s="11">
        <v>79.55</v>
      </c>
      <c r="B6284" s="14">
        <v>6.5309099999999995E-2</v>
      </c>
      <c r="C6284" s="15">
        <v>3.5235299999999997E-2</v>
      </c>
    </row>
    <row r="6285" spans="1:3" x14ac:dyDescent="0.45">
      <c r="A6285" s="11">
        <v>79.56</v>
      </c>
      <c r="B6285" s="14">
        <v>6.5374920000000003E-2</v>
      </c>
      <c r="C6285" s="15">
        <v>3.5271160000000003E-2</v>
      </c>
    </row>
    <row r="6286" spans="1:3" x14ac:dyDescent="0.45">
      <c r="A6286" s="11">
        <v>79.569999999999993</v>
      </c>
      <c r="B6286" s="14">
        <v>6.5440739999999997E-2</v>
      </c>
      <c r="C6286" s="15">
        <v>3.5307020000000001E-2</v>
      </c>
    </row>
    <row r="6287" spans="1:3" x14ac:dyDescent="0.45">
      <c r="A6287" s="11">
        <v>79.58</v>
      </c>
      <c r="B6287" s="14">
        <v>6.5506560000000005E-2</v>
      </c>
      <c r="C6287" s="15">
        <v>3.534288E-2</v>
      </c>
    </row>
    <row r="6288" spans="1:3" x14ac:dyDescent="0.45">
      <c r="A6288" s="11">
        <v>79.59</v>
      </c>
      <c r="B6288" s="14">
        <v>6.557238E-2</v>
      </c>
      <c r="C6288" s="15">
        <v>3.5378739999999999E-2</v>
      </c>
    </row>
    <row r="6289" spans="1:3" x14ac:dyDescent="0.45">
      <c r="A6289" s="11">
        <v>79.599999999999994</v>
      </c>
      <c r="B6289" s="14">
        <v>6.5638199999999994E-2</v>
      </c>
      <c r="C6289" s="15">
        <v>3.5414599999999997E-2</v>
      </c>
    </row>
    <row r="6290" spans="1:3" x14ac:dyDescent="0.45">
      <c r="A6290" s="11">
        <v>79.61</v>
      </c>
      <c r="B6290" s="14">
        <v>6.5704020000000002E-2</v>
      </c>
      <c r="C6290" s="15">
        <v>3.5450460000000003E-2</v>
      </c>
    </row>
    <row r="6291" spans="1:3" x14ac:dyDescent="0.45">
      <c r="A6291" s="11">
        <v>79.62</v>
      </c>
      <c r="B6291" s="14">
        <v>6.5769839999999996E-2</v>
      </c>
      <c r="C6291" s="15">
        <v>3.5486320000000002E-2</v>
      </c>
    </row>
    <row r="6292" spans="1:3" x14ac:dyDescent="0.45">
      <c r="A6292" s="11">
        <v>79.63</v>
      </c>
      <c r="B6292" s="14">
        <v>6.5835660000000004E-2</v>
      </c>
      <c r="C6292" s="15">
        <v>3.552218E-2</v>
      </c>
    </row>
    <row r="6293" spans="1:3" x14ac:dyDescent="0.45">
      <c r="A6293" s="11">
        <v>79.64</v>
      </c>
      <c r="B6293" s="14">
        <v>6.5901479999999998E-2</v>
      </c>
      <c r="C6293" s="15">
        <v>3.5558039999999999E-2</v>
      </c>
    </row>
    <row r="6294" spans="1:3" x14ac:dyDescent="0.45">
      <c r="A6294" s="11">
        <v>79.650000000000006</v>
      </c>
      <c r="B6294" s="14">
        <v>6.5967300000000006E-2</v>
      </c>
      <c r="C6294" s="15">
        <v>3.5593899999999998E-2</v>
      </c>
    </row>
    <row r="6295" spans="1:3" x14ac:dyDescent="0.45">
      <c r="A6295" s="11">
        <v>79.66</v>
      </c>
      <c r="B6295" s="14">
        <v>6.6033120000000001E-2</v>
      </c>
      <c r="C6295" s="15">
        <v>3.5629760000000003E-2</v>
      </c>
    </row>
    <row r="6296" spans="1:3" x14ac:dyDescent="0.45">
      <c r="A6296" s="11">
        <v>79.67</v>
      </c>
      <c r="B6296" s="14">
        <v>6.6098939999999995E-2</v>
      </c>
      <c r="C6296" s="15">
        <v>3.5665620000000002E-2</v>
      </c>
    </row>
    <row r="6297" spans="1:3" x14ac:dyDescent="0.45">
      <c r="A6297" s="11">
        <v>79.680000000000007</v>
      </c>
      <c r="B6297" s="14">
        <v>6.6164760000000003E-2</v>
      </c>
      <c r="C6297" s="15">
        <v>3.5701480000000001E-2</v>
      </c>
    </row>
    <row r="6298" spans="1:3" x14ac:dyDescent="0.45">
      <c r="A6298" s="11">
        <v>79.69</v>
      </c>
      <c r="B6298" s="14">
        <v>6.6230579999999997E-2</v>
      </c>
      <c r="C6298" s="15">
        <v>3.5737339999999999E-2</v>
      </c>
    </row>
    <row r="6299" spans="1:3" x14ac:dyDescent="0.45">
      <c r="A6299" s="11">
        <v>79.7</v>
      </c>
      <c r="B6299" s="14">
        <v>6.6296400000000005E-2</v>
      </c>
      <c r="C6299" s="15">
        <v>3.5773199999999998E-2</v>
      </c>
    </row>
    <row r="6300" spans="1:3" x14ac:dyDescent="0.45">
      <c r="A6300" s="11">
        <v>79.709999999999994</v>
      </c>
      <c r="B6300" s="14">
        <v>6.636222E-2</v>
      </c>
      <c r="C6300" s="15">
        <v>3.5809059999999997E-2</v>
      </c>
    </row>
    <row r="6301" spans="1:3" x14ac:dyDescent="0.45">
      <c r="A6301" s="11">
        <v>79.72</v>
      </c>
      <c r="B6301" s="14">
        <v>6.6428039999999994E-2</v>
      </c>
      <c r="C6301" s="15">
        <v>3.5844920000000002E-2</v>
      </c>
    </row>
    <row r="6302" spans="1:3" x14ac:dyDescent="0.45">
      <c r="A6302" s="11">
        <v>79.73</v>
      </c>
      <c r="B6302" s="14">
        <v>6.6493860000000002E-2</v>
      </c>
      <c r="C6302" s="15">
        <v>3.5880780000000001E-2</v>
      </c>
    </row>
    <row r="6303" spans="1:3" x14ac:dyDescent="0.45">
      <c r="A6303" s="11">
        <v>79.739999999999995</v>
      </c>
      <c r="B6303" s="14">
        <v>6.6559679999999996E-2</v>
      </c>
      <c r="C6303" s="15">
        <v>3.591664E-2</v>
      </c>
    </row>
    <row r="6304" spans="1:3" x14ac:dyDescent="0.45">
      <c r="A6304" s="11">
        <v>79.75</v>
      </c>
      <c r="B6304" s="14">
        <v>6.6625500000000004E-2</v>
      </c>
      <c r="C6304" s="15">
        <v>3.5952499999999998E-2</v>
      </c>
    </row>
    <row r="6305" spans="1:3" x14ac:dyDescent="0.45">
      <c r="A6305" s="11">
        <v>79.760000000000005</v>
      </c>
      <c r="B6305" s="14">
        <v>6.6691319999999998E-2</v>
      </c>
      <c r="C6305" s="15">
        <v>3.5988359999999997E-2</v>
      </c>
    </row>
    <row r="6306" spans="1:3" x14ac:dyDescent="0.45">
      <c r="A6306" s="11">
        <v>79.77</v>
      </c>
      <c r="B6306" s="14">
        <v>6.6757140000000006E-2</v>
      </c>
      <c r="C6306" s="15">
        <v>3.6024220000000003E-2</v>
      </c>
    </row>
    <row r="6307" spans="1:3" x14ac:dyDescent="0.45">
      <c r="A6307" s="11">
        <v>79.78</v>
      </c>
      <c r="B6307" s="14">
        <v>6.6822960000000001E-2</v>
      </c>
      <c r="C6307" s="15">
        <v>3.6060080000000001E-2</v>
      </c>
    </row>
    <row r="6308" spans="1:3" x14ac:dyDescent="0.45">
      <c r="A6308" s="11">
        <v>79.790000000000006</v>
      </c>
      <c r="B6308" s="14">
        <v>6.6888779999999995E-2</v>
      </c>
      <c r="C6308" s="15">
        <v>3.609594E-2</v>
      </c>
    </row>
    <row r="6309" spans="1:3" x14ac:dyDescent="0.45">
      <c r="A6309" s="11">
        <v>79.8</v>
      </c>
      <c r="B6309" s="14">
        <v>6.6954600000000003E-2</v>
      </c>
      <c r="C6309" s="15">
        <v>3.6131799999999999E-2</v>
      </c>
    </row>
    <row r="6310" spans="1:3" x14ac:dyDescent="0.45">
      <c r="A6310" s="11">
        <v>79.81</v>
      </c>
      <c r="B6310" s="14">
        <v>6.7020419999999997E-2</v>
      </c>
      <c r="C6310" s="15">
        <v>3.6167659999999997E-2</v>
      </c>
    </row>
    <row r="6311" spans="1:3" x14ac:dyDescent="0.45">
      <c r="A6311" s="11">
        <v>79.819999999999993</v>
      </c>
      <c r="B6311" s="14">
        <v>6.7086240000000005E-2</v>
      </c>
      <c r="C6311" s="15">
        <v>3.6203520000000003E-2</v>
      </c>
    </row>
    <row r="6312" spans="1:3" x14ac:dyDescent="0.45">
      <c r="A6312" s="11">
        <v>79.83</v>
      </c>
      <c r="B6312" s="14">
        <v>6.715206E-2</v>
      </c>
      <c r="C6312" s="15">
        <v>3.6239380000000002E-2</v>
      </c>
    </row>
    <row r="6313" spans="1:3" x14ac:dyDescent="0.45">
      <c r="A6313" s="11">
        <v>79.84</v>
      </c>
      <c r="B6313" s="14">
        <v>6.7217879999999994E-2</v>
      </c>
      <c r="C6313" s="15">
        <v>3.627524E-2</v>
      </c>
    </row>
    <row r="6314" spans="1:3" x14ac:dyDescent="0.45">
      <c r="A6314" s="11">
        <v>79.849999999999994</v>
      </c>
      <c r="B6314" s="14">
        <v>6.7283700000000002E-2</v>
      </c>
      <c r="C6314" s="15">
        <v>3.6311099999999999E-2</v>
      </c>
    </row>
    <row r="6315" spans="1:3" x14ac:dyDescent="0.45">
      <c r="A6315" s="11">
        <v>79.86</v>
      </c>
      <c r="B6315" s="14">
        <v>6.7349519999999996E-2</v>
      </c>
      <c r="C6315" s="15">
        <v>3.6346959999999998E-2</v>
      </c>
    </row>
    <row r="6316" spans="1:3" x14ac:dyDescent="0.45">
      <c r="A6316" s="11">
        <v>79.87</v>
      </c>
      <c r="B6316" s="14">
        <v>6.7415340000000004E-2</v>
      </c>
      <c r="C6316" s="15">
        <v>3.6382820000000003E-2</v>
      </c>
    </row>
    <row r="6317" spans="1:3" x14ac:dyDescent="0.45">
      <c r="A6317" s="11">
        <v>79.88</v>
      </c>
      <c r="B6317" s="14">
        <v>6.7481159999999998E-2</v>
      </c>
      <c r="C6317" s="15">
        <v>3.6418680000000002E-2</v>
      </c>
    </row>
    <row r="6318" spans="1:3" x14ac:dyDescent="0.45">
      <c r="A6318" s="11">
        <v>79.89</v>
      </c>
      <c r="B6318" s="14">
        <v>6.7546980000000006E-2</v>
      </c>
      <c r="C6318" s="15">
        <v>3.6454540000000001E-2</v>
      </c>
    </row>
    <row r="6319" spans="1:3" x14ac:dyDescent="0.45">
      <c r="A6319" s="11">
        <v>79.900000000000006</v>
      </c>
      <c r="B6319" s="14">
        <v>6.7612800000000001E-2</v>
      </c>
      <c r="C6319" s="15">
        <v>3.6490399999999999E-2</v>
      </c>
    </row>
    <row r="6320" spans="1:3" x14ac:dyDescent="0.45">
      <c r="A6320" s="11">
        <v>79.91</v>
      </c>
      <c r="B6320" s="14">
        <v>6.7678619999999995E-2</v>
      </c>
      <c r="C6320" s="15">
        <v>3.6526259999999998E-2</v>
      </c>
    </row>
    <row r="6321" spans="1:3" x14ac:dyDescent="0.45">
      <c r="A6321" s="11">
        <v>79.92</v>
      </c>
      <c r="B6321" s="14">
        <v>6.7744440000000003E-2</v>
      </c>
      <c r="C6321" s="15">
        <v>3.6562119999999997E-2</v>
      </c>
    </row>
    <row r="6322" spans="1:3" x14ac:dyDescent="0.45">
      <c r="A6322" s="11">
        <v>79.930000000000007</v>
      </c>
      <c r="B6322" s="14">
        <v>6.7810259999999997E-2</v>
      </c>
      <c r="C6322" s="15">
        <v>3.6597980000000002E-2</v>
      </c>
    </row>
    <row r="6323" spans="1:3" x14ac:dyDescent="0.45">
      <c r="A6323" s="11">
        <v>79.94</v>
      </c>
      <c r="B6323" s="14">
        <v>6.7876080000000005E-2</v>
      </c>
      <c r="C6323" s="15">
        <v>3.6633840000000001E-2</v>
      </c>
    </row>
    <row r="6324" spans="1:3" x14ac:dyDescent="0.45">
      <c r="A6324" s="11">
        <v>79.95</v>
      </c>
      <c r="B6324" s="14">
        <v>6.79419E-2</v>
      </c>
      <c r="C6324" s="15">
        <v>3.66697E-2</v>
      </c>
    </row>
    <row r="6325" spans="1:3" x14ac:dyDescent="0.45">
      <c r="A6325" s="11">
        <v>79.959999999999994</v>
      </c>
      <c r="B6325" s="14">
        <v>6.8007719999999994E-2</v>
      </c>
      <c r="C6325" s="15">
        <v>3.6705559999999998E-2</v>
      </c>
    </row>
    <row r="6326" spans="1:3" x14ac:dyDescent="0.45">
      <c r="A6326" s="11">
        <v>79.97</v>
      </c>
      <c r="B6326" s="14">
        <v>6.8073540000000002E-2</v>
      </c>
      <c r="C6326" s="15">
        <v>3.6741419999999997E-2</v>
      </c>
    </row>
    <row r="6327" spans="1:3" x14ac:dyDescent="0.45">
      <c r="A6327" s="11">
        <v>79.98</v>
      </c>
      <c r="B6327" s="14">
        <v>6.8139359999999996E-2</v>
      </c>
      <c r="C6327" s="15">
        <v>3.6777280000000002E-2</v>
      </c>
    </row>
    <row r="6328" spans="1:3" x14ac:dyDescent="0.45">
      <c r="A6328" s="11">
        <v>79.989999999999995</v>
      </c>
      <c r="B6328" s="14">
        <v>6.8205180000000004E-2</v>
      </c>
      <c r="C6328" s="15">
        <v>3.6813140000000001E-2</v>
      </c>
    </row>
    <row r="6329" spans="1:3" x14ac:dyDescent="0.45">
      <c r="A6329" s="11">
        <v>80</v>
      </c>
      <c r="B6329" s="14">
        <v>6.8270999999999998E-2</v>
      </c>
      <c r="C6329" s="15">
        <v>3.6849E-2</v>
      </c>
    </row>
    <row r="6330" spans="1:3" x14ac:dyDescent="0.45">
      <c r="A6330" s="11">
        <v>80.010000000000005</v>
      </c>
      <c r="B6330" s="14">
        <v>6.8343100000000004E-2</v>
      </c>
      <c r="C6330" s="15">
        <v>3.6888740000000003E-2</v>
      </c>
    </row>
    <row r="6331" spans="1:3" x14ac:dyDescent="0.45">
      <c r="A6331" s="11">
        <v>80.02</v>
      </c>
      <c r="B6331" s="14">
        <v>6.8415199999999995E-2</v>
      </c>
      <c r="C6331" s="15">
        <v>3.692848E-2</v>
      </c>
    </row>
    <row r="6332" spans="1:3" x14ac:dyDescent="0.45">
      <c r="A6332" s="11">
        <v>80.03</v>
      </c>
      <c r="B6332" s="14">
        <v>6.8487300000000001E-2</v>
      </c>
      <c r="C6332" s="15">
        <v>3.6968220000000003E-2</v>
      </c>
    </row>
    <row r="6333" spans="1:3" x14ac:dyDescent="0.45">
      <c r="A6333" s="11">
        <v>80.040000000000006</v>
      </c>
      <c r="B6333" s="14">
        <v>6.8559400000000006E-2</v>
      </c>
      <c r="C6333" s="15">
        <v>3.7007959999999999E-2</v>
      </c>
    </row>
    <row r="6334" spans="1:3" x14ac:dyDescent="0.45">
      <c r="A6334" s="11">
        <v>80.05</v>
      </c>
      <c r="B6334" s="14">
        <v>6.8631499999999998E-2</v>
      </c>
      <c r="C6334" s="15">
        <v>3.7047700000000003E-2</v>
      </c>
    </row>
    <row r="6335" spans="1:3" x14ac:dyDescent="0.45">
      <c r="A6335" s="11">
        <v>80.06</v>
      </c>
      <c r="B6335" s="14">
        <v>6.8703600000000004E-2</v>
      </c>
      <c r="C6335" s="15">
        <v>3.7087439999999999E-2</v>
      </c>
    </row>
    <row r="6336" spans="1:3" x14ac:dyDescent="0.45">
      <c r="A6336" s="11">
        <v>80.069999999999993</v>
      </c>
      <c r="B6336" s="14">
        <v>6.8775699999999995E-2</v>
      </c>
      <c r="C6336" s="15">
        <v>3.7127180000000003E-2</v>
      </c>
    </row>
    <row r="6337" spans="1:3" x14ac:dyDescent="0.45">
      <c r="A6337" s="11">
        <v>80.08</v>
      </c>
      <c r="B6337" s="14">
        <v>6.8847800000000001E-2</v>
      </c>
      <c r="C6337" s="15">
        <v>3.7166919999999999E-2</v>
      </c>
    </row>
    <row r="6338" spans="1:3" x14ac:dyDescent="0.45">
      <c r="A6338" s="11">
        <v>80.09</v>
      </c>
      <c r="B6338" s="14">
        <v>6.8919900000000006E-2</v>
      </c>
      <c r="C6338" s="15">
        <v>3.7206660000000003E-2</v>
      </c>
    </row>
    <row r="6339" spans="1:3" x14ac:dyDescent="0.45">
      <c r="A6339" s="11">
        <v>80.099999999999994</v>
      </c>
      <c r="B6339" s="14">
        <v>6.8991999999999998E-2</v>
      </c>
      <c r="C6339" s="15">
        <v>3.7246399999999999E-2</v>
      </c>
    </row>
    <row r="6340" spans="1:3" x14ac:dyDescent="0.45">
      <c r="A6340" s="11">
        <v>80.11</v>
      </c>
      <c r="B6340" s="14">
        <v>6.9064100000000003E-2</v>
      </c>
      <c r="C6340" s="15">
        <v>3.7286140000000002E-2</v>
      </c>
    </row>
    <row r="6341" spans="1:3" x14ac:dyDescent="0.45">
      <c r="A6341" s="11">
        <v>80.12</v>
      </c>
      <c r="B6341" s="14">
        <v>6.9136199999999995E-2</v>
      </c>
      <c r="C6341" s="15">
        <v>3.7325879999999999E-2</v>
      </c>
    </row>
    <row r="6342" spans="1:3" x14ac:dyDescent="0.45">
      <c r="A6342" s="11">
        <v>80.13</v>
      </c>
      <c r="B6342" s="14">
        <v>6.92083E-2</v>
      </c>
      <c r="C6342" s="15">
        <v>3.7365620000000002E-2</v>
      </c>
    </row>
    <row r="6343" spans="1:3" x14ac:dyDescent="0.45">
      <c r="A6343" s="11">
        <v>80.14</v>
      </c>
      <c r="B6343" s="14">
        <v>6.9280400000000006E-2</v>
      </c>
      <c r="C6343" s="15">
        <v>3.7405359999999999E-2</v>
      </c>
    </row>
    <row r="6344" spans="1:3" x14ac:dyDescent="0.45">
      <c r="A6344" s="11">
        <v>80.150000000000006</v>
      </c>
      <c r="B6344" s="14">
        <v>6.9352499999999997E-2</v>
      </c>
      <c r="C6344" s="15">
        <v>3.7445100000000002E-2</v>
      </c>
    </row>
    <row r="6345" spans="1:3" x14ac:dyDescent="0.45">
      <c r="A6345" s="11">
        <v>80.16</v>
      </c>
      <c r="B6345" s="14">
        <v>6.9424600000000003E-2</v>
      </c>
      <c r="C6345" s="15">
        <v>3.7484839999999998E-2</v>
      </c>
    </row>
    <row r="6346" spans="1:3" x14ac:dyDescent="0.45">
      <c r="A6346" s="11">
        <v>80.17</v>
      </c>
      <c r="B6346" s="14">
        <v>6.9496699999999995E-2</v>
      </c>
      <c r="C6346" s="15">
        <v>3.7524580000000002E-2</v>
      </c>
    </row>
    <row r="6347" spans="1:3" x14ac:dyDescent="0.45">
      <c r="A6347" s="11">
        <v>80.180000000000007</v>
      </c>
      <c r="B6347" s="14">
        <v>6.95688E-2</v>
      </c>
      <c r="C6347" s="15">
        <v>3.7564319999999998E-2</v>
      </c>
    </row>
    <row r="6348" spans="1:3" x14ac:dyDescent="0.45">
      <c r="A6348" s="11">
        <v>80.19</v>
      </c>
      <c r="B6348" s="14">
        <v>6.9640900000000006E-2</v>
      </c>
      <c r="C6348" s="15">
        <v>3.7604060000000002E-2</v>
      </c>
    </row>
    <row r="6349" spans="1:3" x14ac:dyDescent="0.45">
      <c r="A6349" s="11">
        <v>80.2</v>
      </c>
      <c r="B6349" s="14">
        <v>6.9712999999999997E-2</v>
      </c>
      <c r="C6349" s="15">
        <v>3.7643799999999998E-2</v>
      </c>
    </row>
    <row r="6350" spans="1:3" x14ac:dyDescent="0.45">
      <c r="A6350" s="11">
        <v>80.209999999999994</v>
      </c>
      <c r="B6350" s="14">
        <v>6.9785100000000003E-2</v>
      </c>
      <c r="C6350" s="15">
        <v>3.7683540000000001E-2</v>
      </c>
    </row>
    <row r="6351" spans="1:3" x14ac:dyDescent="0.45">
      <c r="A6351" s="11">
        <v>80.22</v>
      </c>
      <c r="B6351" s="14">
        <v>6.9857199999999994E-2</v>
      </c>
      <c r="C6351" s="15">
        <v>3.7723279999999998E-2</v>
      </c>
    </row>
    <row r="6352" spans="1:3" x14ac:dyDescent="0.45">
      <c r="A6352" s="11">
        <v>80.23</v>
      </c>
      <c r="B6352" s="14">
        <v>6.99293E-2</v>
      </c>
      <c r="C6352" s="15">
        <v>3.7763020000000001E-2</v>
      </c>
    </row>
    <row r="6353" spans="1:3" x14ac:dyDescent="0.45">
      <c r="A6353" s="11">
        <v>80.239999999999995</v>
      </c>
      <c r="B6353" s="14">
        <v>7.0001400000000005E-2</v>
      </c>
      <c r="C6353" s="15">
        <v>3.7802759999999998E-2</v>
      </c>
    </row>
    <row r="6354" spans="1:3" x14ac:dyDescent="0.45">
      <c r="A6354" s="11">
        <v>80.25</v>
      </c>
      <c r="B6354" s="14">
        <v>7.0073499999999997E-2</v>
      </c>
      <c r="C6354" s="15">
        <v>3.7842500000000001E-2</v>
      </c>
    </row>
    <row r="6355" spans="1:3" x14ac:dyDescent="0.45">
      <c r="A6355" s="11">
        <v>80.260000000000005</v>
      </c>
      <c r="B6355" s="14">
        <v>7.0145600000000002E-2</v>
      </c>
      <c r="C6355" s="15">
        <v>3.7882239999999998E-2</v>
      </c>
    </row>
    <row r="6356" spans="1:3" x14ac:dyDescent="0.45">
      <c r="A6356" s="11">
        <v>80.27</v>
      </c>
      <c r="B6356" s="14">
        <v>7.0217699999999994E-2</v>
      </c>
      <c r="C6356" s="15">
        <v>3.7921980000000001E-2</v>
      </c>
    </row>
    <row r="6357" spans="1:3" x14ac:dyDescent="0.45">
      <c r="A6357" s="11">
        <v>80.28</v>
      </c>
      <c r="B6357" s="14">
        <v>7.02898E-2</v>
      </c>
      <c r="C6357" s="15">
        <v>3.7961719999999997E-2</v>
      </c>
    </row>
    <row r="6358" spans="1:3" x14ac:dyDescent="0.45">
      <c r="A6358" s="11">
        <v>80.290000000000006</v>
      </c>
      <c r="B6358" s="14">
        <v>7.0361900000000005E-2</v>
      </c>
      <c r="C6358" s="15">
        <v>3.8001460000000001E-2</v>
      </c>
    </row>
    <row r="6359" spans="1:3" x14ac:dyDescent="0.45">
      <c r="A6359" s="11">
        <v>80.3</v>
      </c>
      <c r="B6359" s="14">
        <v>7.0433999999999997E-2</v>
      </c>
      <c r="C6359" s="15">
        <v>3.8041199999999997E-2</v>
      </c>
    </row>
    <row r="6360" spans="1:3" x14ac:dyDescent="0.45">
      <c r="A6360" s="11">
        <v>80.31</v>
      </c>
      <c r="B6360" s="14">
        <v>7.0506100000000002E-2</v>
      </c>
      <c r="C6360" s="15">
        <v>3.8080940000000001E-2</v>
      </c>
    </row>
    <row r="6361" spans="1:3" x14ac:dyDescent="0.45">
      <c r="A6361" s="11">
        <v>80.319999999999993</v>
      </c>
      <c r="B6361" s="14">
        <v>7.0578199999999994E-2</v>
      </c>
      <c r="C6361" s="15">
        <v>3.8120679999999997E-2</v>
      </c>
    </row>
    <row r="6362" spans="1:3" x14ac:dyDescent="0.45">
      <c r="A6362" s="11">
        <v>80.33</v>
      </c>
      <c r="B6362" s="14">
        <v>7.0650299999999999E-2</v>
      </c>
      <c r="C6362" s="15">
        <v>3.816042E-2</v>
      </c>
    </row>
    <row r="6363" spans="1:3" x14ac:dyDescent="0.45">
      <c r="A6363" s="11">
        <v>80.34</v>
      </c>
      <c r="B6363" s="14">
        <v>7.0722400000000005E-2</v>
      </c>
      <c r="C6363" s="15">
        <v>3.8200159999999997E-2</v>
      </c>
    </row>
    <row r="6364" spans="1:3" x14ac:dyDescent="0.45">
      <c r="A6364" s="11">
        <v>80.349999999999994</v>
      </c>
      <c r="B6364" s="14">
        <v>7.0794499999999996E-2</v>
      </c>
      <c r="C6364" s="15">
        <v>3.82399E-2</v>
      </c>
    </row>
    <row r="6365" spans="1:3" x14ac:dyDescent="0.45">
      <c r="A6365" s="11">
        <v>80.36</v>
      </c>
      <c r="B6365" s="14">
        <v>7.0866600000000002E-2</v>
      </c>
      <c r="C6365" s="15">
        <v>3.8279639999999997E-2</v>
      </c>
    </row>
    <row r="6366" spans="1:3" x14ac:dyDescent="0.45">
      <c r="A6366" s="11">
        <v>80.37</v>
      </c>
      <c r="B6366" s="14">
        <v>7.0938699999999993E-2</v>
      </c>
      <c r="C6366" s="15">
        <v>3.831938E-2</v>
      </c>
    </row>
    <row r="6367" spans="1:3" x14ac:dyDescent="0.45">
      <c r="A6367" s="11">
        <v>80.38</v>
      </c>
      <c r="B6367" s="14">
        <v>7.1010799999999999E-2</v>
      </c>
      <c r="C6367" s="15">
        <v>3.8359119999999997E-2</v>
      </c>
    </row>
    <row r="6368" spans="1:3" x14ac:dyDescent="0.45">
      <c r="A6368" s="11">
        <v>80.39</v>
      </c>
      <c r="B6368" s="14">
        <v>7.1082900000000004E-2</v>
      </c>
      <c r="C6368" s="15">
        <v>3.839886E-2</v>
      </c>
    </row>
    <row r="6369" spans="1:3" x14ac:dyDescent="0.45">
      <c r="A6369" s="11">
        <v>80.400000000000006</v>
      </c>
      <c r="B6369" s="14">
        <v>7.1154999999999996E-2</v>
      </c>
      <c r="C6369" s="15">
        <v>3.8438600000000003E-2</v>
      </c>
    </row>
    <row r="6370" spans="1:3" x14ac:dyDescent="0.45">
      <c r="A6370" s="11">
        <v>80.41</v>
      </c>
      <c r="B6370" s="14">
        <v>7.1227100000000002E-2</v>
      </c>
      <c r="C6370" s="15">
        <v>3.847834E-2</v>
      </c>
    </row>
    <row r="6371" spans="1:3" x14ac:dyDescent="0.45">
      <c r="A6371" s="11">
        <v>80.42</v>
      </c>
      <c r="B6371" s="14">
        <v>7.1299199999999993E-2</v>
      </c>
      <c r="C6371" s="15">
        <v>3.8518080000000003E-2</v>
      </c>
    </row>
    <row r="6372" spans="1:3" x14ac:dyDescent="0.45">
      <c r="A6372" s="11">
        <v>80.430000000000007</v>
      </c>
      <c r="B6372" s="14">
        <v>7.1371299999999999E-2</v>
      </c>
      <c r="C6372" s="15">
        <v>3.855782E-2</v>
      </c>
    </row>
    <row r="6373" spans="1:3" x14ac:dyDescent="0.45">
      <c r="A6373" s="11">
        <v>80.44</v>
      </c>
      <c r="B6373" s="14">
        <v>7.1443400000000004E-2</v>
      </c>
      <c r="C6373" s="15">
        <v>3.8597560000000003E-2</v>
      </c>
    </row>
    <row r="6374" spans="1:3" x14ac:dyDescent="0.45">
      <c r="A6374" s="11">
        <v>80.45</v>
      </c>
      <c r="B6374" s="14">
        <v>7.1515499999999996E-2</v>
      </c>
      <c r="C6374" s="15">
        <v>3.8637299999999999E-2</v>
      </c>
    </row>
    <row r="6375" spans="1:3" x14ac:dyDescent="0.45">
      <c r="A6375" s="11">
        <v>80.459999999999994</v>
      </c>
      <c r="B6375" s="14">
        <v>7.1587600000000001E-2</v>
      </c>
      <c r="C6375" s="15">
        <v>3.8677040000000003E-2</v>
      </c>
    </row>
    <row r="6376" spans="1:3" x14ac:dyDescent="0.45">
      <c r="A6376" s="11">
        <v>80.47</v>
      </c>
      <c r="B6376" s="14">
        <v>7.1659700000000007E-2</v>
      </c>
      <c r="C6376" s="15">
        <v>3.8716779999999999E-2</v>
      </c>
    </row>
    <row r="6377" spans="1:3" x14ac:dyDescent="0.45">
      <c r="A6377" s="11">
        <v>80.48</v>
      </c>
      <c r="B6377" s="14">
        <v>7.1731799999999998E-2</v>
      </c>
      <c r="C6377" s="15">
        <v>3.8756520000000003E-2</v>
      </c>
    </row>
    <row r="6378" spans="1:3" x14ac:dyDescent="0.45">
      <c r="A6378" s="11">
        <v>80.489999999999995</v>
      </c>
      <c r="B6378" s="14">
        <v>7.1803900000000004E-2</v>
      </c>
      <c r="C6378" s="15">
        <v>3.8796259999999999E-2</v>
      </c>
    </row>
    <row r="6379" spans="1:3" x14ac:dyDescent="0.45">
      <c r="A6379" s="11">
        <v>80.5</v>
      </c>
      <c r="B6379" s="14">
        <v>7.1875999999999995E-2</v>
      </c>
      <c r="C6379" s="15">
        <v>3.8836000000000002E-2</v>
      </c>
    </row>
    <row r="6380" spans="1:3" x14ac:dyDescent="0.45">
      <c r="A6380" s="11">
        <v>80.510000000000005</v>
      </c>
      <c r="B6380" s="14">
        <v>7.1948100000000001E-2</v>
      </c>
      <c r="C6380" s="15">
        <v>3.8875739999999999E-2</v>
      </c>
    </row>
    <row r="6381" spans="1:3" x14ac:dyDescent="0.45">
      <c r="A6381" s="11">
        <v>80.52</v>
      </c>
      <c r="B6381" s="14">
        <v>7.2020200000000006E-2</v>
      </c>
      <c r="C6381" s="15">
        <v>3.8915480000000002E-2</v>
      </c>
    </row>
    <row r="6382" spans="1:3" x14ac:dyDescent="0.45">
      <c r="A6382" s="11">
        <v>80.53</v>
      </c>
      <c r="B6382" s="14">
        <v>7.2092299999999998E-2</v>
      </c>
      <c r="C6382" s="15">
        <v>3.8955219999999999E-2</v>
      </c>
    </row>
    <row r="6383" spans="1:3" x14ac:dyDescent="0.45">
      <c r="A6383" s="11">
        <v>80.540000000000006</v>
      </c>
      <c r="B6383" s="14">
        <v>7.2164400000000004E-2</v>
      </c>
      <c r="C6383" s="15">
        <v>3.8994960000000002E-2</v>
      </c>
    </row>
    <row r="6384" spans="1:3" x14ac:dyDescent="0.45">
      <c r="A6384" s="11">
        <v>80.55</v>
      </c>
      <c r="B6384" s="14">
        <v>7.2236499999999995E-2</v>
      </c>
      <c r="C6384" s="15">
        <v>3.9034699999999999E-2</v>
      </c>
    </row>
    <row r="6385" spans="1:3" x14ac:dyDescent="0.45">
      <c r="A6385" s="11">
        <v>80.56</v>
      </c>
      <c r="B6385" s="14">
        <v>7.2308600000000001E-2</v>
      </c>
      <c r="C6385" s="15">
        <v>3.9074440000000002E-2</v>
      </c>
    </row>
    <row r="6386" spans="1:3" x14ac:dyDescent="0.45">
      <c r="A6386" s="11">
        <v>80.569999999999993</v>
      </c>
      <c r="B6386" s="14">
        <v>7.2380700000000006E-2</v>
      </c>
      <c r="C6386" s="15">
        <v>3.9114179999999998E-2</v>
      </c>
    </row>
    <row r="6387" spans="1:3" x14ac:dyDescent="0.45">
      <c r="A6387" s="11">
        <v>80.58</v>
      </c>
      <c r="B6387" s="14">
        <v>7.2452799999999998E-2</v>
      </c>
      <c r="C6387" s="15">
        <v>3.9153920000000002E-2</v>
      </c>
    </row>
    <row r="6388" spans="1:3" x14ac:dyDescent="0.45">
      <c r="A6388" s="11">
        <v>80.59</v>
      </c>
      <c r="B6388" s="14">
        <v>7.2524900000000003E-2</v>
      </c>
      <c r="C6388" s="15">
        <v>3.9193659999999998E-2</v>
      </c>
    </row>
    <row r="6389" spans="1:3" x14ac:dyDescent="0.45">
      <c r="A6389" s="11">
        <v>80.599999999999994</v>
      </c>
      <c r="B6389" s="14">
        <v>7.2596999999999995E-2</v>
      </c>
      <c r="C6389" s="15">
        <v>3.9233400000000002E-2</v>
      </c>
    </row>
    <row r="6390" spans="1:3" x14ac:dyDescent="0.45">
      <c r="A6390" s="11">
        <v>80.61</v>
      </c>
      <c r="B6390" s="14">
        <v>7.26691E-2</v>
      </c>
      <c r="C6390" s="15">
        <v>3.9273139999999998E-2</v>
      </c>
    </row>
    <row r="6391" spans="1:3" x14ac:dyDescent="0.45">
      <c r="A6391" s="11">
        <v>80.62</v>
      </c>
      <c r="B6391" s="14">
        <v>7.2741200000000006E-2</v>
      </c>
      <c r="C6391" s="15">
        <v>3.9312880000000001E-2</v>
      </c>
    </row>
    <row r="6392" spans="1:3" x14ac:dyDescent="0.45">
      <c r="A6392" s="11">
        <v>80.63</v>
      </c>
      <c r="B6392" s="14">
        <v>7.2813299999999997E-2</v>
      </c>
      <c r="C6392" s="15">
        <v>3.9352619999999998E-2</v>
      </c>
    </row>
    <row r="6393" spans="1:3" x14ac:dyDescent="0.45">
      <c r="A6393" s="11">
        <v>80.64</v>
      </c>
      <c r="B6393" s="14">
        <v>7.2885400000000003E-2</v>
      </c>
      <c r="C6393" s="15">
        <v>3.9392360000000001E-2</v>
      </c>
    </row>
    <row r="6394" spans="1:3" x14ac:dyDescent="0.45">
      <c r="A6394" s="11">
        <v>80.650000000000006</v>
      </c>
      <c r="B6394" s="14">
        <v>7.2957499999999995E-2</v>
      </c>
      <c r="C6394" s="15">
        <v>3.9432099999999998E-2</v>
      </c>
    </row>
    <row r="6395" spans="1:3" x14ac:dyDescent="0.45">
      <c r="A6395" s="11">
        <v>80.66</v>
      </c>
      <c r="B6395" s="14">
        <v>7.30296E-2</v>
      </c>
      <c r="C6395" s="15">
        <v>3.9471840000000001E-2</v>
      </c>
    </row>
    <row r="6396" spans="1:3" x14ac:dyDescent="0.45">
      <c r="A6396" s="11">
        <v>80.67</v>
      </c>
      <c r="B6396" s="14">
        <v>7.3101700000000006E-2</v>
      </c>
      <c r="C6396" s="15">
        <v>3.9511579999999998E-2</v>
      </c>
    </row>
    <row r="6397" spans="1:3" x14ac:dyDescent="0.45">
      <c r="A6397" s="11">
        <v>80.680000000000007</v>
      </c>
      <c r="B6397" s="14">
        <v>7.3173799999999997E-2</v>
      </c>
      <c r="C6397" s="15">
        <v>3.9551320000000001E-2</v>
      </c>
    </row>
    <row r="6398" spans="1:3" x14ac:dyDescent="0.45">
      <c r="A6398" s="11">
        <v>80.69</v>
      </c>
      <c r="B6398" s="14">
        <v>7.3245900000000003E-2</v>
      </c>
      <c r="C6398" s="15">
        <v>3.9591059999999997E-2</v>
      </c>
    </row>
    <row r="6399" spans="1:3" x14ac:dyDescent="0.45">
      <c r="A6399" s="11">
        <v>80.7</v>
      </c>
      <c r="B6399" s="14">
        <v>7.3317999999999994E-2</v>
      </c>
      <c r="C6399" s="15">
        <v>3.9630800000000001E-2</v>
      </c>
    </row>
    <row r="6400" spans="1:3" x14ac:dyDescent="0.45">
      <c r="A6400" s="11">
        <v>80.709999999999994</v>
      </c>
      <c r="B6400" s="14">
        <v>7.33901E-2</v>
      </c>
      <c r="C6400" s="15">
        <v>3.9670539999999997E-2</v>
      </c>
    </row>
    <row r="6401" spans="1:3" x14ac:dyDescent="0.45">
      <c r="A6401" s="11">
        <v>80.72</v>
      </c>
      <c r="B6401" s="14">
        <v>7.3462200000000005E-2</v>
      </c>
      <c r="C6401" s="15">
        <v>3.9710280000000001E-2</v>
      </c>
    </row>
    <row r="6402" spans="1:3" x14ac:dyDescent="0.45">
      <c r="A6402" s="11">
        <v>80.73</v>
      </c>
      <c r="B6402" s="14">
        <v>7.3534299999999997E-2</v>
      </c>
      <c r="C6402" s="15">
        <v>3.9750019999999997E-2</v>
      </c>
    </row>
    <row r="6403" spans="1:3" x14ac:dyDescent="0.45">
      <c r="A6403" s="11">
        <v>80.739999999999995</v>
      </c>
      <c r="B6403" s="14">
        <v>7.3606400000000002E-2</v>
      </c>
      <c r="C6403" s="15">
        <v>3.978976E-2</v>
      </c>
    </row>
    <row r="6404" spans="1:3" x14ac:dyDescent="0.45">
      <c r="A6404" s="11">
        <v>80.75</v>
      </c>
      <c r="B6404" s="14">
        <v>7.3678499999999994E-2</v>
      </c>
      <c r="C6404" s="15">
        <v>3.9829499999999997E-2</v>
      </c>
    </row>
    <row r="6405" spans="1:3" x14ac:dyDescent="0.45">
      <c r="A6405" s="11">
        <v>80.760000000000005</v>
      </c>
      <c r="B6405" s="14">
        <v>7.3750599999999999E-2</v>
      </c>
      <c r="C6405" s="15">
        <v>3.986924E-2</v>
      </c>
    </row>
    <row r="6406" spans="1:3" x14ac:dyDescent="0.45">
      <c r="A6406" s="11">
        <v>80.77</v>
      </c>
      <c r="B6406" s="14">
        <v>7.3822700000000005E-2</v>
      </c>
      <c r="C6406" s="15">
        <v>3.9908979999999997E-2</v>
      </c>
    </row>
    <row r="6407" spans="1:3" x14ac:dyDescent="0.45">
      <c r="A6407" s="11">
        <v>80.78</v>
      </c>
      <c r="B6407" s="14">
        <v>7.3894799999999997E-2</v>
      </c>
      <c r="C6407" s="15">
        <v>3.994872E-2</v>
      </c>
    </row>
    <row r="6408" spans="1:3" x14ac:dyDescent="0.45">
      <c r="A6408" s="11">
        <v>80.790000000000006</v>
      </c>
      <c r="B6408" s="14">
        <v>7.3966900000000002E-2</v>
      </c>
      <c r="C6408" s="15">
        <v>3.9988460000000003E-2</v>
      </c>
    </row>
    <row r="6409" spans="1:3" x14ac:dyDescent="0.45">
      <c r="A6409" s="11">
        <v>80.8</v>
      </c>
      <c r="B6409" s="14">
        <v>7.4038999999999994E-2</v>
      </c>
      <c r="C6409" s="15">
        <v>4.00282E-2</v>
      </c>
    </row>
    <row r="6410" spans="1:3" x14ac:dyDescent="0.45">
      <c r="A6410" s="11">
        <v>80.81</v>
      </c>
      <c r="B6410" s="14">
        <v>7.4111099999999999E-2</v>
      </c>
      <c r="C6410" s="15">
        <v>4.0067940000000003E-2</v>
      </c>
    </row>
    <row r="6411" spans="1:3" x14ac:dyDescent="0.45">
      <c r="A6411" s="11">
        <v>80.819999999999993</v>
      </c>
      <c r="B6411" s="14">
        <v>7.4183200000000005E-2</v>
      </c>
      <c r="C6411" s="15">
        <v>4.010768E-2</v>
      </c>
    </row>
    <row r="6412" spans="1:3" x14ac:dyDescent="0.45">
      <c r="A6412" s="11">
        <v>80.83</v>
      </c>
      <c r="B6412" s="14">
        <v>7.4255299999999996E-2</v>
      </c>
      <c r="C6412" s="15">
        <v>4.0147420000000003E-2</v>
      </c>
    </row>
    <row r="6413" spans="1:3" x14ac:dyDescent="0.45">
      <c r="A6413" s="11">
        <v>80.84</v>
      </c>
      <c r="B6413" s="14">
        <v>7.4327400000000002E-2</v>
      </c>
      <c r="C6413" s="15">
        <v>4.018716E-2</v>
      </c>
    </row>
    <row r="6414" spans="1:3" x14ac:dyDescent="0.45">
      <c r="A6414" s="11">
        <v>80.849999999999994</v>
      </c>
      <c r="B6414" s="14">
        <v>7.4399499999999993E-2</v>
      </c>
      <c r="C6414" s="15">
        <v>4.0226900000000003E-2</v>
      </c>
    </row>
    <row r="6415" spans="1:3" x14ac:dyDescent="0.45">
      <c r="A6415" s="11">
        <v>80.86</v>
      </c>
      <c r="B6415" s="14">
        <v>7.4471599999999999E-2</v>
      </c>
      <c r="C6415" s="15">
        <v>4.0266639999999999E-2</v>
      </c>
    </row>
    <row r="6416" spans="1:3" x14ac:dyDescent="0.45">
      <c r="A6416" s="11">
        <v>80.87</v>
      </c>
      <c r="B6416" s="14">
        <v>7.4543700000000004E-2</v>
      </c>
      <c r="C6416" s="15">
        <v>4.0306380000000003E-2</v>
      </c>
    </row>
    <row r="6417" spans="1:3" x14ac:dyDescent="0.45">
      <c r="A6417" s="11">
        <v>80.88</v>
      </c>
      <c r="B6417" s="14">
        <v>7.4615799999999996E-2</v>
      </c>
      <c r="C6417" s="15">
        <v>4.0346119999999999E-2</v>
      </c>
    </row>
    <row r="6418" spans="1:3" x14ac:dyDescent="0.45">
      <c r="A6418" s="11">
        <v>80.89</v>
      </c>
      <c r="B6418" s="14">
        <v>7.4687900000000002E-2</v>
      </c>
      <c r="C6418" s="15">
        <v>4.0385860000000003E-2</v>
      </c>
    </row>
    <row r="6419" spans="1:3" x14ac:dyDescent="0.45">
      <c r="A6419" s="11">
        <v>80.900000000000006</v>
      </c>
      <c r="B6419" s="14">
        <v>7.4759999999999993E-2</v>
      </c>
      <c r="C6419" s="15">
        <v>4.0425599999999999E-2</v>
      </c>
    </row>
    <row r="6420" spans="1:3" x14ac:dyDescent="0.45">
      <c r="A6420" s="11">
        <v>80.91</v>
      </c>
      <c r="B6420" s="14">
        <v>7.4832099999999999E-2</v>
      </c>
      <c r="C6420" s="15">
        <v>4.0465340000000002E-2</v>
      </c>
    </row>
    <row r="6421" spans="1:3" x14ac:dyDescent="0.45">
      <c r="A6421" s="11">
        <v>80.92</v>
      </c>
      <c r="B6421" s="14">
        <v>7.4904200000000004E-2</v>
      </c>
      <c r="C6421" s="15">
        <v>4.0505079999999999E-2</v>
      </c>
    </row>
    <row r="6422" spans="1:3" x14ac:dyDescent="0.45">
      <c r="A6422" s="11">
        <v>80.930000000000007</v>
      </c>
      <c r="B6422" s="14">
        <v>7.4976299999999996E-2</v>
      </c>
      <c r="C6422" s="15">
        <v>4.0544820000000002E-2</v>
      </c>
    </row>
    <row r="6423" spans="1:3" x14ac:dyDescent="0.45">
      <c r="A6423" s="11">
        <v>80.94</v>
      </c>
      <c r="B6423" s="14">
        <v>7.5048400000000001E-2</v>
      </c>
      <c r="C6423" s="15">
        <v>4.0584559999999999E-2</v>
      </c>
    </row>
    <row r="6424" spans="1:3" x14ac:dyDescent="0.45">
      <c r="A6424" s="11">
        <v>80.95</v>
      </c>
      <c r="B6424" s="14">
        <v>7.5120500000000007E-2</v>
      </c>
      <c r="C6424" s="15">
        <v>4.0624300000000002E-2</v>
      </c>
    </row>
    <row r="6425" spans="1:3" x14ac:dyDescent="0.45">
      <c r="A6425" s="11">
        <v>80.959999999999994</v>
      </c>
      <c r="B6425" s="14">
        <v>7.5192599999999998E-2</v>
      </c>
      <c r="C6425" s="15">
        <v>4.0664039999999999E-2</v>
      </c>
    </row>
    <row r="6426" spans="1:3" x14ac:dyDescent="0.45">
      <c r="A6426" s="11">
        <v>80.97</v>
      </c>
      <c r="B6426" s="14">
        <v>7.5264700000000004E-2</v>
      </c>
      <c r="C6426" s="15">
        <v>4.0703780000000002E-2</v>
      </c>
    </row>
    <row r="6427" spans="1:3" x14ac:dyDescent="0.45">
      <c r="A6427" s="11">
        <v>80.98</v>
      </c>
      <c r="B6427" s="14">
        <v>7.5336799999999995E-2</v>
      </c>
      <c r="C6427" s="15">
        <v>4.0743519999999998E-2</v>
      </c>
    </row>
    <row r="6428" spans="1:3" x14ac:dyDescent="0.45">
      <c r="A6428" s="11">
        <v>80.989999999999995</v>
      </c>
      <c r="B6428" s="14">
        <v>7.5408900000000001E-2</v>
      </c>
      <c r="C6428" s="15">
        <v>4.0783260000000002E-2</v>
      </c>
    </row>
    <row r="6429" spans="1:3" x14ac:dyDescent="0.45">
      <c r="A6429" s="11">
        <v>81</v>
      </c>
      <c r="B6429" s="14">
        <v>7.5481000000000006E-2</v>
      </c>
      <c r="C6429" s="15">
        <v>4.0822999999999998E-2</v>
      </c>
    </row>
    <row r="6430" spans="1:3" x14ac:dyDescent="0.45">
      <c r="A6430" s="11">
        <v>81.010000000000005</v>
      </c>
      <c r="B6430" s="14">
        <v>7.5559909999999994E-2</v>
      </c>
      <c r="C6430" s="15">
        <v>4.0867050000000002E-2</v>
      </c>
    </row>
    <row r="6431" spans="1:3" x14ac:dyDescent="0.45">
      <c r="A6431" s="11">
        <v>81.02</v>
      </c>
      <c r="B6431" s="14">
        <v>7.5638819999999996E-2</v>
      </c>
      <c r="C6431" s="15">
        <v>4.0911099999999999E-2</v>
      </c>
    </row>
    <row r="6432" spans="1:3" x14ac:dyDescent="0.45">
      <c r="A6432" s="11">
        <v>81.03</v>
      </c>
      <c r="B6432" s="14">
        <v>7.5717729999999997E-2</v>
      </c>
      <c r="C6432" s="15">
        <v>4.0955150000000003E-2</v>
      </c>
    </row>
    <row r="6433" spans="1:3" x14ac:dyDescent="0.45">
      <c r="A6433" s="11">
        <v>81.040000000000006</v>
      </c>
      <c r="B6433" s="14">
        <v>7.5796639999999998E-2</v>
      </c>
      <c r="C6433" s="15">
        <v>4.09992E-2</v>
      </c>
    </row>
    <row r="6434" spans="1:3" x14ac:dyDescent="0.45">
      <c r="A6434" s="11">
        <v>81.05</v>
      </c>
      <c r="B6434" s="14">
        <v>7.587555E-2</v>
      </c>
      <c r="C6434" s="15">
        <v>4.1043250000000003E-2</v>
      </c>
    </row>
    <row r="6435" spans="1:3" x14ac:dyDescent="0.45">
      <c r="A6435" s="11">
        <v>81.06</v>
      </c>
      <c r="B6435" s="14">
        <v>7.5954460000000001E-2</v>
      </c>
      <c r="C6435" s="15">
        <v>4.10873E-2</v>
      </c>
    </row>
    <row r="6436" spans="1:3" x14ac:dyDescent="0.45">
      <c r="A6436" s="11">
        <v>81.069999999999993</v>
      </c>
      <c r="B6436" s="14">
        <v>7.6033370000000003E-2</v>
      </c>
      <c r="C6436" s="15">
        <v>4.1131349999999997E-2</v>
      </c>
    </row>
    <row r="6437" spans="1:3" x14ac:dyDescent="0.45">
      <c r="A6437" s="11">
        <v>81.08</v>
      </c>
      <c r="B6437" s="14">
        <v>7.6112280000000004E-2</v>
      </c>
      <c r="C6437" s="15">
        <v>4.1175400000000001E-2</v>
      </c>
    </row>
    <row r="6438" spans="1:3" x14ac:dyDescent="0.45">
      <c r="A6438" s="11">
        <v>81.09</v>
      </c>
      <c r="B6438" s="14">
        <v>7.6191190000000006E-2</v>
      </c>
      <c r="C6438" s="15">
        <v>4.1219449999999998E-2</v>
      </c>
    </row>
    <row r="6439" spans="1:3" x14ac:dyDescent="0.45">
      <c r="A6439" s="11">
        <v>81.099999999999994</v>
      </c>
      <c r="B6439" s="14">
        <v>7.6270099999999993E-2</v>
      </c>
      <c r="C6439" s="15">
        <v>4.1263500000000002E-2</v>
      </c>
    </row>
    <row r="6440" spans="1:3" x14ac:dyDescent="0.45">
      <c r="A6440" s="11">
        <v>81.11</v>
      </c>
      <c r="B6440" s="14">
        <v>7.6349009999999995E-2</v>
      </c>
      <c r="C6440" s="15">
        <v>4.1307549999999998E-2</v>
      </c>
    </row>
    <row r="6441" spans="1:3" x14ac:dyDescent="0.45">
      <c r="A6441" s="11">
        <v>81.12</v>
      </c>
      <c r="B6441" s="14">
        <v>7.6427919999999996E-2</v>
      </c>
      <c r="C6441" s="15">
        <v>4.1351600000000002E-2</v>
      </c>
    </row>
    <row r="6442" spans="1:3" x14ac:dyDescent="0.45">
      <c r="A6442" s="11">
        <v>81.13</v>
      </c>
      <c r="B6442" s="14">
        <v>7.6506829999999998E-2</v>
      </c>
      <c r="C6442" s="15">
        <v>4.1395649999999999E-2</v>
      </c>
    </row>
    <row r="6443" spans="1:3" x14ac:dyDescent="0.45">
      <c r="A6443" s="11">
        <v>81.14</v>
      </c>
      <c r="B6443" s="14">
        <v>7.6585739999999999E-2</v>
      </c>
      <c r="C6443" s="15">
        <v>4.1439700000000003E-2</v>
      </c>
    </row>
    <row r="6444" spans="1:3" x14ac:dyDescent="0.45">
      <c r="A6444" s="11">
        <v>81.150000000000006</v>
      </c>
      <c r="B6444" s="14">
        <v>7.6664650000000001E-2</v>
      </c>
      <c r="C6444" s="15">
        <v>4.148375E-2</v>
      </c>
    </row>
    <row r="6445" spans="1:3" x14ac:dyDescent="0.45">
      <c r="A6445" s="11">
        <v>81.16</v>
      </c>
      <c r="B6445" s="14">
        <v>7.6743560000000002E-2</v>
      </c>
      <c r="C6445" s="15">
        <v>4.1527799999999997E-2</v>
      </c>
    </row>
    <row r="6446" spans="1:3" x14ac:dyDescent="0.45">
      <c r="A6446" s="11">
        <v>81.17</v>
      </c>
      <c r="B6446" s="14">
        <v>7.6822470000000004E-2</v>
      </c>
      <c r="C6446" s="15">
        <v>4.157185E-2</v>
      </c>
    </row>
    <row r="6447" spans="1:3" x14ac:dyDescent="0.45">
      <c r="A6447" s="11">
        <v>81.180000000000007</v>
      </c>
      <c r="B6447" s="14">
        <v>7.6901380000000005E-2</v>
      </c>
      <c r="C6447" s="15">
        <v>4.1615899999999997E-2</v>
      </c>
    </row>
    <row r="6448" spans="1:3" x14ac:dyDescent="0.45">
      <c r="A6448" s="11">
        <v>81.19</v>
      </c>
      <c r="B6448" s="14">
        <v>7.6980290000000007E-2</v>
      </c>
      <c r="C6448" s="15">
        <v>4.1659950000000001E-2</v>
      </c>
    </row>
    <row r="6449" spans="1:3" x14ac:dyDescent="0.45">
      <c r="A6449" s="11">
        <v>81.2</v>
      </c>
      <c r="B6449" s="14">
        <v>7.7059199999999994E-2</v>
      </c>
      <c r="C6449" s="15">
        <v>4.1703999999999998E-2</v>
      </c>
    </row>
    <row r="6450" spans="1:3" x14ac:dyDescent="0.45">
      <c r="A6450" s="11">
        <v>81.209999999999994</v>
      </c>
      <c r="B6450" s="14">
        <v>7.7138109999999996E-2</v>
      </c>
      <c r="C6450" s="15">
        <v>4.1748050000000002E-2</v>
      </c>
    </row>
    <row r="6451" spans="1:3" x14ac:dyDescent="0.45">
      <c r="A6451" s="11">
        <v>81.22</v>
      </c>
      <c r="B6451" s="14">
        <v>7.7217019999999997E-2</v>
      </c>
      <c r="C6451" s="15">
        <v>4.1792099999999999E-2</v>
      </c>
    </row>
    <row r="6452" spans="1:3" x14ac:dyDescent="0.45">
      <c r="A6452" s="11">
        <v>81.23</v>
      </c>
      <c r="B6452" s="14">
        <v>7.7295929999999999E-2</v>
      </c>
      <c r="C6452" s="15">
        <v>4.1836150000000003E-2</v>
      </c>
    </row>
    <row r="6453" spans="1:3" x14ac:dyDescent="0.45">
      <c r="A6453" s="11">
        <v>81.239999999999995</v>
      </c>
      <c r="B6453" s="14">
        <v>7.737484E-2</v>
      </c>
      <c r="C6453" s="15">
        <v>4.1880199999999999E-2</v>
      </c>
    </row>
    <row r="6454" spans="1:3" x14ac:dyDescent="0.45">
      <c r="A6454" s="11">
        <v>81.25</v>
      </c>
      <c r="B6454" s="14">
        <v>7.7453750000000002E-2</v>
      </c>
      <c r="C6454" s="15">
        <v>4.1924250000000003E-2</v>
      </c>
    </row>
    <row r="6455" spans="1:3" x14ac:dyDescent="0.45">
      <c r="A6455" s="11">
        <v>81.260000000000005</v>
      </c>
      <c r="B6455" s="14">
        <v>7.7532660000000003E-2</v>
      </c>
      <c r="C6455" s="15">
        <v>4.19683E-2</v>
      </c>
    </row>
    <row r="6456" spans="1:3" x14ac:dyDescent="0.45">
      <c r="A6456" s="11">
        <v>81.27</v>
      </c>
      <c r="B6456" s="14">
        <v>7.7611570000000005E-2</v>
      </c>
      <c r="C6456" s="15">
        <v>4.2012349999999997E-2</v>
      </c>
    </row>
    <row r="6457" spans="1:3" x14ac:dyDescent="0.45">
      <c r="A6457" s="11">
        <v>81.28</v>
      </c>
      <c r="B6457" s="14">
        <v>7.7690480000000006E-2</v>
      </c>
      <c r="C6457" s="15">
        <v>4.2056400000000001E-2</v>
      </c>
    </row>
    <row r="6458" spans="1:3" x14ac:dyDescent="0.45">
      <c r="A6458" s="11">
        <v>81.290000000000006</v>
      </c>
      <c r="B6458" s="14">
        <v>7.7769389999999994E-2</v>
      </c>
      <c r="C6458" s="15">
        <v>4.2100449999999998E-2</v>
      </c>
    </row>
    <row r="6459" spans="1:3" x14ac:dyDescent="0.45">
      <c r="A6459" s="11">
        <v>81.3</v>
      </c>
      <c r="B6459" s="14">
        <v>7.7848299999999995E-2</v>
      </c>
      <c r="C6459" s="15">
        <v>4.2144500000000001E-2</v>
      </c>
    </row>
    <row r="6460" spans="1:3" x14ac:dyDescent="0.45">
      <c r="A6460" s="11">
        <v>81.31</v>
      </c>
      <c r="B6460" s="14">
        <v>7.7927209999999997E-2</v>
      </c>
      <c r="C6460" s="15">
        <v>4.2188549999999998E-2</v>
      </c>
    </row>
    <row r="6461" spans="1:3" x14ac:dyDescent="0.45">
      <c r="A6461" s="11">
        <v>81.319999999999993</v>
      </c>
      <c r="B6461" s="14">
        <v>7.8006119999999998E-2</v>
      </c>
      <c r="C6461" s="15">
        <v>4.2232600000000002E-2</v>
      </c>
    </row>
    <row r="6462" spans="1:3" x14ac:dyDescent="0.45">
      <c r="A6462" s="11">
        <v>81.33</v>
      </c>
      <c r="B6462" s="14">
        <v>7.808503E-2</v>
      </c>
      <c r="C6462" s="15">
        <v>4.2276649999999999E-2</v>
      </c>
    </row>
    <row r="6463" spans="1:3" x14ac:dyDescent="0.45">
      <c r="A6463" s="11">
        <v>81.34</v>
      </c>
      <c r="B6463" s="14">
        <v>7.8163940000000001E-2</v>
      </c>
      <c r="C6463" s="15">
        <v>4.2320700000000003E-2</v>
      </c>
    </row>
    <row r="6464" spans="1:3" x14ac:dyDescent="0.45">
      <c r="A6464" s="11">
        <v>81.349999999999994</v>
      </c>
      <c r="B6464" s="14">
        <v>7.8242850000000003E-2</v>
      </c>
      <c r="C6464" s="15">
        <v>4.236475E-2</v>
      </c>
    </row>
    <row r="6465" spans="1:3" x14ac:dyDescent="0.45">
      <c r="A6465" s="11">
        <v>81.36</v>
      </c>
      <c r="B6465" s="14">
        <v>7.8321760000000004E-2</v>
      </c>
      <c r="C6465" s="15">
        <v>4.2408800000000003E-2</v>
      </c>
    </row>
    <row r="6466" spans="1:3" x14ac:dyDescent="0.45">
      <c r="A6466" s="11">
        <v>81.37</v>
      </c>
      <c r="B6466" s="14">
        <v>7.8400670000000006E-2</v>
      </c>
      <c r="C6466" s="15">
        <v>4.245285E-2</v>
      </c>
    </row>
    <row r="6467" spans="1:3" x14ac:dyDescent="0.45">
      <c r="A6467" s="11">
        <v>81.38</v>
      </c>
      <c r="B6467" s="14">
        <v>7.8479579999999993E-2</v>
      </c>
      <c r="C6467" s="15">
        <v>4.2496899999999997E-2</v>
      </c>
    </row>
    <row r="6468" spans="1:3" x14ac:dyDescent="0.45">
      <c r="A6468" s="11">
        <v>81.39</v>
      </c>
      <c r="B6468" s="14">
        <v>7.8558489999999995E-2</v>
      </c>
      <c r="C6468" s="15">
        <v>4.2540950000000001E-2</v>
      </c>
    </row>
    <row r="6469" spans="1:3" x14ac:dyDescent="0.45">
      <c r="A6469" s="11">
        <v>81.400000000000006</v>
      </c>
      <c r="B6469" s="14">
        <v>7.8637399999999996E-2</v>
      </c>
      <c r="C6469" s="15">
        <v>4.2584999999999998E-2</v>
      </c>
    </row>
    <row r="6470" spans="1:3" x14ac:dyDescent="0.45">
      <c r="A6470" s="11">
        <v>81.41</v>
      </c>
      <c r="B6470" s="14">
        <v>7.8716309999999998E-2</v>
      </c>
      <c r="C6470" s="15">
        <v>4.2629050000000002E-2</v>
      </c>
    </row>
    <row r="6471" spans="1:3" x14ac:dyDescent="0.45">
      <c r="A6471" s="11">
        <v>81.42</v>
      </c>
      <c r="B6471" s="14">
        <v>7.8795219999999999E-2</v>
      </c>
      <c r="C6471" s="15">
        <v>4.2673099999999999E-2</v>
      </c>
    </row>
    <row r="6472" spans="1:3" x14ac:dyDescent="0.45">
      <c r="A6472" s="11">
        <v>81.430000000000007</v>
      </c>
      <c r="B6472" s="14">
        <v>7.8874130000000001E-2</v>
      </c>
      <c r="C6472" s="15">
        <v>4.2717150000000002E-2</v>
      </c>
    </row>
    <row r="6473" spans="1:3" x14ac:dyDescent="0.45">
      <c r="A6473" s="11">
        <v>81.44</v>
      </c>
      <c r="B6473" s="14">
        <v>7.8953040000000002E-2</v>
      </c>
      <c r="C6473" s="15">
        <v>4.2761199999999999E-2</v>
      </c>
    </row>
    <row r="6474" spans="1:3" x14ac:dyDescent="0.45">
      <c r="A6474" s="11">
        <v>81.45</v>
      </c>
      <c r="B6474" s="14">
        <v>7.9031950000000004E-2</v>
      </c>
      <c r="C6474" s="15">
        <v>4.2805250000000003E-2</v>
      </c>
    </row>
    <row r="6475" spans="1:3" x14ac:dyDescent="0.45">
      <c r="A6475" s="11">
        <v>81.459999999999994</v>
      </c>
      <c r="B6475" s="14">
        <v>7.9110860000000005E-2</v>
      </c>
      <c r="C6475" s="15">
        <v>4.28493E-2</v>
      </c>
    </row>
    <row r="6476" spans="1:3" x14ac:dyDescent="0.45">
      <c r="A6476" s="11">
        <v>81.47</v>
      </c>
      <c r="B6476" s="14">
        <v>7.9189770000000007E-2</v>
      </c>
      <c r="C6476" s="15">
        <v>4.2893349999999997E-2</v>
      </c>
    </row>
    <row r="6477" spans="1:3" x14ac:dyDescent="0.45">
      <c r="A6477" s="11">
        <v>81.48</v>
      </c>
      <c r="B6477" s="14">
        <v>7.9268679999999994E-2</v>
      </c>
      <c r="C6477" s="15">
        <v>4.2937400000000001E-2</v>
      </c>
    </row>
    <row r="6478" spans="1:3" x14ac:dyDescent="0.45">
      <c r="A6478" s="11">
        <v>81.489999999999995</v>
      </c>
      <c r="B6478" s="14">
        <v>7.9347589999999996E-2</v>
      </c>
      <c r="C6478" s="15">
        <v>4.2981449999999997E-2</v>
      </c>
    </row>
    <row r="6479" spans="1:3" x14ac:dyDescent="0.45">
      <c r="A6479" s="11">
        <v>81.5</v>
      </c>
      <c r="B6479" s="14">
        <v>7.9426499999999997E-2</v>
      </c>
      <c r="C6479" s="15">
        <v>4.3025500000000001E-2</v>
      </c>
    </row>
    <row r="6480" spans="1:3" x14ac:dyDescent="0.45">
      <c r="A6480" s="11">
        <v>81.510000000000005</v>
      </c>
      <c r="B6480" s="14">
        <v>7.9505409999999999E-2</v>
      </c>
      <c r="C6480" s="15">
        <v>4.3069549999999998E-2</v>
      </c>
    </row>
    <row r="6481" spans="1:3" x14ac:dyDescent="0.45">
      <c r="A6481" s="11">
        <v>81.52</v>
      </c>
      <c r="B6481" s="14">
        <v>7.958432E-2</v>
      </c>
      <c r="C6481" s="15">
        <v>4.3113600000000002E-2</v>
      </c>
    </row>
    <row r="6482" spans="1:3" x14ac:dyDescent="0.45">
      <c r="A6482" s="11">
        <v>81.53</v>
      </c>
      <c r="B6482" s="14">
        <v>7.9663230000000002E-2</v>
      </c>
      <c r="C6482" s="15">
        <v>4.3157649999999999E-2</v>
      </c>
    </row>
    <row r="6483" spans="1:3" x14ac:dyDescent="0.45">
      <c r="A6483" s="11">
        <v>81.540000000000006</v>
      </c>
      <c r="B6483" s="14">
        <v>7.9742140000000003E-2</v>
      </c>
      <c r="C6483" s="15">
        <v>4.3201700000000003E-2</v>
      </c>
    </row>
    <row r="6484" spans="1:3" x14ac:dyDescent="0.45">
      <c r="A6484" s="11">
        <v>81.55</v>
      </c>
      <c r="B6484" s="14">
        <v>7.9821050000000004E-2</v>
      </c>
      <c r="C6484" s="15">
        <v>4.3245749999999999E-2</v>
      </c>
    </row>
    <row r="6485" spans="1:3" x14ac:dyDescent="0.45">
      <c r="A6485" s="11">
        <v>81.56</v>
      </c>
      <c r="B6485" s="14">
        <v>7.9899960000000006E-2</v>
      </c>
      <c r="C6485" s="15">
        <v>4.3289800000000003E-2</v>
      </c>
    </row>
    <row r="6486" spans="1:3" x14ac:dyDescent="0.45">
      <c r="A6486" s="11">
        <v>81.569999999999993</v>
      </c>
      <c r="B6486" s="14">
        <v>7.9978869999999994E-2</v>
      </c>
      <c r="C6486" s="15">
        <v>4.333385E-2</v>
      </c>
    </row>
    <row r="6487" spans="1:3" x14ac:dyDescent="0.45">
      <c r="A6487" s="11">
        <v>81.58</v>
      </c>
      <c r="B6487" s="14">
        <v>8.0057779999999995E-2</v>
      </c>
      <c r="C6487" s="15">
        <v>4.3377899999999997E-2</v>
      </c>
    </row>
    <row r="6488" spans="1:3" x14ac:dyDescent="0.45">
      <c r="A6488" s="11">
        <v>81.59</v>
      </c>
      <c r="B6488" s="14">
        <v>8.0136689999999997E-2</v>
      </c>
      <c r="C6488" s="15">
        <v>4.3421950000000001E-2</v>
      </c>
    </row>
    <row r="6489" spans="1:3" x14ac:dyDescent="0.45">
      <c r="A6489" s="11">
        <v>81.599999999999994</v>
      </c>
      <c r="B6489" s="14">
        <v>8.0215599999999998E-2</v>
      </c>
      <c r="C6489" s="15">
        <v>4.3465999999999998E-2</v>
      </c>
    </row>
    <row r="6490" spans="1:3" x14ac:dyDescent="0.45">
      <c r="A6490" s="11">
        <v>81.61</v>
      </c>
      <c r="B6490" s="14">
        <v>8.0294509999999999E-2</v>
      </c>
      <c r="C6490" s="15">
        <v>4.3510050000000002E-2</v>
      </c>
    </row>
    <row r="6491" spans="1:3" x14ac:dyDescent="0.45">
      <c r="A6491" s="11">
        <v>81.62</v>
      </c>
      <c r="B6491" s="14">
        <v>8.0373420000000001E-2</v>
      </c>
      <c r="C6491" s="15">
        <v>4.3554099999999998E-2</v>
      </c>
    </row>
    <row r="6492" spans="1:3" x14ac:dyDescent="0.45">
      <c r="A6492" s="11">
        <v>81.63</v>
      </c>
      <c r="B6492" s="14">
        <v>8.0452330000000002E-2</v>
      </c>
      <c r="C6492" s="15">
        <v>4.3598150000000002E-2</v>
      </c>
    </row>
    <row r="6493" spans="1:3" x14ac:dyDescent="0.45">
      <c r="A6493" s="11">
        <v>81.64</v>
      </c>
      <c r="B6493" s="14">
        <v>8.0531240000000004E-2</v>
      </c>
      <c r="C6493" s="15">
        <v>4.3642199999999999E-2</v>
      </c>
    </row>
    <row r="6494" spans="1:3" x14ac:dyDescent="0.45">
      <c r="A6494" s="11">
        <v>81.650000000000006</v>
      </c>
      <c r="B6494" s="14">
        <v>8.0610150000000005E-2</v>
      </c>
      <c r="C6494" s="15">
        <v>4.3686250000000003E-2</v>
      </c>
    </row>
    <row r="6495" spans="1:3" x14ac:dyDescent="0.45">
      <c r="A6495" s="11">
        <v>81.66</v>
      </c>
      <c r="B6495" s="14">
        <v>8.0689060000000007E-2</v>
      </c>
      <c r="C6495" s="15">
        <v>4.37303E-2</v>
      </c>
    </row>
    <row r="6496" spans="1:3" x14ac:dyDescent="0.45">
      <c r="A6496" s="11">
        <v>81.67</v>
      </c>
      <c r="B6496" s="14">
        <v>8.0767969999999994E-2</v>
      </c>
      <c r="C6496" s="15">
        <v>4.3774349999999997E-2</v>
      </c>
    </row>
    <row r="6497" spans="1:3" x14ac:dyDescent="0.45">
      <c r="A6497" s="11">
        <v>81.680000000000007</v>
      </c>
      <c r="B6497" s="14">
        <v>8.0846879999999996E-2</v>
      </c>
      <c r="C6497" s="15">
        <v>4.38184E-2</v>
      </c>
    </row>
    <row r="6498" spans="1:3" x14ac:dyDescent="0.45">
      <c r="A6498" s="11">
        <v>81.69</v>
      </c>
      <c r="B6498" s="14">
        <v>8.0925789999999997E-2</v>
      </c>
      <c r="C6498" s="15">
        <v>4.3862449999999997E-2</v>
      </c>
    </row>
    <row r="6499" spans="1:3" x14ac:dyDescent="0.45">
      <c r="A6499" s="11">
        <v>81.7</v>
      </c>
      <c r="B6499" s="14">
        <v>8.1004699999999999E-2</v>
      </c>
      <c r="C6499" s="15">
        <v>4.3906500000000001E-2</v>
      </c>
    </row>
    <row r="6500" spans="1:3" x14ac:dyDescent="0.45">
      <c r="A6500" s="11">
        <v>81.709999999999994</v>
      </c>
      <c r="B6500" s="14">
        <v>8.108361E-2</v>
      </c>
      <c r="C6500" s="15">
        <v>4.3950549999999998E-2</v>
      </c>
    </row>
    <row r="6501" spans="1:3" x14ac:dyDescent="0.45">
      <c r="A6501" s="11">
        <v>81.72</v>
      </c>
      <c r="B6501" s="14">
        <v>8.1162520000000002E-2</v>
      </c>
      <c r="C6501" s="15">
        <v>4.3994600000000002E-2</v>
      </c>
    </row>
    <row r="6502" spans="1:3" x14ac:dyDescent="0.45">
      <c r="A6502" s="11">
        <v>81.73</v>
      </c>
      <c r="B6502" s="14">
        <v>8.1241430000000003E-2</v>
      </c>
      <c r="C6502" s="15">
        <v>4.4038649999999999E-2</v>
      </c>
    </row>
    <row r="6503" spans="1:3" x14ac:dyDescent="0.45">
      <c r="A6503" s="11">
        <v>81.739999999999995</v>
      </c>
      <c r="B6503" s="14">
        <v>8.1320340000000005E-2</v>
      </c>
      <c r="C6503" s="15">
        <v>4.4082700000000002E-2</v>
      </c>
    </row>
    <row r="6504" spans="1:3" x14ac:dyDescent="0.45">
      <c r="A6504" s="11">
        <v>81.75</v>
      </c>
      <c r="B6504" s="14">
        <v>8.1399250000000006E-2</v>
      </c>
      <c r="C6504" s="15">
        <v>4.4126749999999999E-2</v>
      </c>
    </row>
    <row r="6505" spans="1:3" x14ac:dyDescent="0.45">
      <c r="A6505" s="11">
        <v>81.760000000000005</v>
      </c>
      <c r="B6505" s="14">
        <v>8.1478159999999994E-2</v>
      </c>
      <c r="C6505" s="15">
        <v>4.4170800000000003E-2</v>
      </c>
    </row>
    <row r="6506" spans="1:3" x14ac:dyDescent="0.45">
      <c r="A6506" s="11">
        <v>81.77</v>
      </c>
      <c r="B6506" s="14">
        <v>8.1557069999999995E-2</v>
      </c>
      <c r="C6506" s="15">
        <v>4.421485E-2</v>
      </c>
    </row>
    <row r="6507" spans="1:3" x14ac:dyDescent="0.45">
      <c r="A6507" s="11">
        <v>81.78</v>
      </c>
      <c r="B6507" s="14">
        <v>8.1635979999999997E-2</v>
      </c>
      <c r="C6507" s="15">
        <v>4.4258899999999997E-2</v>
      </c>
    </row>
    <row r="6508" spans="1:3" x14ac:dyDescent="0.45">
      <c r="A6508" s="11">
        <v>81.790000000000006</v>
      </c>
      <c r="B6508" s="14">
        <v>8.1714889999999998E-2</v>
      </c>
      <c r="C6508" s="15">
        <v>4.4302950000000001E-2</v>
      </c>
    </row>
    <row r="6509" spans="1:3" x14ac:dyDescent="0.45">
      <c r="A6509" s="11">
        <v>81.8</v>
      </c>
      <c r="B6509" s="14">
        <v>8.17938E-2</v>
      </c>
      <c r="C6509" s="15">
        <v>4.4346999999999998E-2</v>
      </c>
    </row>
    <row r="6510" spans="1:3" x14ac:dyDescent="0.45">
      <c r="A6510" s="11">
        <v>81.81</v>
      </c>
      <c r="B6510" s="14">
        <v>8.1872710000000001E-2</v>
      </c>
      <c r="C6510" s="15">
        <v>4.4391050000000001E-2</v>
      </c>
    </row>
    <row r="6511" spans="1:3" x14ac:dyDescent="0.45">
      <c r="A6511" s="11">
        <v>81.819999999999993</v>
      </c>
      <c r="B6511" s="14">
        <v>8.1951620000000003E-2</v>
      </c>
      <c r="C6511" s="15">
        <v>4.4435099999999998E-2</v>
      </c>
    </row>
    <row r="6512" spans="1:3" x14ac:dyDescent="0.45">
      <c r="A6512" s="11">
        <v>81.83</v>
      </c>
      <c r="B6512" s="14">
        <v>8.2030530000000004E-2</v>
      </c>
      <c r="C6512" s="15">
        <v>4.4479150000000002E-2</v>
      </c>
    </row>
    <row r="6513" spans="1:3" x14ac:dyDescent="0.45">
      <c r="A6513" s="11">
        <v>81.84</v>
      </c>
      <c r="B6513" s="14">
        <v>8.2109440000000006E-2</v>
      </c>
      <c r="C6513" s="15">
        <v>4.4523199999999999E-2</v>
      </c>
    </row>
    <row r="6514" spans="1:3" x14ac:dyDescent="0.45">
      <c r="A6514" s="11">
        <v>81.849999999999994</v>
      </c>
      <c r="B6514" s="14">
        <v>8.2188349999999993E-2</v>
      </c>
      <c r="C6514" s="15">
        <v>4.4567250000000003E-2</v>
      </c>
    </row>
    <row r="6515" spans="1:3" x14ac:dyDescent="0.45">
      <c r="A6515" s="11">
        <v>81.86</v>
      </c>
      <c r="B6515" s="14">
        <v>8.2267259999999995E-2</v>
      </c>
      <c r="C6515" s="15">
        <v>4.46113E-2</v>
      </c>
    </row>
    <row r="6516" spans="1:3" x14ac:dyDescent="0.45">
      <c r="A6516" s="11">
        <v>81.87</v>
      </c>
      <c r="B6516" s="14">
        <v>8.2346169999999996E-2</v>
      </c>
      <c r="C6516" s="15">
        <v>4.4655350000000003E-2</v>
      </c>
    </row>
    <row r="6517" spans="1:3" x14ac:dyDescent="0.45">
      <c r="A6517" s="11">
        <v>81.88</v>
      </c>
      <c r="B6517" s="14">
        <v>8.2425079999999998E-2</v>
      </c>
      <c r="C6517" s="15">
        <v>4.46994E-2</v>
      </c>
    </row>
    <row r="6518" spans="1:3" x14ac:dyDescent="0.45">
      <c r="A6518" s="11">
        <v>81.89</v>
      </c>
      <c r="B6518" s="14">
        <v>8.2503989999999999E-2</v>
      </c>
      <c r="C6518" s="15">
        <v>4.4743449999999997E-2</v>
      </c>
    </row>
    <row r="6519" spans="1:3" x14ac:dyDescent="0.45">
      <c r="A6519" s="11">
        <v>81.900000000000006</v>
      </c>
      <c r="B6519" s="14">
        <v>8.2582900000000001E-2</v>
      </c>
      <c r="C6519" s="15">
        <v>4.4787500000000001E-2</v>
      </c>
    </row>
    <row r="6520" spans="1:3" x14ac:dyDescent="0.45">
      <c r="A6520" s="11">
        <v>81.91</v>
      </c>
      <c r="B6520" s="14">
        <v>8.2661810000000002E-2</v>
      </c>
      <c r="C6520" s="15">
        <v>4.4831549999999998E-2</v>
      </c>
    </row>
    <row r="6521" spans="1:3" x14ac:dyDescent="0.45">
      <c r="A6521" s="11">
        <v>81.92</v>
      </c>
      <c r="B6521" s="14">
        <v>8.2740720000000004E-2</v>
      </c>
      <c r="C6521" s="15">
        <v>4.4875600000000002E-2</v>
      </c>
    </row>
    <row r="6522" spans="1:3" x14ac:dyDescent="0.45">
      <c r="A6522" s="11">
        <v>81.93</v>
      </c>
      <c r="B6522" s="14">
        <v>8.2819630000000005E-2</v>
      </c>
      <c r="C6522" s="15">
        <v>4.4919649999999998E-2</v>
      </c>
    </row>
    <row r="6523" spans="1:3" x14ac:dyDescent="0.45">
      <c r="A6523" s="11">
        <v>81.94</v>
      </c>
      <c r="B6523" s="14">
        <v>8.2898540000000007E-2</v>
      </c>
      <c r="C6523" s="15">
        <v>4.4963700000000002E-2</v>
      </c>
    </row>
    <row r="6524" spans="1:3" x14ac:dyDescent="0.45">
      <c r="A6524" s="11">
        <v>81.95</v>
      </c>
      <c r="B6524" s="14">
        <v>8.2977449999999994E-2</v>
      </c>
      <c r="C6524" s="15">
        <v>4.5007749999999999E-2</v>
      </c>
    </row>
    <row r="6525" spans="1:3" x14ac:dyDescent="0.45">
      <c r="A6525" s="11">
        <v>81.96</v>
      </c>
      <c r="B6525" s="14">
        <v>8.3056359999999996E-2</v>
      </c>
      <c r="C6525" s="15">
        <v>4.5051800000000003E-2</v>
      </c>
    </row>
    <row r="6526" spans="1:3" x14ac:dyDescent="0.45">
      <c r="A6526" s="11">
        <v>81.97</v>
      </c>
      <c r="B6526" s="14">
        <v>8.3135269999999997E-2</v>
      </c>
      <c r="C6526" s="15">
        <v>4.509585E-2</v>
      </c>
    </row>
    <row r="6527" spans="1:3" x14ac:dyDescent="0.45">
      <c r="A6527" s="11">
        <v>81.98</v>
      </c>
      <c r="B6527" s="14">
        <v>8.3214179999999999E-2</v>
      </c>
      <c r="C6527" s="15">
        <v>4.5139899999999997E-2</v>
      </c>
    </row>
    <row r="6528" spans="1:3" x14ac:dyDescent="0.45">
      <c r="A6528" s="11">
        <v>81.99</v>
      </c>
      <c r="B6528" s="14">
        <v>8.329309E-2</v>
      </c>
      <c r="C6528" s="15">
        <v>4.5183950000000001E-2</v>
      </c>
    </row>
    <row r="6529" spans="1:3" x14ac:dyDescent="0.45">
      <c r="A6529" s="11">
        <v>82</v>
      </c>
      <c r="B6529" s="14">
        <v>8.3372000000000002E-2</v>
      </c>
      <c r="C6529" s="15">
        <v>4.5227999999999997E-2</v>
      </c>
    </row>
    <row r="6530" spans="1:3" x14ac:dyDescent="0.45">
      <c r="A6530" s="11">
        <v>82.01</v>
      </c>
      <c r="B6530" s="14">
        <v>8.3458270000000001E-2</v>
      </c>
      <c r="C6530" s="15">
        <v>4.5276799999999999E-2</v>
      </c>
    </row>
    <row r="6531" spans="1:3" x14ac:dyDescent="0.45">
      <c r="A6531" s="11">
        <v>82.02</v>
      </c>
      <c r="B6531" s="14">
        <v>8.354454E-2</v>
      </c>
      <c r="C6531" s="15">
        <v>4.5325600000000001E-2</v>
      </c>
    </row>
    <row r="6532" spans="1:3" x14ac:dyDescent="0.45">
      <c r="A6532" s="11">
        <v>82.03</v>
      </c>
      <c r="B6532" s="14">
        <v>8.363081E-2</v>
      </c>
      <c r="C6532" s="15">
        <v>4.5374400000000002E-2</v>
      </c>
    </row>
    <row r="6533" spans="1:3" x14ac:dyDescent="0.45">
      <c r="A6533" s="11">
        <v>82.04</v>
      </c>
      <c r="B6533" s="14">
        <v>8.3717079999999999E-2</v>
      </c>
      <c r="C6533" s="15">
        <v>4.5423199999999997E-2</v>
      </c>
    </row>
    <row r="6534" spans="1:3" x14ac:dyDescent="0.45">
      <c r="A6534" s="11">
        <v>82.05</v>
      </c>
      <c r="B6534" s="14">
        <v>8.3803349999999999E-2</v>
      </c>
      <c r="C6534" s="15">
        <v>4.5471999999999999E-2</v>
      </c>
    </row>
    <row r="6535" spans="1:3" x14ac:dyDescent="0.45">
      <c r="A6535" s="11">
        <v>82.06</v>
      </c>
      <c r="B6535" s="14">
        <v>8.3889619999999998E-2</v>
      </c>
      <c r="C6535" s="15">
        <v>4.55208E-2</v>
      </c>
    </row>
    <row r="6536" spans="1:3" x14ac:dyDescent="0.45">
      <c r="A6536" s="11">
        <v>82.07</v>
      </c>
      <c r="B6536" s="14">
        <v>8.3975889999999997E-2</v>
      </c>
      <c r="C6536" s="15">
        <v>4.5569600000000002E-2</v>
      </c>
    </row>
    <row r="6537" spans="1:3" x14ac:dyDescent="0.45">
      <c r="A6537" s="11">
        <v>82.08</v>
      </c>
      <c r="B6537" s="14">
        <v>8.4062159999999997E-2</v>
      </c>
      <c r="C6537" s="15">
        <v>4.5618400000000003E-2</v>
      </c>
    </row>
    <row r="6538" spans="1:3" x14ac:dyDescent="0.45">
      <c r="A6538" s="11">
        <v>82.09</v>
      </c>
      <c r="B6538" s="14">
        <v>8.4148429999999996E-2</v>
      </c>
      <c r="C6538" s="15">
        <v>4.5667199999999998E-2</v>
      </c>
    </row>
    <row r="6539" spans="1:3" x14ac:dyDescent="0.45">
      <c r="A6539" s="11">
        <v>82.1</v>
      </c>
      <c r="B6539" s="14">
        <v>8.4234699999999996E-2</v>
      </c>
      <c r="C6539" s="15">
        <v>4.5716E-2</v>
      </c>
    </row>
    <row r="6540" spans="1:3" x14ac:dyDescent="0.45">
      <c r="A6540" s="11">
        <v>82.11</v>
      </c>
      <c r="B6540" s="14">
        <v>8.4320969999999995E-2</v>
      </c>
      <c r="C6540" s="15">
        <v>4.5764800000000001E-2</v>
      </c>
    </row>
    <row r="6541" spans="1:3" x14ac:dyDescent="0.45">
      <c r="A6541" s="11">
        <v>82.12</v>
      </c>
      <c r="B6541" s="14">
        <v>8.4407239999999994E-2</v>
      </c>
      <c r="C6541" s="15">
        <v>4.5813600000000003E-2</v>
      </c>
    </row>
    <row r="6542" spans="1:3" x14ac:dyDescent="0.45">
      <c r="A6542" s="11">
        <v>82.13</v>
      </c>
      <c r="B6542" s="14">
        <v>8.4493509999999994E-2</v>
      </c>
      <c r="C6542" s="15">
        <v>4.5862399999999998E-2</v>
      </c>
    </row>
    <row r="6543" spans="1:3" x14ac:dyDescent="0.45">
      <c r="A6543" s="11">
        <v>82.14</v>
      </c>
      <c r="B6543" s="14">
        <v>8.4579779999999993E-2</v>
      </c>
      <c r="C6543" s="15">
        <v>4.5911199999999999E-2</v>
      </c>
    </row>
    <row r="6544" spans="1:3" x14ac:dyDescent="0.45">
      <c r="A6544" s="11">
        <v>82.15</v>
      </c>
      <c r="B6544" s="14">
        <v>8.4666050000000007E-2</v>
      </c>
      <c r="C6544" s="15">
        <v>4.5960000000000001E-2</v>
      </c>
    </row>
    <row r="6545" spans="1:3" x14ac:dyDescent="0.45">
      <c r="A6545" s="11">
        <v>82.16</v>
      </c>
      <c r="B6545" s="14">
        <v>8.4752320000000006E-2</v>
      </c>
      <c r="C6545" s="15">
        <v>4.6008800000000002E-2</v>
      </c>
    </row>
    <row r="6546" spans="1:3" x14ac:dyDescent="0.45">
      <c r="A6546" s="11">
        <v>82.17</v>
      </c>
      <c r="B6546" s="14">
        <v>8.4838590000000005E-2</v>
      </c>
      <c r="C6546" s="15">
        <v>4.6057599999999997E-2</v>
      </c>
    </row>
    <row r="6547" spans="1:3" x14ac:dyDescent="0.45">
      <c r="A6547" s="11">
        <v>82.18</v>
      </c>
      <c r="B6547" s="14">
        <v>8.4924860000000005E-2</v>
      </c>
      <c r="C6547" s="15">
        <v>4.6106399999999999E-2</v>
      </c>
    </row>
    <row r="6548" spans="1:3" x14ac:dyDescent="0.45">
      <c r="A6548" s="11">
        <v>82.19</v>
      </c>
      <c r="B6548" s="14">
        <v>8.5011130000000004E-2</v>
      </c>
      <c r="C6548" s="15">
        <v>4.61552E-2</v>
      </c>
    </row>
    <row r="6549" spans="1:3" x14ac:dyDescent="0.45">
      <c r="A6549" s="11">
        <v>82.2</v>
      </c>
      <c r="B6549" s="14">
        <v>8.5097400000000004E-2</v>
      </c>
      <c r="C6549" s="15">
        <v>4.6204000000000002E-2</v>
      </c>
    </row>
    <row r="6550" spans="1:3" x14ac:dyDescent="0.45">
      <c r="A6550" s="11">
        <v>82.21</v>
      </c>
      <c r="B6550" s="14">
        <v>8.5183670000000003E-2</v>
      </c>
      <c r="C6550" s="15">
        <v>4.6252799999999997E-2</v>
      </c>
    </row>
    <row r="6551" spans="1:3" x14ac:dyDescent="0.45">
      <c r="A6551" s="11">
        <v>82.22</v>
      </c>
      <c r="B6551" s="14">
        <v>8.5269940000000002E-2</v>
      </c>
      <c r="C6551" s="15">
        <v>4.6301599999999998E-2</v>
      </c>
    </row>
    <row r="6552" spans="1:3" x14ac:dyDescent="0.45">
      <c r="A6552" s="11">
        <v>82.23</v>
      </c>
      <c r="B6552" s="14">
        <v>8.5356210000000002E-2</v>
      </c>
      <c r="C6552" s="15">
        <v>4.63504E-2</v>
      </c>
    </row>
    <row r="6553" spans="1:3" x14ac:dyDescent="0.45">
      <c r="A6553" s="11">
        <v>82.24</v>
      </c>
      <c r="B6553" s="14">
        <v>8.5442480000000001E-2</v>
      </c>
      <c r="C6553" s="15">
        <v>4.6399200000000002E-2</v>
      </c>
    </row>
    <row r="6554" spans="1:3" x14ac:dyDescent="0.45">
      <c r="A6554" s="11">
        <v>82.25</v>
      </c>
      <c r="B6554" s="14">
        <v>8.5528750000000001E-2</v>
      </c>
      <c r="C6554" s="15">
        <v>4.6448000000000003E-2</v>
      </c>
    </row>
    <row r="6555" spans="1:3" x14ac:dyDescent="0.45">
      <c r="A6555" s="11">
        <v>82.26</v>
      </c>
      <c r="B6555" s="14">
        <v>8.561502E-2</v>
      </c>
      <c r="C6555" s="15">
        <v>4.6496799999999998E-2</v>
      </c>
    </row>
    <row r="6556" spans="1:3" x14ac:dyDescent="0.45">
      <c r="A6556" s="11">
        <v>82.27</v>
      </c>
      <c r="B6556" s="14">
        <v>8.5701289999999999E-2</v>
      </c>
      <c r="C6556" s="15">
        <v>4.6545599999999999E-2</v>
      </c>
    </row>
    <row r="6557" spans="1:3" x14ac:dyDescent="0.45">
      <c r="A6557" s="11">
        <v>82.28</v>
      </c>
      <c r="B6557" s="14">
        <v>8.5787559999999999E-2</v>
      </c>
      <c r="C6557" s="15">
        <v>4.6594400000000001E-2</v>
      </c>
    </row>
    <row r="6558" spans="1:3" x14ac:dyDescent="0.45">
      <c r="A6558" s="11">
        <v>82.29</v>
      </c>
      <c r="B6558" s="14">
        <v>8.5873829999999998E-2</v>
      </c>
      <c r="C6558" s="15">
        <v>4.6643200000000003E-2</v>
      </c>
    </row>
    <row r="6559" spans="1:3" x14ac:dyDescent="0.45">
      <c r="A6559" s="11">
        <v>82.3</v>
      </c>
      <c r="B6559" s="14">
        <v>8.5960099999999998E-2</v>
      </c>
      <c r="C6559" s="15">
        <v>4.6691999999999997E-2</v>
      </c>
    </row>
    <row r="6560" spans="1:3" x14ac:dyDescent="0.45">
      <c r="A6560" s="11">
        <v>82.31</v>
      </c>
      <c r="B6560" s="14">
        <v>8.6046369999999997E-2</v>
      </c>
      <c r="C6560" s="15">
        <v>4.6740799999999999E-2</v>
      </c>
    </row>
    <row r="6561" spans="1:3" x14ac:dyDescent="0.45">
      <c r="A6561" s="11">
        <v>82.32</v>
      </c>
      <c r="B6561" s="14">
        <v>8.6132639999999996E-2</v>
      </c>
      <c r="C6561" s="15">
        <v>4.6789600000000001E-2</v>
      </c>
    </row>
    <row r="6562" spans="1:3" x14ac:dyDescent="0.45">
      <c r="A6562" s="11">
        <v>82.33</v>
      </c>
      <c r="B6562" s="14">
        <v>8.6218909999999996E-2</v>
      </c>
      <c r="C6562" s="15">
        <v>4.6838400000000002E-2</v>
      </c>
    </row>
    <row r="6563" spans="1:3" x14ac:dyDescent="0.45">
      <c r="A6563" s="11">
        <v>82.34</v>
      </c>
      <c r="B6563" s="14">
        <v>8.6305179999999995E-2</v>
      </c>
      <c r="C6563" s="15">
        <v>4.6887199999999997E-2</v>
      </c>
    </row>
    <row r="6564" spans="1:3" x14ac:dyDescent="0.45">
      <c r="A6564" s="11">
        <v>82.35</v>
      </c>
      <c r="B6564" s="14">
        <v>8.6391449999999995E-2</v>
      </c>
      <c r="C6564" s="15">
        <v>4.6935999999999999E-2</v>
      </c>
    </row>
    <row r="6565" spans="1:3" x14ac:dyDescent="0.45">
      <c r="A6565" s="11">
        <v>82.36</v>
      </c>
      <c r="B6565" s="14">
        <v>8.6477719999999994E-2</v>
      </c>
      <c r="C6565" s="15">
        <v>4.69848E-2</v>
      </c>
    </row>
    <row r="6566" spans="1:3" x14ac:dyDescent="0.45">
      <c r="A6566" s="11">
        <v>82.37</v>
      </c>
      <c r="B6566" s="14">
        <v>8.6563989999999993E-2</v>
      </c>
      <c r="C6566" s="15">
        <v>4.7033600000000002E-2</v>
      </c>
    </row>
    <row r="6567" spans="1:3" x14ac:dyDescent="0.45">
      <c r="A6567" s="11">
        <v>82.38</v>
      </c>
      <c r="B6567" s="14">
        <v>8.6650260000000007E-2</v>
      </c>
      <c r="C6567" s="15">
        <v>4.7082400000000003E-2</v>
      </c>
    </row>
    <row r="6568" spans="1:3" x14ac:dyDescent="0.45">
      <c r="A6568" s="11">
        <v>82.39</v>
      </c>
      <c r="B6568" s="14">
        <v>8.6736530000000006E-2</v>
      </c>
      <c r="C6568" s="15">
        <v>4.7131199999999998E-2</v>
      </c>
    </row>
    <row r="6569" spans="1:3" x14ac:dyDescent="0.45">
      <c r="A6569" s="11">
        <v>82.4</v>
      </c>
      <c r="B6569" s="14">
        <v>8.6822800000000006E-2</v>
      </c>
      <c r="C6569" s="15">
        <v>4.718E-2</v>
      </c>
    </row>
    <row r="6570" spans="1:3" x14ac:dyDescent="0.45">
      <c r="A6570" s="11">
        <v>82.41</v>
      </c>
      <c r="B6570" s="14">
        <v>8.6909070000000005E-2</v>
      </c>
      <c r="C6570" s="15">
        <v>4.7228800000000001E-2</v>
      </c>
    </row>
    <row r="6571" spans="1:3" x14ac:dyDescent="0.45">
      <c r="A6571" s="11">
        <v>82.42</v>
      </c>
      <c r="B6571" s="14">
        <v>8.6995340000000004E-2</v>
      </c>
      <c r="C6571" s="15">
        <v>4.7277600000000003E-2</v>
      </c>
    </row>
    <row r="6572" spans="1:3" x14ac:dyDescent="0.45">
      <c r="A6572" s="11">
        <v>82.43</v>
      </c>
      <c r="B6572" s="14">
        <v>8.7081610000000004E-2</v>
      </c>
      <c r="C6572" s="15">
        <v>4.7326399999999998E-2</v>
      </c>
    </row>
    <row r="6573" spans="1:3" x14ac:dyDescent="0.45">
      <c r="A6573" s="11">
        <v>82.44</v>
      </c>
      <c r="B6573" s="14">
        <v>8.7167880000000003E-2</v>
      </c>
      <c r="C6573" s="15">
        <v>4.7375199999999999E-2</v>
      </c>
    </row>
    <row r="6574" spans="1:3" x14ac:dyDescent="0.45">
      <c r="A6574" s="11">
        <v>82.45</v>
      </c>
      <c r="B6574" s="14">
        <v>8.7254150000000003E-2</v>
      </c>
      <c r="C6574" s="15">
        <v>4.7424000000000001E-2</v>
      </c>
    </row>
    <row r="6575" spans="1:3" x14ac:dyDescent="0.45">
      <c r="A6575" s="11">
        <v>82.46</v>
      </c>
      <c r="B6575" s="14">
        <v>8.7340420000000002E-2</v>
      </c>
      <c r="C6575" s="15">
        <v>4.7472800000000002E-2</v>
      </c>
    </row>
    <row r="6576" spans="1:3" x14ac:dyDescent="0.45">
      <c r="A6576" s="11">
        <v>82.47</v>
      </c>
      <c r="B6576" s="14">
        <v>8.7426690000000001E-2</v>
      </c>
      <c r="C6576" s="15">
        <v>4.7521599999999997E-2</v>
      </c>
    </row>
    <row r="6577" spans="1:3" x14ac:dyDescent="0.45">
      <c r="A6577" s="11">
        <v>82.48</v>
      </c>
      <c r="B6577" s="14">
        <v>8.7512960000000001E-2</v>
      </c>
      <c r="C6577" s="15">
        <v>4.7570399999999999E-2</v>
      </c>
    </row>
    <row r="6578" spans="1:3" x14ac:dyDescent="0.45">
      <c r="A6578" s="11">
        <v>82.49</v>
      </c>
      <c r="B6578" s="14">
        <v>8.759923E-2</v>
      </c>
      <c r="C6578" s="15">
        <v>4.76192E-2</v>
      </c>
    </row>
    <row r="6579" spans="1:3" x14ac:dyDescent="0.45">
      <c r="A6579" s="11">
        <v>82.5</v>
      </c>
      <c r="B6579" s="14">
        <v>8.76855E-2</v>
      </c>
      <c r="C6579" s="15">
        <v>4.7668000000000002E-2</v>
      </c>
    </row>
    <row r="6580" spans="1:3" x14ac:dyDescent="0.45">
      <c r="A6580" s="11">
        <v>82.51</v>
      </c>
      <c r="B6580" s="14">
        <v>8.7771769999999999E-2</v>
      </c>
      <c r="C6580" s="15">
        <v>4.7716799999999997E-2</v>
      </c>
    </row>
    <row r="6581" spans="1:3" x14ac:dyDescent="0.45">
      <c r="A6581" s="11">
        <v>82.52</v>
      </c>
      <c r="B6581" s="14">
        <v>8.7858039999999998E-2</v>
      </c>
      <c r="C6581" s="15">
        <v>4.7765599999999998E-2</v>
      </c>
    </row>
    <row r="6582" spans="1:3" x14ac:dyDescent="0.45">
      <c r="A6582" s="11">
        <v>82.53</v>
      </c>
      <c r="B6582" s="14">
        <v>8.7944309999999998E-2</v>
      </c>
      <c r="C6582" s="15">
        <v>4.78144E-2</v>
      </c>
    </row>
    <row r="6583" spans="1:3" x14ac:dyDescent="0.45">
      <c r="A6583" s="11">
        <v>82.54</v>
      </c>
      <c r="B6583" s="14">
        <v>8.8030579999999997E-2</v>
      </c>
      <c r="C6583" s="15">
        <v>4.7863200000000002E-2</v>
      </c>
    </row>
    <row r="6584" spans="1:3" x14ac:dyDescent="0.45">
      <c r="A6584" s="11">
        <v>82.55</v>
      </c>
      <c r="B6584" s="14">
        <v>8.8116849999999997E-2</v>
      </c>
      <c r="C6584" s="15">
        <v>4.7912000000000003E-2</v>
      </c>
    </row>
    <row r="6585" spans="1:3" x14ac:dyDescent="0.45">
      <c r="A6585" s="11">
        <v>82.56</v>
      </c>
      <c r="B6585" s="14">
        <v>8.8203119999999996E-2</v>
      </c>
      <c r="C6585" s="15">
        <v>4.7960799999999998E-2</v>
      </c>
    </row>
    <row r="6586" spans="1:3" x14ac:dyDescent="0.45">
      <c r="A6586" s="11">
        <v>82.57</v>
      </c>
      <c r="B6586" s="14">
        <v>8.8289389999999995E-2</v>
      </c>
      <c r="C6586" s="15">
        <v>4.8009599999999999E-2</v>
      </c>
    </row>
    <row r="6587" spans="1:3" x14ac:dyDescent="0.45">
      <c r="A6587" s="11">
        <v>82.58</v>
      </c>
      <c r="B6587" s="14">
        <v>8.8375659999999995E-2</v>
      </c>
      <c r="C6587" s="15">
        <v>4.8058400000000001E-2</v>
      </c>
    </row>
    <row r="6588" spans="1:3" x14ac:dyDescent="0.45">
      <c r="A6588" s="11">
        <v>82.59</v>
      </c>
      <c r="B6588" s="14">
        <v>8.8461929999999994E-2</v>
      </c>
      <c r="C6588" s="15">
        <v>4.8107200000000003E-2</v>
      </c>
    </row>
    <row r="6589" spans="1:3" x14ac:dyDescent="0.45">
      <c r="A6589" s="11">
        <v>82.6</v>
      </c>
      <c r="B6589" s="14">
        <v>8.8548199999999994E-2</v>
      </c>
      <c r="C6589" s="15">
        <v>4.8155999999999997E-2</v>
      </c>
    </row>
    <row r="6590" spans="1:3" x14ac:dyDescent="0.45">
      <c r="A6590" s="11">
        <v>82.61</v>
      </c>
      <c r="B6590" s="14">
        <v>8.8634470000000007E-2</v>
      </c>
      <c r="C6590" s="15">
        <v>4.8204799999999999E-2</v>
      </c>
    </row>
    <row r="6591" spans="1:3" x14ac:dyDescent="0.45">
      <c r="A6591" s="11">
        <v>82.62</v>
      </c>
      <c r="B6591" s="14">
        <v>8.8720740000000006E-2</v>
      </c>
      <c r="C6591" s="15">
        <v>4.8253600000000001E-2</v>
      </c>
    </row>
    <row r="6592" spans="1:3" x14ac:dyDescent="0.45">
      <c r="A6592" s="11">
        <v>82.63</v>
      </c>
      <c r="B6592" s="14">
        <v>8.8807010000000006E-2</v>
      </c>
      <c r="C6592" s="15">
        <v>4.8302400000000002E-2</v>
      </c>
    </row>
    <row r="6593" spans="1:3" x14ac:dyDescent="0.45">
      <c r="A6593" s="11">
        <v>82.64</v>
      </c>
      <c r="B6593" s="14">
        <v>8.8893280000000005E-2</v>
      </c>
      <c r="C6593" s="15">
        <v>4.8351199999999997E-2</v>
      </c>
    </row>
    <row r="6594" spans="1:3" x14ac:dyDescent="0.45">
      <c r="A6594" s="11">
        <v>82.65</v>
      </c>
      <c r="B6594" s="14">
        <v>8.8979550000000004E-2</v>
      </c>
      <c r="C6594" s="15">
        <v>4.8399999999999999E-2</v>
      </c>
    </row>
    <row r="6595" spans="1:3" x14ac:dyDescent="0.45">
      <c r="A6595" s="11">
        <v>82.66</v>
      </c>
      <c r="B6595" s="14">
        <v>8.9065820000000004E-2</v>
      </c>
      <c r="C6595" s="15">
        <v>4.84488E-2</v>
      </c>
    </row>
    <row r="6596" spans="1:3" x14ac:dyDescent="0.45">
      <c r="A6596" s="11">
        <v>82.67</v>
      </c>
      <c r="B6596" s="14">
        <v>8.9152090000000003E-2</v>
      </c>
      <c r="C6596" s="15">
        <v>4.8497600000000002E-2</v>
      </c>
    </row>
    <row r="6597" spans="1:3" x14ac:dyDescent="0.45">
      <c r="A6597" s="11">
        <v>82.68</v>
      </c>
      <c r="B6597" s="14">
        <v>8.9238360000000003E-2</v>
      </c>
      <c r="C6597" s="15">
        <v>4.8546400000000003E-2</v>
      </c>
    </row>
    <row r="6598" spans="1:3" x14ac:dyDescent="0.45">
      <c r="A6598" s="11">
        <v>82.69</v>
      </c>
      <c r="B6598" s="14">
        <v>8.9324630000000002E-2</v>
      </c>
      <c r="C6598" s="15">
        <v>4.8595199999999998E-2</v>
      </c>
    </row>
    <row r="6599" spans="1:3" x14ac:dyDescent="0.45">
      <c r="A6599" s="11">
        <v>82.7</v>
      </c>
      <c r="B6599" s="14">
        <v>8.9410900000000001E-2</v>
      </c>
      <c r="C6599" s="15">
        <v>4.8644E-2</v>
      </c>
    </row>
    <row r="6600" spans="1:3" x14ac:dyDescent="0.45">
      <c r="A6600" s="11">
        <v>82.71</v>
      </c>
      <c r="B6600" s="14">
        <v>8.9497170000000001E-2</v>
      </c>
      <c r="C6600" s="15">
        <v>4.8692800000000001E-2</v>
      </c>
    </row>
    <row r="6601" spans="1:3" x14ac:dyDescent="0.45">
      <c r="A6601" s="11">
        <v>82.72</v>
      </c>
      <c r="B6601" s="14">
        <v>8.958344E-2</v>
      </c>
      <c r="C6601" s="15">
        <v>4.8741600000000003E-2</v>
      </c>
    </row>
    <row r="6602" spans="1:3" x14ac:dyDescent="0.45">
      <c r="A6602" s="11">
        <v>82.73</v>
      </c>
      <c r="B6602" s="14">
        <v>8.966971E-2</v>
      </c>
      <c r="C6602" s="15">
        <v>4.8790399999999998E-2</v>
      </c>
    </row>
    <row r="6603" spans="1:3" x14ac:dyDescent="0.45">
      <c r="A6603" s="11">
        <v>82.74</v>
      </c>
      <c r="B6603" s="14">
        <v>8.9755979999999999E-2</v>
      </c>
      <c r="C6603" s="15">
        <v>4.8839199999999999E-2</v>
      </c>
    </row>
    <row r="6604" spans="1:3" x14ac:dyDescent="0.45">
      <c r="A6604" s="11">
        <v>82.75</v>
      </c>
      <c r="B6604" s="14">
        <v>8.9842249999999998E-2</v>
      </c>
      <c r="C6604" s="15">
        <v>4.8888000000000001E-2</v>
      </c>
    </row>
    <row r="6605" spans="1:3" x14ac:dyDescent="0.45">
      <c r="A6605" s="11">
        <v>82.76</v>
      </c>
      <c r="B6605" s="14">
        <v>8.9928519999999998E-2</v>
      </c>
      <c r="C6605" s="15">
        <v>4.8936800000000003E-2</v>
      </c>
    </row>
    <row r="6606" spans="1:3" x14ac:dyDescent="0.45">
      <c r="A6606" s="11">
        <v>82.77</v>
      </c>
      <c r="B6606" s="14">
        <v>9.0014789999999997E-2</v>
      </c>
      <c r="C6606" s="15">
        <v>4.8985599999999997E-2</v>
      </c>
    </row>
    <row r="6607" spans="1:3" x14ac:dyDescent="0.45">
      <c r="A6607" s="11">
        <v>82.78</v>
      </c>
      <c r="B6607" s="14">
        <v>9.0101059999999997E-2</v>
      </c>
      <c r="C6607" s="15">
        <v>4.9034399999999999E-2</v>
      </c>
    </row>
    <row r="6608" spans="1:3" x14ac:dyDescent="0.45">
      <c r="A6608" s="11">
        <v>82.79</v>
      </c>
      <c r="B6608" s="14">
        <v>9.0187329999999996E-2</v>
      </c>
      <c r="C6608" s="15">
        <v>4.90832E-2</v>
      </c>
    </row>
    <row r="6609" spans="1:3" x14ac:dyDescent="0.45">
      <c r="A6609" s="11">
        <v>82.8</v>
      </c>
      <c r="B6609" s="14">
        <v>9.0273599999999996E-2</v>
      </c>
      <c r="C6609" s="15">
        <v>4.9132000000000002E-2</v>
      </c>
    </row>
    <row r="6610" spans="1:3" x14ac:dyDescent="0.45">
      <c r="A6610" s="11">
        <v>82.81</v>
      </c>
      <c r="B6610" s="14">
        <v>9.0359869999999995E-2</v>
      </c>
      <c r="C6610" s="15">
        <v>4.9180799999999997E-2</v>
      </c>
    </row>
    <row r="6611" spans="1:3" x14ac:dyDescent="0.45">
      <c r="A6611" s="11">
        <v>82.82</v>
      </c>
      <c r="B6611" s="14">
        <v>9.0446139999999994E-2</v>
      </c>
      <c r="C6611" s="15">
        <v>4.9229599999999998E-2</v>
      </c>
    </row>
    <row r="6612" spans="1:3" x14ac:dyDescent="0.45">
      <c r="A6612" s="11">
        <v>82.83</v>
      </c>
      <c r="B6612" s="14">
        <v>9.0532409999999994E-2</v>
      </c>
      <c r="C6612" s="15">
        <v>4.92784E-2</v>
      </c>
    </row>
    <row r="6613" spans="1:3" x14ac:dyDescent="0.45">
      <c r="A6613" s="11">
        <v>82.84</v>
      </c>
      <c r="B6613" s="14">
        <v>9.0618679999999993E-2</v>
      </c>
      <c r="C6613" s="15">
        <v>4.9327200000000002E-2</v>
      </c>
    </row>
    <row r="6614" spans="1:3" x14ac:dyDescent="0.45">
      <c r="A6614" s="11">
        <v>82.85</v>
      </c>
      <c r="B6614" s="14">
        <v>9.0704950000000006E-2</v>
      </c>
      <c r="C6614" s="15">
        <v>4.9376000000000003E-2</v>
      </c>
    </row>
    <row r="6615" spans="1:3" x14ac:dyDescent="0.45">
      <c r="A6615" s="11">
        <v>82.86</v>
      </c>
      <c r="B6615" s="14">
        <v>9.0791220000000006E-2</v>
      </c>
      <c r="C6615" s="15">
        <v>4.9424799999999998E-2</v>
      </c>
    </row>
    <row r="6616" spans="1:3" x14ac:dyDescent="0.45">
      <c r="A6616" s="11">
        <v>82.87</v>
      </c>
      <c r="B6616" s="14">
        <v>9.0877490000000005E-2</v>
      </c>
      <c r="C6616" s="15">
        <v>4.94736E-2</v>
      </c>
    </row>
    <row r="6617" spans="1:3" x14ac:dyDescent="0.45">
      <c r="A6617" s="11">
        <v>82.88</v>
      </c>
      <c r="B6617" s="14">
        <v>9.0963760000000005E-2</v>
      </c>
      <c r="C6617" s="15">
        <v>4.9522400000000001E-2</v>
      </c>
    </row>
    <row r="6618" spans="1:3" x14ac:dyDescent="0.45">
      <c r="A6618" s="11">
        <v>82.89</v>
      </c>
      <c r="B6618" s="14">
        <v>9.1050030000000004E-2</v>
      </c>
      <c r="C6618" s="15">
        <v>4.9571200000000003E-2</v>
      </c>
    </row>
    <row r="6619" spans="1:3" x14ac:dyDescent="0.45">
      <c r="A6619" s="11">
        <v>82.9</v>
      </c>
      <c r="B6619" s="14">
        <v>9.1136300000000003E-2</v>
      </c>
      <c r="C6619" s="15">
        <v>4.9619999999999997E-2</v>
      </c>
    </row>
    <row r="6620" spans="1:3" x14ac:dyDescent="0.45">
      <c r="A6620" s="11">
        <v>82.91</v>
      </c>
      <c r="B6620" s="14">
        <v>9.1222570000000003E-2</v>
      </c>
      <c r="C6620" s="15">
        <v>4.9668799999999999E-2</v>
      </c>
    </row>
    <row r="6621" spans="1:3" x14ac:dyDescent="0.45">
      <c r="A6621" s="11">
        <v>82.92</v>
      </c>
      <c r="B6621" s="14">
        <v>9.1308840000000002E-2</v>
      </c>
      <c r="C6621" s="15">
        <v>4.9717600000000001E-2</v>
      </c>
    </row>
    <row r="6622" spans="1:3" x14ac:dyDescent="0.45">
      <c r="A6622" s="11">
        <v>82.93</v>
      </c>
      <c r="B6622" s="14">
        <v>9.1395110000000002E-2</v>
      </c>
      <c r="C6622" s="15">
        <v>4.9766400000000002E-2</v>
      </c>
    </row>
    <row r="6623" spans="1:3" x14ac:dyDescent="0.45">
      <c r="A6623" s="11">
        <v>82.94</v>
      </c>
      <c r="B6623" s="14">
        <v>9.1481380000000001E-2</v>
      </c>
      <c r="C6623" s="15">
        <v>4.9815199999999997E-2</v>
      </c>
    </row>
    <row r="6624" spans="1:3" x14ac:dyDescent="0.45">
      <c r="A6624" s="11">
        <v>82.95</v>
      </c>
      <c r="B6624" s="14">
        <v>9.156765E-2</v>
      </c>
      <c r="C6624" s="15">
        <v>4.9863999999999999E-2</v>
      </c>
    </row>
    <row r="6625" spans="1:3" x14ac:dyDescent="0.45">
      <c r="A6625" s="11">
        <v>82.96</v>
      </c>
      <c r="B6625" s="14">
        <v>9.165392E-2</v>
      </c>
      <c r="C6625" s="15">
        <v>4.99128E-2</v>
      </c>
    </row>
    <row r="6626" spans="1:3" x14ac:dyDescent="0.45">
      <c r="A6626" s="11">
        <v>82.97</v>
      </c>
      <c r="B6626" s="14">
        <v>9.1740189999999999E-2</v>
      </c>
      <c r="C6626" s="15">
        <v>4.9961600000000002E-2</v>
      </c>
    </row>
    <row r="6627" spans="1:3" x14ac:dyDescent="0.45">
      <c r="A6627" s="11">
        <v>82.98</v>
      </c>
      <c r="B6627" s="14">
        <v>9.1826459999999999E-2</v>
      </c>
      <c r="C6627" s="15">
        <v>5.0010400000000003E-2</v>
      </c>
    </row>
    <row r="6628" spans="1:3" x14ac:dyDescent="0.45">
      <c r="A6628" s="11">
        <v>82.99</v>
      </c>
      <c r="B6628" s="14">
        <v>9.1912729999999998E-2</v>
      </c>
      <c r="C6628" s="15">
        <v>5.0059199999999998E-2</v>
      </c>
    </row>
    <row r="6629" spans="1:3" x14ac:dyDescent="0.45">
      <c r="A6629" s="11">
        <v>83</v>
      </c>
      <c r="B6629" s="14">
        <v>9.1998999999999997E-2</v>
      </c>
      <c r="C6629" s="15">
        <v>5.0108E-2</v>
      </c>
    </row>
    <row r="6630" spans="1:3" x14ac:dyDescent="0.45">
      <c r="A6630" s="11">
        <v>83.01</v>
      </c>
      <c r="B6630" s="14">
        <v>9.2093179999999997E-2</v>
      </c>
      <c r="C6630" s="15">
        <v>5.0162079999999998E-2</v>
      </c>
    </row>
    <row r="6631" spans="1:3" x14ac:dyDescent="0.45">
      <c r="A6631" s="11">
        <v>83.02</v>
      </c>
      <c r="B6631" s="14">
        <v>9.2187359999999996E-2</v>
      </c>
      <c r="C6631" s="15">
        <v>5.0216160000000003E-2</v>
      </c>
    </row>
    <row r="6632" spans="1:3" x14ac:dyDescent="0.45">
      <c r="A6632" s="11">
        <v>83.03</v>
      </c>
      <c r="B6632" s="14">
        <v>9.2281539999999995E-2</v>
      </c>
      <c r="C6632" s="15">
        <v>5.0270240000000001E-2</v>
      </c>
    </row>
    <row r="6633" spans="1:3" x14ac:dyDescent="0.45">
      <c r="A6633" s="11">
        <v>83.04</v>
      </c>
      <c r="B6633" s="14">
        <v>9.2375719999999995E-2</v>
      </c>
      <c r="C6633" s="15">
        <v>5.0324319999999999E-2</v>
      </c>
    </row>
    <row r="6634" spans="1:3" x14ac:dyDescent="0.45">
      <c r="A6634" s="11">
        <v>83.05</v>
      </c>
      <c r="B6634" s="14">
        <v>9.2469899999999994E-2</v>
      </c>
      <c r="C6634" s="15">
        <v>5.0378399999999997E-2</v>
      </c>
    </row>
    <row r="6635" spans="1:3" x14ac:dyDescent="0.45">
      <c r="A6635" s="11">
        <v>83.06</v>
      </c>
      <c r="B6635" s="14">
        <v>9.2564080000000007E-2</v>
      </c>
      <c r="C6635" s="15">
        <v>5.0432480000000002E-2</v>
      </c>
    </row>
    <row r="6636" spans="1:3" x14ac:dyDescent="0.45">
      <c r="A6636" s="11">
        <v>83.07</v>
      </c>
      <c r="B6636" s="14">
        <v>9.2658260000000006E-2</v>
      </c>
      <c r="C6636" s="15">
        <v>5.048656E-2</v>
      </c>
    </row>
    <row r="6637" spans="1:3" x14ac:dyDescent="0.45">
      <c r="A6637" s="11">
        <v>83.08</v>
      </c>
      <c r="B6637" s="14">
        <v>9.2752440000000005E-2</v>
      </c>
      <c r="C6637" s="15">
        <v>5.0540639999999998E-2</v>
      </c>
    </row>
    <row r="6638" spans="1:3" x14ac:dyDescent="0.45">
      <c r="A6638" s="11">
        <v>83.09</v>
      </c>
      <c r="B6638" s="14">
        <v>9.2846620000000005E-2</v>
      </c>
      <c r="C6638" s="15">
        <v>5.0594720000000003E-2</v>
      </c>
    </row>
    <row r="6639" spans="1:3" x14ac:dyDescent="0.45">
      <c r="A6639" s="11">
        <v>83.1</v>
      </c>
      <c r="B6639" s="14">
        <v>9.2940800000000004E-2</v>
      </c>
      <c r="C6639" s="15">
        <v>5.0648800000000001E-2</v>
      </c>
    </row>
    <row r="6640" spans="1:3" x14ac:dyDescent="0.45">
      <c r="A6640" s="11">
        <v>83.11</v>
      </c>
      <c r="B6640" s="14">
        <v>9.3034980000000003E-2</v>
      </c>
      <c r="C6640" s="15">
        <v>5.0702879999999999E-2</v>
      </c>
    </row>
    <row r="6641" spans="1:3" x14ac:dyDescent="0.45">
      <c r="A6641" s="11">
        <v>83.12</v>
      </c>
      <c r="B6641" s="14">
        <v>9.3129160000000002E-2</v>
      </c>
      <c r="C6641" s="15">
        <v>5.0756959999999997E-2</v>
      </c>
    </row>
    <row r="6642" spans="1:3" x14ac:dyDescent="0.45">
      <c r="A6642" s="11">
        <v>83.13</v>
      </c>
      <c r="B6642" s="14">
        <v>9.3223340000000002E-2</v>
      </c>
      <c r="C6642" s="15">
        <v>5.0811040000000002E-2</v>
      </c>
    </row>
    <row r="6643" spans="1:3" x14ac:dyDescent="0.45">
      <c r="A6643" s="11">
        <v>83.14</v>
      </c>
      <c r="B6643" s="14">
        <v>9.3317520000000001E-2</v>
      </c>
      <c r="C6643" s="15">
        <v>5.086512E-2</v>
      </c>
    </row>
    <row r="6644" spans="1:3" x14ac:dyDescent="0.45">
      <c r="A6644" s="11">
        <v>83.15</v>
      </c>
      <c r="B6644" s="14">
        <v>9.34117E-2</v>
      </c>
      <c r="C6644" s="15">
        <v>5.0919199999999998E-2</v>
      </c>
    </row>
    <row r="6645" spans="1:3" x14ac:dyDescent="0.45">
      <c r="A6645" s="11">
        <v>83.16</v>
      </c>
      <c r="B6645" s="14">
        <v>9.350588E-2</v>
      </c>
      <c r="C6645" s="15">
        <v>5.0973280000000003E-2</v>
      </c>
    </row>
    <row r="6646" spans="1:3" x14ac:dyDescent="0.45">
      <c r="A6646" s="11">
        <v>83.17</v>
      </c>
      <c r="B6646" s="14">
        <v>9.3600059999999999E-2</v>
      </c>
      <c r="C6646" s="15">
        <v>5.1027360000000001E-2</v>
      </c>
    </row>
    <row r="6647" spans="1:3" x14ac:dyDescent="0.45">
      <c r="A6647" s="11">
        <v>83.18</v>
      </c>
      <c r="B6647" s="14">
        <v>9.3694239999999998E-2</v>
      </c>
      <c r="C6647" s="15">
        <v>5.1081439999999999E-2</v>
      </c>
    </row>
    <row r="6648" spans="1:3" x14ac:dyDescent="0.45">
      <c r="A6648" s="11">
        <v>83.19</v>
      </c>
      <c r="B6648" s="14">
        <v>9.3788419999999997E-2</v>
      </c>
      <c r="C6648" s="15">
        <v>5.1135519999999997E-2</v>
      </c>
    </row>
    <row r="6649" spans="1:3" x14ac:dyDescent="0.45">
      <c r="A6649" s="11">
        <v>83.2</v>
      </c>
      <c r="B6649" s="14">
        <v>9.3882599999999997E-2</v>
      </c>
      <c r="C6649" s="15">
        <v>5.1189600000000002E-2</v>
      </c>
    </row>
    <row r="6650" spans="1:3" x14ac:dyDescent="0.45">
      <c r="A6650" s="11">
        <v>83.21</v>
      </c>
      <c r="B6650" s="14">
        <v>9.3976779999999996E-2</v>
      </c>
      <c r="C6650" s="15">
        <v>5.124368E-2</v>
      </c>
    </row>
    <row r="6651" spans="1:3" x14ac:dyDescent="0.45">
      <c r="A6651" s="11">
        <v>83.22</v>
      </c>
      <c r="B6651" s="14">
        <v>9.4070959999999995E-2</v>
      </c>
      <c r="C6651" s="15">
        <v>5.1297759999999998E-2</v>
      </c>
    </row>
    <row r="6652" spans="1:3" x14ac:dyDescent="0.45">
      <c r="A6652" s="11">
        <v>83.23</v>
      </c>
      <c r="B6652" s="14">
        <v>9.4165139999999994E-2</v>
      </c>
      <c r="C6652" s="15">
        <v>5.1351840000000003E-2</v>
      </c>
    </row>
    <row r="6653" spans="1:3" x14ac:dyDescent="0.45">
      <c r="A6653" s="11">
        <v>83.24</v>
      </c>
      <c r="B6653" s="14">
        <v>9.4259319999999994E-2</v>
      </c>
      <c r="C6653" s="15">
        <v>5.1405920000000001E-2</v>
      </c>
    </row>
    <row r="6654" spans="1:3" x14ac:dyDescent="0.45">
      <c r="A6654" s="11">
        <v>83.25</v>
      </c>
      <c r="B6654" s="14">
        <v>9.4353500000000007E-2</v>
      </c>
      <c r="C6654" s="15">
        <v>5.1459999999999999E-2</v>
      </c>
    </row>
    <row r="6655" spans="1:3" x14ac:dyDescent="0.45">
      <c r="A6655" s="11">
        <v>83.26</v>
      </c>
      <c r="B6655" s="14">
        <v>9.4447680000000006E-2</v>
      </c>
      <c r="C6655" s="15">
        <v>5.1514079999999997E-2</v>
      </c>
    </row>
    <row r="6656" spans="1:3" x14ac:dyDescent="0.45">
      <c r="A6656" s="11">
        <v>83.27</v>
      </c>
      <c r="B6656" s="14">
        <v>9.4541860000000005E-2</v>
      </c>
      <c r="C6656" s="15">
        <v>5.1568160000000002E-2</v>
      </c>
    </row>
    <row r="6657" spans="1:3" x14ac:dyDescent="0.45">
      <c r="A6657" s="11">
        <v>83.28</v>
      </c>
      <c r="B6657" s="14">
        <v>9.4636040000000005E-2</v>
      </c>
      <c r="C6657" s="15">
        <v>5.162224E-2</v>
      </c>
    </row>
    <row r="6658" spans="1:3" x14ac:dyDescent="0.45">
      <c r="A6658" s="11">
        <v>83.29</v>
      </c>
      <c r="B6658" s="14">
        <v>9.4730220000000004E-2</v>
      </c>
      <c r="C6658" s="15">
        <v>5.1676319999999998E-2</v>
      </c>
    </row>
    <row r="6659" spans="1:3" x14ac:dyDescent="0.45">
      <c r="A6659" s="11">
        <v>83.3</v>
      </c>
      <c r="B6659" s="14">
        <v>9.4824400000000003E-2</v>
      </c>
      <c r="C6659" s="15">
        <v>5.1730400000000003E-2</v>
      </c>
    </row>
    <row r="6660" spans="1:3" x14ac:dyDescent="0.45">
      <c r="A6660" s="11">
        <v>83.31</v>
      </c>
      <c r="B6660" s="14">
        <v>9.4918580000000002E-2</v>
      </c>
      <c r="C6660" s="15">
        <v>5.1784480000000001E-2</v>
      </c>
    </row>
    <row r="6661" spans="1:3" x14ac:dyDescent="0.45">
      <c r="A6661" s="11">
        <v>83.32</v>
      </c>
      <c r="B6661" s="14">
        <v>9.5012760000000002E-2</v>
      </c>
      <c r="C6661" s="15">
        <v>5.1838559999999999E-2</v>
      </c>
    </row>
    <row r="6662" spans="1:3" x14ac:dyDescent="0.45">
      <c r="A6662" s="11">
        <v>83.33</v>
      </c>
      <c r="B6662" s="14">
        <v>9.5106940000000001E-2</v>
      </c>
      <c r="C6662" s="15">
        <v>5.1892639999999997E-2</v>
      </c>
    </row>
    <row r="6663" spans="1:3" x14ac:dyDescent="0.45">
      <c r="A6663" s="11">
        <v>83.34</v>
      </c>
      <c r="B6663" s="14">
        <v>9.520112E-2</v>
      </c>
      <c r="C6663" s="15">
        <v>5.1946720000000002E-2</v>
      </c>
    </row>
    <row r="6664" spans="1:3" x14ac:dyDescent="0.45">
      <c r="A6664" s="11">
        <v>83.35</v>
      </c>
      <c r="B6664" s="14">
        <v>9.5295299999999999E-2</v>
      </c>
      <c r="C6664" s="15">
        <v>5.20008E-2</v>
      </c>
    </row>
    <row r="6665" spans="1:3" x14ac:dyDescent="0.45">
      <c r="A6665" s="11">
        <v>83.36</v>
      </c>
      <c r="B6665" s="14">
        <v>9.5389479999999999E-2</v>
      </c>
      <c r="C6665" s="15">
        <v>5.2054879999999998E-2</v>
      </c>
    </row>
    <row r="6666" spans="1:3" x14ac:dyDescent="0.45">
      <c r="A6666" s="11">
        <v>83.37</v>
      </c>
      <c r="B6666" s="14">
        <v>9.5483659999999998E-2</v>
      </c>
      <c r="C6666" s="15">
        <v>5.2108960000000003E-2</v>
      </c>
    </row>
    <row r="6667" spans="1:3" x14ac:dyDescent="0.45">
      <c r="A6667" s="11">
        <v>83.38</v>
      </c>
      <c r="B6667" s="14">
        <v>9.5577839999999997E-2</v>
      </c>
      <c r="C6667" s="15">
        <v>5.2163040000000001E-2</v>
      </c>
    </row>
    <row r="6668" spans="1:3" x14ac:dyDescent="0.45">
      <c r="A6668" s="11">
        <v>83.39</v>
      </c>
      <c r="B6668" s="14">
        <v>9.5672019999999997E-2</v>
      </c>
      <c r="C6668" s="15">
        <v>5.2217119999999999E-2</v>
      </c>
    </row>
    <row r="6669" spans="1:3" x14ac:dyDescent="0.45">
      <c r="A6669" s="11">
        <v>83.4</v>
      </c>
      <c r="B6669" s="14">
        <v>9.5766199999999996E-2</v>
      </c>
      <c r="C6669" s="15">
        <v>5.2271199999999997E-2</v>
      </c>
    </row>
    <row r="6670" spans="1:3" x14ac:dyDescent="0.45">
      <c r="A6670" s="11">
        <v>83.41</v>
      </c>
      <c r="B6670" s="14">
        <v>9.5860379999999995E-2</v>
      </c>
      <c r="C6670" s="15">
        <v>5.2325280000000002E-2</v>
      </c>
    </row>
    <row r="6671" spans="1:3" x14ac:dyDescent="0.45">
      <c r="A6671" s="11">
        <v>83.42</v>
      </c>
      <c r="B6671" s="14">
        <v>9.5954559999999994E-2</v>
      </c>
      <c r="C6671" s="15">
        <v>5.237936E-2</v>
      </c>
    </row>
    <row r="6672" spans="1:3" x14ac:dyDescent="0.45">
      <c r="A6672" s="11">
        <v>83.43</v>
      </c>
      <c r="B6672" s="14">
        <v>9.6048739999999994E-2</v>
      </c>
      <c r="C6672" s="15">
        <v>5.2433439999999998E-2</v>
      </c>
    </row>
    <row r="6673" spans="1:3" x14ac:dyDescent="0.45">
      <c r="A6673" s="11">
        <v>83.44</v>
      </c>
      <c r="B6673" s="14">
        <v>9.6142920000000007E-2</v>
      </c>
      <c r="C6673" s="15">
        <v>5.2487520000000003E-2</v>
      </c>
    </row>
    <row r="6674" spans="1:3" x14ac:dyDescent="0.45">
      <c r="A6674" s="11">
        <v>83.45</v>
      </c>
      <c r="B6674" s="14">
        <v>9.6237100000000006E-2</v>
      </c>
      <c r="C6674" s="15">
        <v>5.2541600000000001E-2</v>
      </c>
    </row>
    <row r="6675" spans="1:3" x14ac:dyDescent="0.45">
      <c r="A6675" s="11">
        <v>83.46</v>
      </c>
      <c r="B6675" s="14">
        <v>9.6331280000000005E-2</v>
      </c>
      <c r="C6675" s="15">
        <v>5.2595679999999999E-2</v>
      </c>
    </row>
    <row r="6676" spans="1:3" x14ac:dyDescent="0.45">
      <c r="A6676" s="11">
        <v>83.47</v>
      </c>
      <c r="B6676" s="14">
        <v>9.6425460000000005E-2</v>
      </c>
      <c r="C6676" s="15">
        <v>5.2649759999999997E-2</v>
      </c>
    </row>
    <row r="6677" spans="1:3" x14ac:dyDescent="0.45">
      <c r="A6677" s="11">
        <v>83.48</v>
      </c>
      <c r="B6677" s="14">
        <v>9.6519640000000004E-2</v>
      </c>
      <c r="C6677" s="15">
        <v>5.2703840000000002E-2</v>
      </c>
    </row>
    <row r="6678" spans="1:3" x14ac:dyDescent="0.45">
      <c r="A6678" s="11">
        <v>83.49</v>
      </c>
      <c r="B6678" s="14">
        <v>9.6613820000000003E-2</v>
      </c>
      <c r="C6678" s="15">
        <v>5.275792E-2</v>
      </c>
    </row>
    <row r="6679" spans="1:3" x14ac:dyDescent="0.45">
      <c r="A6679" s="11">
        <v>83.5</v>
      </c>
      <c r="B6679" s="14">
        <v>9.6708000000000002E-2</v>
      </c>
      <c r="C6679" s="15">
        <v>5.2811999999999998E-2</v>
      </c>
    </row>
    <row r="6680" spans="1:3" x14ac:dyDescent="0.45">
      <c r="A6680" s="11">
        <v>83.51</v>
      </c>
      <c r="B6680" s="14">
        <v>9.6802180000000002E-2</v>
      </c>
      <c r="C6680" s="15">
        <v>5.2866080000000003E-2</v>
      </c>
    </row>
    <row r="6681" spans="1:3" x14ac:dyDescent="0.45">
      <c r="A6681" s="11">
        <v>83.52</v>
      </c>
      <c r="B6681" s="14">
        <v>9.6896360000000001E-2</v>
      </c>
      <c r="C6681" s="15">
        <v>5.2920160000000001E-2</v>
      </c>
    </row>
    <row r="6682" spans="1:3" x14ac:dyDescent="0.45">
      <c r="A6682" s="11">
        <v>83.53</v>
      </c>
      <c r="B6682" s="14">
        <v>9.699054E-2</v>
      </c>
      <c r="C6682" s="15">
        <v>5.2974239999999999E-2</v>
      </c>
    </row>
    <row r="6683" spans="1:3" x14ac:dyDescent="0.45">
      <c r="A6683" s="11">
        <v>83.54</v>
      </c>
      <c r="B6683" s="14">
        <v>9.7084719999999999E-2</v>
      </c>
      <c r="C6683" s="15">
        <v>5.3028319999999997E-2</v>
      </c>
    </row>
    <row r="6684" spans="1:3" x14ac:dyDescent="0.45">
      <c r="A6684" s="11">
        <v>83.55</v>
      </c>
      <c r="B6684" s="14">
        <v>9.7178899999999999E-2</v>
      </c>
      <c r="C6684" s="15">
        <v>5.3082400000000002E-2</v>
      </c>
    </row>
    <row r="6685" spans="1:3" x14ac:dyDescent="0.45">
      <c r="A6685" s="11">
        <v>83.56</v>
      </c>
      <c r="B6685" s="14">
        <v>9.7273079999999998E-2</v>
      </c>
      <c r="C6685" s="15">
        <v>5.313648E-2</v>
      </c>
    </row>
    <row r="6686" spans="1:3" x14ac:dyDescent="0.45">
      <c r="A6686" s="11">
        <v>83.57</v>
      </c>
      <c r="B6686" s="14">
        <v>9.7367259999999997E-2</v>
      </c>
      <c r="C6686" s="15">
        <v>5.3190559999999998E-2</v>
      </c>
    </row>
    <row r="6687" spans="1:3" x14ac:dyDescent="0.45">
      <c r="A6687" s="11">
        <v>83.58</v>
      </c>
      <c r="B6687" s="14">
        <v>9.7461439999999996E-2</v>
      </c>
      <c r="C6687" s="15">
        <v>5.3244640000000003E-2</v>
      </c>
    </row>
    <row r="6688" spans="1:3" x14ac:dyDescent="0.45">
      <c r="A6688" s="11">
        <v>83.59</v>
      </c>
      <c r="B6688" s="14">
        <v>9.7555619999999996E-2</v>
      </c>
      <c r="C6688" s="15">
        <v>5.3298720000000001E-2</v>
      </c>
    </row>
    <row r="6689" spans="1:3" x14ac:dyDescent="0.45">
      <c r="A6689" s="11">
        <v>83.6</v>
      </c>
      <c r="B6689" s="14">
        <v>9.7649799999999995E-2</v>
      </c>
      <c r="C6689" s="15">
        <v>5.3352799999999999E-2</v>
      </c>
    </row>
    <row r="6690" spans="1:3" x14ac:dyDescent="0.45">
      <c r="A6690" s="11">
        <v>83.61</v>
      </c>
      <c r="B6690" s="14">
        <v>9.7743979999999994E-2</v>
      </c>
      <c r="C6690" s="15">
        <v>5.3406879999999997E-2</v>
      </c>
    </row>
    <row r="6691" spans="1:3" x14ac:dyDescent="0.45">
      <c r="A6691" s="11">
        <v>83.62</v>
      </c>
      <c r="B6691" s="14">
        <v>9.7838159999999993E-2</v>
      </c>
      <c r="C6691" s="15">
        <v>5.3460960000000002E-2</v>
      </c>
    </row>
    <row r="6692" spans="1:3" x14ac:dyDescent="0.45">
      <c r="A6692" s="11">
        <v>83.63</v>
      </c>
      <c r="B6692" s="14">
        <v>9.7932340000000007E-2</v>
      </c>
      <c r="C6692" s="15">
        <v>5.351504E-2</v>
      </c>
    </row>
    <row r="6693" spans="1:3" x14ac:dyDescent="0.45">
      <c r="A6693" s="11">
        <v>83.64</v>
      </c>
      <c r="B6693" s="14">
        <v>9.8026520000000006E-2</v>
      </c>
      <c r="C6693" s="15">
        <v>5.3569119999999998E-2</v>
      </c>
    </row>
    <row r="6694" spans="1:3" x14ac:dyDescent="0.45">
      <c r="A6694" s="11">
        <v>83.65</v>
      </c>
      <c r="B6694" s="14">
        <v>9.8120700000000005E-2</v>
      </c>
      <c r="C6694" s="15">
        <v>5.3623200000000003E-2</v>
      </c>
    </row>
    <row r="6695" spans="1:3" x14ac:dyDescent="0.45">
      <c r="A6695" s="11">
        <v>83.66</v>
      </c>
      <c r="B6695" s="14">
        <v>9.8214880000000004E-2</v>
      </c>
      <c r="C6695" s="15">
        <v>5.3677280000000001E-2</v>
      </c>
    </row>
    <row r="6696" spans="1:3" x14ac:dyDescent="0.45">
      <c r="A6696" s="11">
        <v>83.67</v>
      </c>
      <c r="B6696" s="14">
        <v>9.8309060000000004E-2</v>
      </c>
      <c r="C6696" s="15">
        <v>5.3731359999999999E-2</v>
      </c>
    </row>
    <row r="6697" spans="1:3" x14ac:dyDescent="0.45">
      <c r="A6697" s="11">
        <v>83.68</v>
      </c>
      <c r="B6697" s="14">
        <v>9.8403240000000003E-2</v>
      </c>
      <c r="C6697" s="15">
        <v>5.3785439999999997E-2</v>
      </c>
    </row>
    <row r="6698" spans="1:3" x14ac:dyDescent="0.45">
      <c r="A6698" s="11">
        <v>83.69</v>
      </c>
      <c r="B6698" s="14">
        <v>9.8497420000000002E-2</v>
      </c>
      <c r="C6698" s="15">
        <v>5.3839520000000002E-2</v>
      </c>
    </row>
    <row r="6699" spans="1:3" x14ac:dyDescent="0.45">
      <c r="A6699" s="11">
        <v>83.7</v>
      </c>
      <c r="B6699" s="14">
        <v>9.8591600000000001E-2</v>
      </c>
      <c r="C6699" s="15">
        <v>5.38936E-2</v>
      </c>
    </row>
    <row r="6700" spans="1:3" x14ac:dyDescent="0.45">
      <c r="A6700" s="11">
        <v>83.71</v>
      </c>
      <c r="B6700" s="14">
        <v>9.8685780000000001E-2</v>
      </c>
      <c r="C6700" s="15">
        <v>5.3947679999999998E-2</v>
      </c>
    </row>
    <row r="6701" spans="1:3" x14ac:dyDescent="0.45">
      <c r="A6701" s="11">
        <v>83.72</v>
      </c>
      <c r="B6701" s="14">
        <v>9.877996E-2</v>
      </c>
      <c r="C6701" s="15">
        <v>5.4001760000000003E-2</v>
      </c>
    </row>
    <row r="6702" spans="1:3" x14ac:dyDescent="0.45">
      <c r="A6702" s="11">
        <v>83.73</v>
      </c>
      <c r="B6702" s="14">
        <v>9.8874139999999999E-2</v>
      </c>
      <c r="C6702" s="15">
        <v>5.4055840000000001E-2</v>
      </c>
    </row>
    <row r="6703" spans="1:3" x14ac:dyDescent="0.45">
      <c r="A6703" s="11">
        <v>83.74</v>
      </c>
      <c r="B6703" s="14">
        <v>9.8968319999999999E-2</v>
      </c>
      <c r="C6703" s="15">
        <v>5.4109919999999999E-2</v>
      </c>
    </row>
    <row r="6704" spans="1:3" x14ac:dyDescent="0.45">
      <c r="A6704" s="11">
        <v>83.75</v>
      </c>
      <c r="B6704" s="14">
        <v>9.9062499999999998E-2</v>
      </c>
      <c r="C6704" s="15">
        <v>5.4163999999999997E-2</v>
      </c>
    </row>
    <row r="6705" spans="1:3" x14ac:dyDescent="0.45">
      <c r="A6705" s="11">
        <v>83.76</v>
      </c>
      <c r="B6705" s="14">
        <v>9.9156679999999997E-2</v>
      </c>
      <c r="C6705" s="15">
        <v>5.4218080000000002E-2</v>
      </c>
    </row>
    <row r="6706" spans="1:3" x14ac:dyDescent="0.45">
      <c r="A6706" s="11">
        <v>83.77</v>
      </c>
      <c r="B6706" s="14">
        <v>9.9250859999999996E-2</v>
      </c>
      <c r="C6706" s="15">
        <v>5.427216E-2</v>
      </c>
    </row>
    <row r="6707" spans="1:3" x14ac:dyDescent="0.45">
      <c r="A6707" s="11">
        <v>83.78</v>
      </c>
      <c r="B6707" s="14">
        <v>9.9345039999999996E-2</v>
      </c>
      <c r="C6707" s="15">
        <v>5.4326239999999998E-2</v>
      </c>
    </row>
    <row r="6708" spans="1:3" x14ac:dyDescent="0.45">
      <c r="A6708" s="11">
        <v>83.79</v>
      </c>
      <c r="B6708" s="14">
        <v>9.9439219999999995E-2</v>
      </c>
      <c r="C6708" s="15">
        <v>5.4380320000000003E-2</v>
      </c>
    </row>
    <row r="6709" spans="1:3" x14ac:dyDescent="0.45">
      <c r="A6709" s="11">
        <v>83.8</v>
      </c>
      <c r="B6709" s="14">
        <v>9.9533399999999994E-2</v>
      </c>
      <c r="C6709" s="15">
        <v>5.4434400000000001E-2</v>
      </c>
    </row>
    <row r="6710" spans="1:3" x14ac:dyDescent="0.45">
      <c r="A6710" s="11">
        <v>83.81</v>
      </c>
      <c r="B6710" s="14">
        <v>9.9627579999999993E-2</v>
      </c>
      <c r="C6710" s="15">
        <v>5.4488479999999999E-2</v>
      </c>
    </row>
    <row r="6711" spans="1:3" x14ac:dyDescent="0.45">
      <c r="A6711" s="11">
        <v>83.82</v>
      </c>
      <c r="B6711" s="14">
        <v>9.9721760000000007E-2</v>
      </c>
      <c r="C6711" s="15">
        <v>5.4542559999999997E-2</v>
      </c>
    </row>
    <row r="6712" spans="1:3" x14ac:dyDescent="0.45">
      <c r="A6712" s="11">
        <v>83.83</v>
      </c>
      <c r="B6712" s="14">
        <v>9.9815940000000006E-2</v>
      </c>
      <c r="C6712" s="15">
        <v>5.4596640000000002E-2</v>
      </c>
    </row>
    <row r="6713" spans="1:3" x14ac:dyDescent="0.45">
      <c r="A6713" s="11">
        <v>83.84</v>
      </c>
      <c r="B6713" s="14">
        <v>9.9910120000000005E-2</v>
      </c>
      <c r="C6713" s="15">
        <v>5.465072E-2</v>
      </c>
    </row>
    <row r="6714" spans="1:3" x14ac:dyDescent="0.45">
      <c r="A6714" s="11">
        <v>83.85</v>
      </c>
      <c r="B6714" s="14">
        <v>0.1000043</v>
      </c>
      <c r="C6714" s="15">
        <v>5.4704799999999998E-2</v>
      </c>
    </row>
    <row r="6715" spans="1:3" x14ac:dyDescent="0.45">
      <c r="A6715" s="11">
        <v>83.86</v>
      </c>
      <c r="B6715" s="14">
        <v>0.10009850000000001</v>
      </c>
      <c r="C6715" s="15">
        <v>5.4758880000000003E-2</v>
      </c>
    </row>
    <row r="6716" spans="1:3" x14ac:dyDescent="0.45">
      <c r="A6716" s="11">
        <v>83.87</v>
      </c>
      <c r="B6716" s="14">
        <v>0.1001927</v>
      </c>
      <c r="C6716" s="15">
        <v>5.4812960000000001E-2</v>
      </c>
    </row>
    <row r="6717" spans="1:3" x14ac:dyDescent="0.45">
      <c r="A6717" s="11">
        <v>83.88</v>
      </c>
      <c r="B6717" s="14">
        <v>0.1002868</v>
      </c>
      <c r="C6717" s="15">
        <v>5.4867039999999999E-2</v>
      </c>
    </row>
    <row r="6718" spans="1:3" x14ac:dyDescent="0.45">
      <c r="A6718" s="11">
        <v>83.89</v>
      </c>
      <c r="B6718" s="14">
        <v>0.100381</v>
      </c>
      <c r="C6718" s="15">
        <v>5.4921119999999997E-2</v>
      </c>
    </row>
    <row r="6719" spans="1:3" x14ac:dyDescent="0.45">
      <c r="A6719" s="11">
        <v>83.9</v>
      </c>
      <c r="B6719" s="14">
        <v>0.1004752</v>
      </c>
      <c r="C6719" s="15">
        <v>5.4975200000000002E-2</v>
      </c>
    </row>
    <row r="6720" spans="1:3" x14ac:dyDescent="0.45">
      <c r="A6720" s="11">
        <v>83.91</v>
      </c>
      <c r="B6720" s="14">
        <v>0.1005694</v>
      </c>
      <c r="C6720" s="15">
        <v>5.502928E-2</v>
      </c>
    </row>
    <row r="6721" spans="1:3" x14ac:dyDescent="0.45">
      <c r="A6721" s="11">
        <v>83.92</v>
      </c>
      <c r="B6721" s="14">
        <v>0.10066360000000001</v>
      </c>
      <c r="C6721" s="15">
        <v>5.5083359999999998E-2</v>
      </c>
    </row>
    <row r="6722" spans="1:3" x14ac:dyDescent="0.45">
      <c r="A6722" s="11">
        <v>83.93</v>
      </c>
      <c r="B6722" s="14">
        <v>0.10075770000000001</v>
      </c>
      <c r="C6722" s="15">
        <v>5.5137440000000003E-2</v>
      </c>
    </row>
    <row r="6723" spans="1:3" x14ac:dyDescent="0.45">
      <c r="A6723" s="11">
        <v>83.94</v>
      </c>
      <c r="B6723" s="14">
        <v>0.10085189999999999</v>
      </c>
      <c r="C6723" s="15">
        <v>5.5191520000000001E-2</v>
      </c>
    </row>
    <row r="6724" spans="1:3" x14ac:dyDescent="0.45">
      <c r="A6724" s="11">
        <v>83.95</v>
      </c>
      <c r="B6724" s="14">
        <v>0.1009461</v>
      </c>
      <c r="C6724" s="15">
        <v>5.5245599999999999E-2</v>
      </c>
    </row>
    <row r="6725" spans="1:3" x14ac:dyDescent="0.45">
      <c r="A6725" s="11">
        <v>83.96</v>
      </c>
      <c r="B6725" s="14">
        <v>0.1010403</v>
      </c>
      <c r="C6725" s="15">
        <v>5.5299679999999997E-2</v>
      </c>
    </row>
    <row r="6726" spans="1:3" x14ac:dyDescent="0.45">
      <c r="A6726" s="11">
        <v>83.97</v>
      </c>
      <c r="B6726" s="14">
        <v>0.1011345</v>
      </c>
      <c r="C6726" s="15">
        <v>5.5353760000000002E-2</v>
      </c>
    </row>
    <row r="6727" spans="1:3" x14ac:dyDescent="0.45">
      <c r="A6727" s="11">
        <v>83.98</v>
      </c>
      <c r="B6727" s="14">
        <v>0.1012286</v>
      </c>
      <c r="C6727" s="15">
        <v>5.540784E-2</v>
      </c>
    </row>
    <row r="6728" spans="1:3" x14ac:dyDescent="0.45">
      <c r="A6728" s="11">
        <v>83.99</v>
      </c>
      <c r="B6728" s="14">
        <v>0.1013228</v>
      </c>
      <c r="C6728" s="15">
        <v>5.5461919999999998E-2</v>
      </c>
    </row>
    <row r="6729" spans="1:3" x14ac:dyDescent="0.45">
      <c r="A6729" s="11">
        <v>84</v>
      </c>
      <c r="B6729" s="14">
        <v>0.10141699999999999</v>
      </c>
      <c r="C6729" s="15">
        <v>5.5516000000000003E-2</v>
      </c>
    </row>
    <row r="6730" spans="1:3" x14ac:dyDescent="0.45">
      <c r="A6730" s="11">
        <v>84.01</v>
      </c>
      <c r="B6730" s="14">
        <v>0.1015197</v>
      </c>
      <c r="C6730" s="15">
        <v>5.5575939999999997E-2</v>
      </c>
    </row>
    <row r="6731" spans="1:3" x14ac:dyDescent="0.45">
      <c r="A6731" s="11">
        <v>84.02</v>
      </c>
      <c r="B6731" s="14">
        <v>0.1016225</v>
      </c>
      <c r="C6731" s="15">
        <v>5.5635879999999999E-2</v>
      </c>
    </row>
    <row r="6732" spans="1:3" x14ac:dyDescent="0.45">
      <c r="A6732" s="11">
        <v>84.03</v>
      </c>
      <c r="B6732" s="14">
        <v>0.1017252</v>
      </c>
      <c r="C6732" s="15">
        <v>5.569582E-2</v>
      </c>
    </row>
    <row r="6733" spans="1:3" x14ac:dyDescent="0.45">
      <c r="A6733" s="11">
        <v>84.04</v>
      </c>
      <c r="B6733" s="14">
        <v>0.101828</v>
      </c>
      <c r="C6733" s="15">
        <v>5.5755760000000001E-2</v>
      </c>
    </row>
    <row r="6734" spans="1:3" x14ac:dyDescent="0.45">
      <c r="A6734" s="11">
        <v>84.05</v>
      </c>
      <c r="B6734" s="14">
        <v>0.1019307</v>
      </c>
      <c r="C6734" s="15">
        <v>5.5815700000000003E-2</v>
      </c>
    </row>
    <row r="6735" spans="1:3" x14ac:dyDescent="0.45">
      <c r="A6735" s="11">
        <v>84.06</v>
      </c>
      <c r="B6735" s="14">
        <v>0.1020334</v>
      </c>
      <c r="C6735" s="15">
        <v>5.5875639999999997E-2</v>
      </c>
    </row>
    <row r="6736" spans="1:3" x14ac:dyDescent="0.45">
      <c r="A6736" s="11">
        <v>84.07</v>
      </c>
      <c r="B6736" s="14">
        <v>0.1021362</v>
      </c>
      <c r="C6736" s="15">
        <v>5.5935579999999999E-2</v>
      </c>
    </row>
    <row r="6737" spans="1:3" x14ac:dyDescent="0.45">
      <c r="A6737" s="11">
        <v>84.08</v>
      </c>
      <c r="B6737" s="14">
        <v>0.10223889999999999</v>
      </c>
      <c r="C6737" s="15">
        <v>5.599552E-2</v>
      </c>
    </row>
    <row r="6738" spans="1:3" x14ac:dyDescent="0.45">
      <c r="A6738" s="11">
        <v>84.09</v>
      </c>
      <c r="B6738" s="14">
        <v>0.10234169999999999</v>
      </c>
      <c r="C6738" s="15">
        <v>5.6055460000000001E-2</v>
      </c>
    </row>
    <row r="6739" spans="1:3" x14ac:dyDescent="0.45">
      <c r="A6739" s="11">
        <v>84.1</v>
      </c>
      <c r="B6739" s="14">
        <v>0.1024444</v>
      </c>
      <c r="C6739" s="15">
        <v>5.6115400000000003E-2</v>
      </c>
    </row>
    <row r="6740" spans="1:3" x14ac:dyDescent="0.45">
      <c r="A6740" s="11">
        <v>84.11</v>
      </c>
      <c r="B6740" s="14">
        <v>0.1025471</v>
      </c>
      <c r="C6740" s="15">
        <v>5.6175339999999997E-2</v>
      </c>
    </row>
    <row r="6741" spans="1:3" x14ac:dyDescent="0.45">
      <c r="A6741" s="11">
        <v>84.12</v>
      </c>
      <c r="B6741" s="14">
        <v>0.1026499</v>
      </c>
      <c r="C6741" s="15">
        <v>5.6235279999999999E-2</v>
      </c>
    </row>
    <row r="6742" spans="1:3" x14ac:dyDescent="0.45">
      <c r="A6742" s="11">
        <v>84.13</v>
      </c>
      <c r="B6742" s="14">
        <v>0.1027526</v>
      </c>
      <c r="C6742" s="15">
        <v>5.629522E-2</v>
      </c>
    </row>
    <row r="6743" spans="1:3" x14ac:dyDescent="0.45">
      <c r="A6743" s="11">
        <v>84.14</v>
      </c>
      <c r="B6743" s="14">
        <v>0.1028554</v>
      </c>
      <c r="C6743" s="15">
        <v>5.6355160000000001E-2</v>
      </c>
    </row>
    <row r="6744" spans="1:3" x14ac:dyDescent="0.45">
      <c r="A6744" s="11">
        <v>84.15</v>
      </c>
      <c r="B6744" s="14">
        <v>0.1029581</v>
      </c>
      <c r="C6744" s="15">
        <v>5.6415100000000003E-2</v>
      </c>
    </row>
    <row r="6745" spans="1:3" x14ac:dyDescent="0.45">
      <c r="A6745" s="11">
        <v>84.16</v>
      </c>
      <c r="B6745" s="14">
        <v>0.10306079999999999</v>
      </c>
      <c r="C6745" s="15">
        <v>5.6475039999999997E-2</v>
      </c>
    </row>
    <row r="6746" spans="1:3" x14ac:dyDescent="0.45">
      <c r="A6746" s="11">
        <v>84.17</v>
      </c>
      <c r="B6746" s="14">
        <v>0.10316359999999999</v>
      </c>
      <c r="C6746" s="15">
        <v>5.6534979999999999E-2</v>
      </c>
    </row>
    <row r="6747" spans="1:3" x14ac:dyDescent="0.45">
      <c r="A6747" s="11">
        <v>84.18</v>
      </c>
      <c r="B6747" s="14">
        <v>0.10326630000000001</v>
      </c>
      <c r="C6747" s="15">
        <v>5.659492E-2</v>
      </c>
    </row>
    <row r="6748" spans="1:3" x14ac:dyDescent="0.45">
      <c r="A6748" s="11">
        <v>84.19</v>
      </c>
      <c r="B6748" s="14">
        <v>0.10336910000000001</v>
      </c>
      <c r="C6748" s="15">
        <v>5.6654860000000001E-2</v>
      </c>
    </row>
    <row r="6749" spans="1:3" x14ac:dyDescent="0.45">
      <c r="A6749" s="11">
        <v>84.2</v>
      </c>
      <c r="B6749" s="14">
        <v>0.1034718</v>
      </c>
      <c r="C6749" s="15">
        <v>5.6714800000000003E-2</v>
      </c>
    </row>
    <row r="6750" spans="1:3" x14ac:dyDescent="0.45">
      <c r="A6750" s="11">
        <v>84.21</v>
      </c>
      <c r="B6750" s="14">
        <v>0.1035745</v>
      </c>
      <c r="C6750" s="15">
        <v>5.6774739999999997E-2</v>
      </c>
    </row>
    <row r="6751" spans="1:3" x14ac:dyDescent="0.45">
      <c r="A6751" s="11">
        <v>84.22</v>
      </c>
      <c r="B6751" s="14">
        <v>0.1036773</v>
      </c>
      <c r="C6751" s="15">
        <v>5.6834679999999999E-2</v>
      </c>
    </row>
    <row r="6752" spans="1:3" x14ac:dyDescent="0.45">
      <c r="A6752" s="11">
        <v>84.23</v>
      </c>
      <c r="B6752" s="14">
        <v>0.10378</v>
      </c>
      <c r="C6752" s="15">
        <v>5.689462E-2</v>
      </c>
    </row>
    <row r="6753" spans="1:3" x14ac:dyDescent="0.45">
      <c r="A6753" s="11">
        <v>84.24</v>
      </c>
      <c r="B6753" s="14">
        <v>0.1038828</v>
      </c>
      <c r="C6753" s="15">
        <v>5.6954560000000001E-2</v>
      </c>
    </row>
    <row r="6754" spans="1:3" x14ac:dyDescent="0.45">
      <c r="A6754" s="11">
        <v>84.25</v>
      </c>
      <c r="B6754" s="14">
        <v>0.10398549999999999</v>
      </c>
      <c r="C6754" s="15">
        <v>5.7014500000000003E-2</v>
      </c>
    </row>
    <row r="6755" spans="1:3" x14ac:dyDescent="0.45">
      <c r="A6755" s="11">
        <v>84.26</v>
      </c>
      <c r="B6755" s="14">
        <v>0.10408820000000001</v>
      </c>
      <c r="C6755" s="15">
        <v>5.7074439999999997E-2</v>
      </c>
    </row>
    <row r="6756" spans="1:3" x14ac:dyDescent="0.45">
      <c r="A6756" s="11">
        <v>84.27</v>
      </c>
      <c r="B6756" s="14">
        <v>0.10419100000000001</v>
      </c>
      <c r="C6756" s="15">
        <v>5.7134379999999999E-2</v>
      </c>
    </row>
    <row r="6757" spans="1:3" x14ac:dyDescent="0.45">
      <c r="A6757" s="11">
        <v>84.28</v>
      </c>
      <c r="B6757" s="14">
        <v>0.1042937</v>
      </c>
      <c r="C6757" s="15">
        <v>5.719432E-2</v>
      </c>
    </row>
    <row r="6758" spans="1:3" x14ac:dyDescent="0.45">
      <c r="A6758" s="11">
        <v>84.29</v>
      </c>
      <c r="B6758" s="14">
        <v>0.1043965</v>
      </c>
      <c r="C6758" s="15">
        <v>5.7254260000000001E-2</v>
      </c>
    </row>
    <row r="6759" spans="1:3" x14ac:dyDescent="0.45">
      <c r="A6759" s="11">
        <v>84.3</v>
      </c>
      <c r="B6759" s="14">
        <v>0.1044992</v>
      </c>
      <c r="C6759" s="15">
        <v>5.7314200000000003E-2</v>
      </c>
    </row>
    <row r="6760" spans="1:3" x14ac:dyDescent="0.45">
      <c r="A6760" s="11">
        <v>84.31</v>
      </c>
      <c r="B6760" s="14">
        <v>0.1046019</v>
      </c>
      <c r="C6760" s="15">
        <v>5.7374139999999997E-2</v>
      </c>
    </row>
    <row r="6761" spans="1:3" x14ac:dyDescent="0.45">
      <c r="A6761" s="11">
        <v>84.32</v>
      </c>
      <c r="B6761" s="14">
        <v>0.1047047</v>
      </c>
      <c r="C6761" s="15">
        <v>5.7434079999999998E-2</v>
      </c>
    </row>
    <row r="6762" spans="1:3" x14ac:dyDescent="0.45">
      <c r="A6762" s="11">
        <v>84.33</v>
      </c>
      <c r="B6762" s="14">
        <v>0.1048074</v>
      </c>
      <c r="C6762" s="15">
        <v>5.749402E-2</v>
      </c>
    </row>
    <row r="6763" spans="1:3" x14ac:dyDescent="0.45">
      <c r="A6763" s="11">
        <v>84.34</v>
      </c>
      <c r="B6763" s="14">
        <v>0.1049102</v>
      </c>
      <c r="C6763" s="15">
        <v>5.7553960000000001E-2</v>
      </c>
    </row>
    <row r="6764" spans="1:3" x14ac:dyDescent="0.45">
      <c r="A6764" s="11">
        <v>84.35</v>
      </c>
      <c r="B6764" s="14">
        <v>0.10501290000000001</v>
      </c>
      <c r="C6764" s="15">
        <v>5.7613900000000003E-2</v>
      </c>
    </row>
    <row r="6765" spans="1:3" x14ac:dyDescent="0.45">
      <c r="A6765" s="11">
        <v>84.36</v>
      </c>
      <c r="B6765" s="14">
        <v>0.1051156</v>
      </c>
      <c r="C6765" s="15">
        <v>5.7673839999999997E-2</v>
      </c>
    </row>
    <row r="6766" spans="1:3" x14ac:dyDescent="0.45">
      <c r="A6766" s="11">
        <v>84.37</v>
      </c>
      <c r="B6766" s="14">
        <v>0.1052184</v>
      </c>
      <c r="C6766" s="15">
        <v>5.7733779999999998E-2</v>
      </c>
    </row>
    <row r="6767" spans="1:3" x14ac:dyDescent="0.45">
      <c r="A6767" s="11">
        <v>84.38</v>
      </c>
      <c r="B6767" s="14">
        <v>0.1053211</v>
      </c>
      <c r="C6767" s="15">
        <v>5.779372E-2</v>
      </c>
    </row>
    <row r="6768" spans="1:3" x14ac:dyDescent="0.45">
      <c r="A6768" s="11">
        <v>84.39</v>
      </c>
      <c r="B6768" s="14">
        <v>0.1054239</v>
      </c>
      <c r="C6768" s="15">
        <v>5.7853660000000001E-2</v>
      </c>
    </row>
    <row r="6769" spans="1:3" x14ac:dyDescent="0.45">
      <c r="A6769" s="11">
        <v>84.4</v>
      </c>
      <c r="B6769" s="14">
        <v>0.1055266</v>
      </c>
      <c r="C6769" s="15">
        <v>5.7913600000000003E-2</v>
      </c>
    </row>
    <row r="6770" spans="1:3" x14ac:dyDescent="0.45">
      <c r="A6770" s="11">
        <v>84.41</v>
      </c>
      <c r="B6770" s="14">
        <v>0.1056293</v>
      </c>
      <c r="C6770" s="15">
        <v>5.7973539999999997E-2</v>
      </c>
    </row>
    <row r="6771" spans="1:3" x14ac:dyDescent="0.45">
      <c r="A6771" s="11">
        <v>84.42</v>
      </c>
      <c r="B6771" s="14">
        <v>0.1057321</v>
      </c>
      <c r="C6771" s="15">
        <v>5.8033479999999998E-2</v>
      </c>
    </row>
    <row r="6772" spans="1:3" x14ac:dyDescent="0.45">
      <c r="A6772" s="11">
        <v>84.43</v>
      </c>
      <c r="B6772" s="14">
        <v>0.10583480000000001</v>
      </c>
      <c r="C6772" s="15">
        <v>5.809342E-2</v>
      </c>
    </row>
    <row r="6773" spans="1:3" x14ac:dyDescent="0.45">
      <c r="A6773" s="11">
        <v>84.44</v>
      </c>
      <c r="B6773" s="14">
        <v>0.10593760000000001</v>
      </c>
      <c r="C6773" s="15">
        <v>5.8153360000000001E-2</v>
      </c>
    </row>
    <row r="6774" spans="1:3" x14ac:dyDescent="0.45">
      <c r="A6774" s="11">
        <v>84.45</v>
      </c>
      <c r="B6774" s="14">
        <v>0.1060403</v>
      </c>
      <c r="C6774" s="15">
        <v>5.8213300000000003E-2</v>
      </c>
    </row>
    <row r="6775" spans="1:3" x14ac:dyDescent="0.45">
      <c r="A6775" s="11">
        <v>84.46</v>
      </c>
      <c r="B6775" s="14">
        <v>0.106143</v>
      </c>
      <c r="C6775" s="15">
        <v>5.8273239999999997E-2</v>
      </c>
    </row>
    <row r="6776" spans="1:3" x14ac:dyDescent="0.45">
      <c r="A6776" s="11">
        <v>84.47</v>
      </c>
      <c r="B6776" s="14">
        <v>0.1062458</v>
      </c>
      <c r="C6776" s="15">
        <v>5.8333179999999998E-2</v>
      </c>
    </row>
    <row r="6777" spans="1:3" x14ac:dyDescent="0.45">
      <c r="A6777" s="11">
        <v>84.48</v>
      </c>
      <c r="B6777" s="14">
        <v>0.1063485</v>
      </c>
      <c r="C6777" s="15">
        <v>5.839312E-2</v>
      </c>
    </row>
    <row r="6778" spans="1:3" x14ac:dyDescent="0.45">
      <c r="A6778" s="11">
        <v>84.49</v>
      </c>
      <c r="B6778" s="14">
        <v>0.1064513</v>
      </c>
      <c r="C6778" s="15">
        <v>5.8453060000000001E-2</v>
      </c>
    </row>
    <row r="6779" spans="1:3" x14ac:dyDescent="0.45">
      <c r="A6779" s="11">
        <v>84.5</v>
      </c>
      <c r="B6779" s="14">
        <v>0.106554</v>
      </c>
      <c r="C6779" s="15">
        <v>5.8513000000000003E-2</v>
      </c>
    </row>
    <row r="6780" spans="1:3" x14ac:dyDescent="0.45">
      <c r="A6780" s="11">
        <v>84.51</v>
      </c>
      <c r="B6780" s="14">
        <v>0.10665669999999999</v>
      </c>
      <c r="C6780" s="15">
        <v>5.8572939999999997E-2</v>
      </c>
    </row>
    <row r="6781" spans="1:3" x14ac:dyDescent="0.45">
      <c r="A6781" s="11">
        <v>84.52</v>
      </c>
      <c r="B6781" s="14">
        <v>0.10675949999999999</v>
      </c>
      <c r="C6781" s="15">
        <v>5.8632879999999998E-2</v>
      </c>
    </row>
    <row r="6782" spans="1:3" x14ac:dyDescent="0.45">
      <c r="A6782" s="11">
        <v>84.53</v>
      </c>
      <c r="B6782" s="14">
        <v>0.1068622</v>
      </c>
      <c r="C6782" s="15">
        <v>5.869282E-2</v>
      </c>
    </row>
    <row r="6783" spans="1:3" x14ac:dyDescent="0.45">
      <c r="A6783" s="11">
        <v>84.54</v>
      </c>
      <c r="B6783" s="14">
        <v>0.106965</v>
      </c>
      <c r="C6783" s="15">
        <v>5.8752760000000001E-2</v>
      </c>
    </row>
    <row r="6784" spans="1:3" x14ac:dyDescent="0.45">
      <c r="A6784" s="11">
        <v>84.55</v>
      </c>
      <c r="B6784" s="14">
        <v>0.1070677</v>
      </c>
      <c r="C6784" s="15">
        <v>5.8812700000000002E-2</v>
      </c>
    </row>
    <row r="6785" spans="1:3" x14ac:dyDescent="0.45">
      <c r="A6785" s="11">
        <v>84.56</v>
      </c>
      <c r="B6785" s="14">
        <v>0.1071704</v>
      </c>
      <c r="C6785" s="15">
        <v>5.8872639999999997E-2</v>
      </c>
    </row>
    <row r="6786" spans="1:3" x14ac:dyDescent="0.45">
      <c r="A6786" s="11">
        <v>84.57</v>
      </c>
      <c r="B6786" s="14">
        <v>0.1072732</v>
      </c>
      <c r="C6786" s="15">
        <v>5.8932579999999998E-2</v>
      </c>
    </row>
    <row r="6787" spans="1:3" x14ac:dyDescent="0.45">
      <c r="A6787" s="11">
        <v>84.58</v>
      </c>
      <c r="B6787" s="14">
        <v>0.1073759</v>
      </c>
      <c r="C6787" s="15">
        <v>5.899252E-2</v>
      </c>
    </row>
    <row r="6788" spans="1:3" x14ac:dyDescent="0.45">
      <c r="A6788" s="11">
        <v>84.59</v>
      </c>
      <c r="B6788" s="14">
        <v>0.1074787</v>
      </c>
      <c r="C6788" s="15">
        <v>5.9052460000000001E-2</v>
      </c>
    </row>
    <row r="6789" spans="1:3" x14ac:dyDescent="0.45">
      <c r="A6789" s="11">
        <v>84.6</v>
      </c>
      <c r="B6789" s="14">
        <v>0.10758139999999999</v>
      </c>
      <c r="C6789" s="15">
        <v>5.9112400000000002E-2</v>
      </c>
    </row>
    <row r="6790" spans="1:3" x14ac:dyDescent="0.45">
      <c r="A6790" s="11">
        <v>84.61</v>
      </c>
      <c r="B6790" s="14">
        <v>0.1076841</v>
      </c>
      <c r="C6790" s="15">
        <v>5.9172339999999997E-2</v>
      </c>
    </row>
    <row r="6791" spans="1:3" x14ac:dyDescent="0.45">
      <c r="A6791" s="11">
        <v>84.62</v>
      </c>
      <c r="B6791" s="14">
        <v>0.1077869</v>
      </c>
      <c r="C6791" s="15">
        <v>5.9232279999999998E-2</v>
      </c>
    </row>
    <row r="6792" spans="1:3" x14ac:dyDescent="0.45">
      <c r="A6792" s="11">
        <v>84.63</v>
      </c>
      <c r="B6792" s="14">
        <v>0.1078896</v>
      </c>
      <c r="C6792" s="15">
        <v>5.929222E-2</v>
      </c>
    </row>
    <row r="6793" spans="1:3" x14ac:dyDescent="0.45">
      <c r="A6793" s="11">
        <v>84.64</v>
      </c>
      <c r="B6793" s="14">
        <v>0.1079924</v>
      </c>
      <c r="C6793" s="15">
        <v>5.9352160000000001E-2</v>
      </c>
    </row>
    <row r="6794" spans="1:3" x14ac:dyDescent="0.45">
      <c r="A6794" s="11">
        <v>84.65</v>
      </c>
      <c r="B6794" s="14">
        <v>0.1080951</v>
      </c>
      <c r="C6794" s="15">
        <v>5.9412100000000002E-2</v>
      </c>
    </row>
    <row r="6795" spans="1:3" x14ac:dyDescent="0.45">
      <c r="A6795" s="11">
        <v>84.66</v>
      </c>
      <c r="B6795" s="14">
        <v>0.1081978</v>
      </c>
      <c r="C6795" s="15">
        <v>5.9472039999999997E-2</v>
      </c>
    </row>
    <row r="6796" spans="1:3" x14ac:dyDescent="0.45">
      <c r="A6796" s="11">
        <v>84.67</v>
      </c>
      <c r="B6796" s="14">
        <v>0.1083006</v>
      </c>
      <c r="C6796" s="15">
        <v>5.9531979999999998E-2</v>
      </c>
    </row>
    <row r="6797" spans="1:3" x14ac:dyDescent="0.45">
      <c r="A6797" s="11">
        <v>84.68</v>
      </c>
      <c r="B6797" s="14">
        <v>0.10840329999999999</v>
      </c>
      <c r="C6797" s="15">
        <v>5.959192E-2</v>
      </c>
    </row>
    <row r="6798" spans="1:3" x14ac:dyDescent="0.45">
      <c r="A6798" s="11">
        <v>84.69</v>
      </c>
      <c r="B6798" s="14">
        <v>0.10850609999999999</v>
      </c>
      <c r="C6798" s="15">
        <v>5.9651860000000001E-2</v>
      </c>
    </row>
    <row r="6799" spans="1:3" x14ac:dyDescent="0.45">
      <c r="A6799" s="11">
        <v>84.7</v>
      </c>
      <c r="B6799" s="14">
        <v>0.10860880000000001</v>
      </c>
      <c r="C6799" s="15">
        <v>5.9711800000000002E-2</v>
      </c>
    </row>
    <row r="6800" spans="1:3" x14ac:dyDescent="0.45">
      <c r="A6800" s="11">
        <v>84.71</v>
      </c>
      <c r="B6800" s="14">
        <v>0.1087115</v>
      </c>
      <c r="C6800" s="15">
        <v>5.9771739999999997E-2</v>
      </c>
    </row>
    <row r="6801" spans="1:3" x14ac:dyDescent="0.45">
      <c r="A6801" s="11">
        <v>84.72</v>
      </c>
      <c r="B6801" s="14">
        <v>0.1088143</v>
      </c>
      <c r="C6801" s="15">
        <v>5.9831679999999998E-2</v>
      </c>
    </row>
    <row r="6802" spans="1:3" x14ac:dyDescent="0.45">
      <c r="A6802" s="11">
        <v>84.73</v>
      </c>
      <c r="B6802" s="14">
        <v>0.108917</v>
      </c>
      <c r="C6802" s="15">
        <v>5.989162E-2</v>
      </c>
    </row>
    <row r="6803" spans="1:3" x14ac:dyDescent="0.45">
      <c r="A6803" s="11">
        <v>84.74</v>
      </c>
      <c r="B6803" s="14">
        <v>0.1090198</v>
      </c>
      <c r="C6803" s="15">
        <v>5.9951560000000001E-2</v>
      </c>
    </row>
    <row r="6804" spans="1:3" x14ac:dyDescent="0.45">
      <c r="A6804" s="11">
        <v>84.75</v>
      </c>
      <c r="B6804" s="14">
        <v>0.1091225</v>
      </c>
      <c r="C6804" s="15">
        <v>6.0011500000000002E-2</v>
      </c>
    </row>
    <row r="6805" spans="1:3" x14ac:dyDescent="0.45">
      <c r="A6805" s="11">
        <v>84.76</v>
      </c>
      <c r="B6805" s="14">
        <v>0.10922519999999999</v>
      </c>
      <c r="C6805" s="15">
        <v>6.0071439999999997E-2</v>
      </c>
    </row>
    <row r="6806" spans="1:3" x14ac:dyDescent="0.45">
      <c r="A6806" s="11">
        <v>84.77</v>
      </c>
      <c r="B6806" s="14">
        <v>0.10932799999999999</v>
      </c>
      <c r="C6806" s="15">
        <v>6.0131379999999998E-2</v>
      </c>
    </row>
    <row r="6807" spans="1:3" x14ac:dyDescent="0.45">
      <c r="A6807" s="11">
        <v>84.78</v>
      </c>
      <c r="B6807" s="14">
        <v>0.10943070000000001</v>
      </c>
      <c r="C6807" s="15">
        <v>6.019132E-2</v>
      </c>
    </row>
    <row r="6808" spans="1:3" x14ac:dyDescent="0.45">
      <c r="A6808" s="11">
        <v>84.79</v>
      </c>
      <c r="B6808" s="14">
        <v>0.10953350000000001</v>
      </c>
      <c r="C6808" s="15">
        <v>6.0251260000000001E-2</v>
      </c>
    </row>
    <row r="6809" spans="1:3" x14ac:dyDescent="0.45">
      <c r="A6809" s="11">
        <v>84.8</v>
      </c>
      <c r="B6809" s="14">
        <v>0.1096362</v>
      </c>
      <c r="C6809" s="15">
        <v>6.0311200000000002E-2</v>
      </c>
    </row>
    <row r="6810" spans="1:3" x14ac:dyDescent="0.45">
      <c r="A6810" s="11">
        <v>84.81</v>
      </c>
      <c r="B6810" s="14">
        <v>0.1097389</v>
      </c>
      <c r="C6810" s="15">
        <v>6.0371139999999997E-2</v>
      </c>
    </row>
    <row r="6811" spans="1:3" x14ac:dyDescent="0.45">
      <c r="A6811" s="11">
        <v>84.82</v>
      </c>
      <c r="B6811" s="14">
        <v>0.1098417</v>
      </c>
      <c r="C6811" s="15">
        <v>6.0431079999999998E-2</v>
      </c>
    </row>
    <row r="6812" spans="1:3" x14ac:dyDescent="0.45">
      <c r="A6812" s="11">
        <v>84.83</v>
      </c>
      <c r="B6812" s="14">
        <v>0.1099444</v>
      </c>
      <c r="C6812" s="15">
        <v>6.049102E-2</v>
      </c>
    </row>
    <row r="6813" spans="1:3" x14ac:dyDescent="0.45">
      <c r="A6813" s="11">
        <v>84.84</v>
      </c>
      <c r="B6813" s="14">
        <v>0.1100472</v>
      </c>
      <c r="C6813" s="15">
        <v>6.0550960000000001E-2</v>
      </c>
    </row>
    <row r="6814" spans="1:3" x14ac:dyDescent="0.45">
      <c r="A6814" s="11">
        <v>84.85</v>
      </c>
      <c r="B6814" s="14">
        <v>0.1101499</v>
      </c>
      <c r="C6814" s="15">
        <v>6.0610900000000002E-2</v>
      </c>
    </row>
    <row r="6815" spans="1:3" x14ac:dyDescent="0.45">
      <c r="A6815" s="11">
        <v>84.86</v>
      </c>
      <c r="B6815" s="14">
        <v>0.11025260000000001</v>
      </c>
      <c r="C6815" s="15">
        <v>6.0670839999999997E-2</v>
      </c>
    </row>
    <row r="6816" spans="1:3" x14ac:dyDescent="0.45">
      <c r="A6816" s="11">
        <v>84.87</v>
      </c>
      <c r="B6816" s="14">
        <v>0.11035540000000001</v>
      </c>
      <c r="C6816" s="15">
        <v>6.0730779999999998E-2</v>
      </c>
    </row>
    <row r="6817" spans="1:3" x14ac:dyDescent="0.45">
      <c r="A6817" s="11">
        <v>84.88</v>
      </c>
      <c r="B6817" s="14">
        <v>0.1104581</v>
      </c>
      <c r="C6817" s="15">
        <v>6.0790719999999999E-2</v>
      </c>
    </row>
    <row r="6818" spans="1:3" x14ac:dyDescent="0.45">
      <c r="A6818" s="11">
        <v>84.89</v>
      </c>
      <c r="B6818" s="14">
        <v>0.1105609</v>
      </c>
      <c r="C6818" s="15">
        <v>6.0850660000000001E-2</v>
      </c>
    </row>
    <row r="6819" spans="1:3" x14ac:dyDescent="0.45">
      <c r="A6819" s="11">
        <v>84.9</v>
      </c>
      <c r="B6819" s="14">
        <v>0.1106636</v>
      </c>
      <c r="C6819" s="15">
        <v>6.0910600000000002E-2</v>
      </c>
    </row>
    <row r="6820" spans="1:3" x14ac:dyDescent="0.45">
      <c r="A6820" s="11">
        <v>84.91</v>
      </c>
      <c r="B6820" s="14">
        <v>0.1107663</v>
      </c>
      <c r="C6820" s="15">
        <v>6.0970539999999997E-2</v>
      </c>
    </row>
    <row r="6821" spans="1:3" x14ac:dyDescent="0.45">
      <c r="A6821" s="11">
        <v>84.92</v>
      </c>
      <c r="B6821" s="14">
        <v>0.1108691</v>
      </c>
      <c r="C6821" s="15">
        <v>6.1030479999999998E-2</v>
      </c>
    </row>
    <row r="6822" spans="1:3" x14ac:dyDescent="0.45">
      <c r="A6822" s="11">
        <v>84.93</v>
      </c>
      <c r="B6822" s="14">
        <v>0.1109718</v>
      </c>
      <c r="C6822" s="15">
        <v>6.1090419999999999E-2</v>
      </c>
    </row>
    <row r="6823" spans="1:3" x14ac:dyDescent="0.45">
      <c r="A6823" s="11">
        <v>84.94</v>
      </c>
      <c r="B6823" s="14">
        <v>0.1110746</v>
      </c>
      <c r="C6823" s="15">
        <v>6.1150360000000001E-2</v>
      </c>
    </row>
    <row r="6824" spans="1:3" x14ac:dyDescent="0.45">
      <c r="A6824" s="11">
        <v>84.95</v>
      </c>
      <c r="B6824" s="14">
        <v>0.11117730000000001</v>
      </c>
      <c r="C6824" s="15">
        <v>6.1210300000000002E-2</v>
      </c>
    </row>
    <row r="6825" spans="1:3" x14ac:dyDescent="0.45">
      <c r="A6825" s="11">
        <v>84.96</v>
      </c>
      <c r="B6825" s="14">
        <v>0.11128</v>
      </c>
      <c r="C6825" s="15">
        <v>6.1270239999999997E-2</v>
      </c>
    </row>
    <row r="6826" spans="1:3" x14ac:dyDescent="0.45">
      <c r="A6826" s="11">
        <v>84.97</v>
      </c>
      <c r="B6826" s="14">
        <v>0.1113828</v>
      </c>
      <c r="C6826" s="15">
        <v>6.1330179999999998E-2</v>
      </c>
    </row>
    <row r="6827" spans="1:3" x14ac:dyDescent="0.45">
      <c r="A6827" s="11">
        <v>84.98</v>
      </c>
      <c r="B6827" s="14">
        <v>0.1114855</v>
      </c>
      <c r="C6827" s="15">
        <v>6.1390119999999999E-2</v>
      </c>
    </row>
    <row r="6828" spans="1:3" x14ac:dyDescent="0.45">
      <c r="A6828" s="11">
        <v>84.99</v>
      </c>
      <c r="B6828" s="14">
        <v>0.1115883</v>
      </c>
      <c r="C6828" s="15">
        <v>6.1450060000000001E-2</v>
      </c>
    </row>
    <row r="6829" spans="1:3" x14ac:dyDescent="0.45">
      <c r="A6829" s="11">
        <v>85</v>
      </c>
      <c r="B6829" s="14">
        <v>0.111691</v>
      </c>
      <c r="C6829" s="15">
        <v>6.1510000000000002E-2</v>
      </c>
    </row>
    <row r="6830" spans="1:3" x14ac:dyDescent="0.45">
      <c r="A6830" s="11">
        <v>85.01</v>
      </c>
      <c r="B6830" s="14">
        <v>0.1118029</v>
      </c>
      <c r="C6830" s="15">
        <v>6.157642E-2</v>
      </c>
    </row>
    <row r="6831" spans="1:3" x14ac:dyDescent="0.45">
      <c r="A6831" s="11">
        <v>85.02</v>
      </c>
      <c r="B6831" s="14">
        <v>0.1119149</v>
      </c>
      <c r="C6831" s="15">
        <v>6.1642839999999997E-2</v>
      </c>
    </row>
    <row r="6832" spans="1:3" x14ac:dyDescent="0.45">
      <c r="A6832" s="11">
        <v>85.03</v>
      </c>
      <c r="B6832" s="14">
        <v>0.1120268</v>
      </c>
      <c r="C6832" s="15">
        <v>6.1709260000000002E-2</v>
      </c>
    </row>
    <row r="6833" spans="1:3" x14ac:dyDescent="0.45">
      <c r="A6833" s="11">
        <v>85.04</v>
      </c>
      <c r="B6833" s="14">
        <v>0.11213869999999999</v>
      </c>
      <c r="C6833" s="15">
        <v>6.1775679999999999E-2</v>
      </c>
    </row>
    <row r="6834" spans="1:3" x14ac:dyDescent="0.45">
      <c r="A6834" s="11">
        <v>85.05</v>
      </c>
      <c r="B6834" s="14">
        <v>0.11225060000000001</v>
      </c>
      <c r="C6834" s="15">
        <v>6.1842099999999997E-2</v>
      </c>
    </row>
    <row r="6835" spans="1:3" x14ac:dyDescent="0.45">
      <c r="A6835" s="11">
        <v>85.06</v>
      </c>
      <c r="B6835" s="14">
        <v>0.11236260000000001</v>
      </c>
      <c r="C6835" s="15">
        <v>6.1908520000000002E-2</v>
      </c>
    </row>
    <row r="6836" spans="1:3" x14ac:dyDescent="0.45">
      <c r="A6836" s="11">
        <v>85.07</v>
      </c>
      <c r="B6836" s="14">
        <v>0.11247450000000001</v>
      </c>
      <c r="C6836" s="15">
        <v>6.1974939999999999E-2</v>
      </c>
    </row>
    <row r="6837" spans="1:3" x14ac:dyDescent="0.45">
      <c r="A6837" s="11">
        <v>85.08</v>
      </c>
      <c r="B6837" s="14">
        <v>0.1125864</v>
      </c>
      <c r="C6837" s="15">
        <v>6.2041359999999997E-2</v>
      </c>
    </row>
    <row r="6838" spans="1:3" x14ac:dyDescent="0.45">
      <c r="A6838" s="11">
        <v>85.09</v>
      </c>
      <c r="B6838" s="14">
        <v>0.1126984</v>
      </c>
      <c r="C6838" s="15">
        <v>6.2107780000000001E-2</v>
      </c>
    </row>
    <row r="6839" spans="1:3" x14ac:dyDescent="0.45">
      <c r="A6839" s="11">
        <v>85.1</v>
      </c>
      <c r="B6839" s="14">
        <v>0.1128103</v>
      </c>
      <c r="C6839" s="15">
        <v>6.2174199999999999E-2</v>
      </c>
    </row>
    <row r="6840" spans="1:3" x14ac:dyDescent="0.45">
      <c r="A6840" s="11">
        <v>85.11</v>
      </c>
      <c r="B6840" s="14">
        <v>0.1129222</v>
      </c>
      <c r="C6840" s="15">
        <v>6.2240620000000003E-2</v>
      </c>
    </row>
    <row r="6841" spans="1:3" x14ac:dyDescent="0.45">
      <c r="A6841" s="11">
        <v>85.12</v>
      </c>
      <c r="B6841" s="14">
        <v>0.1130342</v>
      </c>
      <c r="C6841" s="15">
        <v>6.2307040000000001E-2</v>
      </c>
    </row>
    <row r="6842" spans="1:3" x14ac:dyDescent="0.45">
      <c r="A6842" s="11">
        <v>85.13</v>
      </c>
      <c r="B6842" s="14">
        <v>0.1131461</v>
      </c>
      <c r="C6842" s="15">
        <v>6.2373459999999999E-2</v>
      </c>
    </row>
    <row r="6843" spans="1:3" x14ac:dyDescent="0.45">
      <c r="A6843" s="11">
        <v>85.14</v>
      </c>
      <c r="B6843" s="14">
        <v>0.113258</v>
      </c>
      <c r="C6843" s="15">
        <v>6.2439880000000003E-2</v>
      </c>
    </row>
    <row r="6844" spans="1:3" x14ac:dyDescent="0.45">
      <c r="A6844" s="11">
        <v>85.15</v>
      </c>
      <c r="B6844" s="14">
        <v>0.11337</v>
      </c>
      <c r="C6844" s="15">
        <v>6.2506300000000001E-2</v>
      </c>
    </row>
    <row r="6845" spans="1:3" x14ac:dyDescent="0.45">
      <c r="A6845" s="11">
        <v>85.16</v>
      </c>
      <c r="B6845" s="14">
        <v>0.1134819</v>
      </c>
      <c r="C6845" s="15">
        <v>6.2572719999999998E-2</v>
      </c>
    </row>
    <row r="6846" spans="1:3" x14ac:dyDescent="0.45">
      <c r="A6846" s="11">
        <v>85.17</v>
      </c>
      <c r="B6846" s="14">
        <v>0.11359379999999999</v>
      </c>
      <c r="C6846" s="15">
        <v>6.2639139999999996E-2</v>
      </c>
    </row>
    <row r="6847" spans="1:3" x14ac:dyDescent="0.45">
      <c r="A6847" s="11">
        <v>85.18</v>
      </c>
      <c r="B6847" s="14">
        <v>0.11370570000000001</v>
      </c>
      <c r="C6847" s="15">
        <v>6.2705559999999994E-2</v>
      </c>
    </row>
    <row r="6848" spans="1:3" x14ac:dyDescent="0.45">
      <c r="A6848" s="11">
        <v>85.19</v>
      </c>
      <c r="B6848" s="14">
        <v>0.11381769999999999</v>
      </c>
      <c r="C6848" s="15">
        <v>6.2771980000000005E-2</v>
      </c>
    </row>
    <row r="6849" spans="1:3" x14ac:dyDescent="0.45">
      <c r="A6849" s="11">
        <v>85.2</v>
      </c>
      <c r="B6849" s="14">
        <v>0.11392960000000001</v>
      </c>
      <c r="C6849" s="15">
        <v>6.2838400000000003E-2</v>
      </c>
    </row>
    <row r="6850" spans="1:3" x14ac:dyDescent="0.45">
      <c r="A6850" s="11">
        <v>85.21</v>
      </c>
      <c r="B6850" s="14">
        <v>0.1140415</v>
      </c>
      <c r="C6850" s="15">
        <v>6.290482E-2</v>
      </c>
    </row>
    <row r="6851" spans="1:3" x14ac:dyDescent="0.45">
      <c r="A6851" s="11">
        <v>85.22</v>
      </c>
      <c r="B6851" s="14">
        <v>0.1141535</v>
      </c>
      <c r="C6851" s="15">
        <v>6.2971239999999998E-2</v>
      </c>
    </row>
    <row r="6852" spans="1:3" x14ac:dyDescent="0.45">
      <c r="A6852" s="11">
        <v>85.23</v>
      </c>
      <c r="B6852" s="14">
        <v>0.1142654</v>
      </c>
      <c r="C6852" s="15">
        <v>6.3037659999999995E-2</v>
      </c>
    </row>
    <row r="6853" spans="1:3" x14ac:dyDescent="0.45">
      <c r="A6853" s="11">
        <v>85.24</v>
      </c>
      <c r="B6853" s="14">
        <v>0.1143773</v>
      </c>
      <c r="C6853" s="15">
        <v>6.3104080000000007E-2</v>
      </c>
    </row>
    <row r="6854" spans="1:3" x14ac:dyDescent="0.45">
      <c r="A6854" s="11">
        <v>85.25</v>
      </c>
      <c r="B6854" s="14">
        <v>0.1144893</v>
      </c>
      <c r="C6854" s="15">
        <v>6.3170500000000004E-2</v>
      </c>
    </row>
    <row r="6855" spans="1:3" x14ac:dyDescent="0.45">
      <c r="A6855" s="11">
        <v>85.26</v>
      </c>
      <c r="B6855" s="14">
        <v>0.1146012</v>
      </c>
      <c r="C6855" s="15">
        <v>6.3236920000000002E-2</v>
      </c>
    </row>
    <row r="6856" spans="1:3" x14ac:dyDescent="0.45">
      <c r="A6856" s="11">
        <v>85.27</v>
      </c>
      <c r="B6856" s="14">
        <v>0.1147131</v>
      </c>
      <c r="C6856" s="15">
        <v>6.330334E-2</v>
      </c>
    </row>
    <row r="6857" spans="1:3" x14ac:dyDescent="0.45">
      <c r="A6857" s="11">
        <v>85.28</v>
      </c>
      <c r="B6857" s="14">
        <v>0.114825</v>
      </c>
      <c r="C6857" s="15">
        <v>6.3369759999999997E-2</v>
      </c>
    </row>
    <row r="6858" spans="1:3" x14ac:dyDescent="0.45">
      <c r="A6858" s="11">
        <v>85.29</v>
      </c>
      <c r="B6858" s="14">
        <v>0.114937</v>
      </c>
      <c r="C6858" s="15">
        <v>6.3436179999999995E-2</v>
      </c>
    </row>
    <row r="6859" spans="1:3" x14ac:dyDescent="0.45">
      <c r="A6859" s="11">
        <v>85.3</v>
      </c>
      <c r="B6859" s="14">
        <v>0.1150489</v>
      </c>
      <c r="C6859" s="15">
        <v>6.3502600000000006E-2</v>
      </c>
    </row>
    <row r="6860" spans="1:3" x14ac:dyDescent="0.45">
      <c r="A6860" s="11">
        <v>85.31</v>
      </c>
      <c r="B6860" s="14">
        <v>0.11516079999999999</v>
      </c>
      <c r="C6860" s="15">
        <v>6.3569020000000004E-2</v>
      </c>
    </row>
    <row r="6861" spans="1:3" x14ac:dyDescent="0.45">
      <c r="A6861" s="11">
        <v>85.32</v>
      </c>
      <c r="B6861" s="14">
        <v>0.11527279999999999</v>
      </c>
      <c r="C6861" s="15">
        <v>6.3635440000000001E-2</v>
      </c>
    </row>
    <row r="6862" spans="1:3" x14ac:dyDescent="0.45">
      <c r="A6862" s="11">
        <v>85.33</v>
      </c>
      <c r="B6862" s="14">
        <v>0.11538470000000001</v>
      </c>
      <c r="C6862" s="15">
        <v>6.3701859999999999E-2</v>
      </c>
    </row>
    <row r="6863" spans="1:3" x14ac:dyDescent="0.45">
      <c r="A6863" s="11">
        <v>85.34</v>
      </c>
      <c r="B6863" s="14">
        <v>0.1154966</v>
      </c>
      <c r="C6863" s="15">
        <v>6.3768279999999997E-2</v>
      </c>
    </row>
    <row r="6864" spans="1:3" x14ac:dyDescent="0.45">
      <c r="A6864" s="11">
        <v>85.35</v>
      </c>
      <c r="B6864" s="14">
        <v>0.1156085</v>
      </c>
      <c r="C6864" s="15">
        <v>6.3834699999999994E-2</v>
      </c>
    </row>
    <row r="6865" spans="1:3" x14ac:dyDescent="0.45">
      <c r="A6865" s="11">
        <v>85.36</v>
      </c>
      <c r="B6865" s="14">
        <v>0.1157205</v>
      </c>
      <c r="C6865" s="15">
        <v>6.3901120000000006E-2</v>
      </c>
    </row>
    <row r="6866" spans="1:3" x14ac:dyDescent="0.45">
      <c r="A6866" s="11">
        <v>85.37</v>
      </c>
      <c r="B6866" s="14">
        <v>0.1158324</v>
      </c>
      <c r="C6866" s="15">
        <v>6.3967540000000003E-2</v>
      </c>
    </row>
    <row r="6867" spans="1:3" x14ac:dyDescent="0.45">
      <c r="A6867" s="11">
        <v>85.38</v>
      </c>
      <c r="B6867" s="14">
        <v>0.1159443</v>
      </c>
      <c r="C6867" s="15">
        <v>6.4033960000000001E-2</v>
      </c>
    </row>
    <row r="6868" spans="1:3" x14ac:dyDescent="0.45">
      <c r="A6868" s="11">
        <v>85.39</v>
      </c>
      <c r="B6868" s="14">
        <v>0.1160563</v>
      </c>
      <c r="C6868" s="15">
        <v>6.4100379999999998E-2</v>
      </c>
    </row>
    <row r="6869" spans="1:3" x14ac:dyDescent="0.45">
      <c r="A6869" s="11">
        <v>85.4</v>
      </c>
      <c r="B6869" s="14">
        <v>0.1161682</v>
      </c>
      <c r="C6869" s="15">
        <v>6.4166799999999996E-2</v>
      </c>
    </row>
    <row r="6870" spans="1:3" x14ac:dyDescent="0.45">
      <c r="A6870" s="11">
        <v>85.41</v>
      </c>
      <c r="B6870" s="14">
        <v>0.1162801</v>
      </c>
      <c r="C6870" s="15">
        <v>6.4233219999999994E-2</v>
      </c>
    </row>
    <row r="6871" spans="1:3" x14ac:dyDescent="0.45">
      <c r="A6871" s="11">
        <v>85.42</v>
      </c>
      <c r="B6871" s="14">
        <v>0.1163921</v>
      </c>
      <c r="C6871" s="15">
        <v>6.4299640000000005E-2</v>
      </c>
    </row>
    <row r="6872" spans="1:3" x14ac:dyDescent="0.45">
      <c r="A6872" s="11">
        <v>85.43</v>
      </c>
      <c r="B6872" s="14">
        <v>0.116504</v>
      </c>
      <c r="C6872" s="15">
        <v>6.4366060000000003E-2</v>
      </c>
    </row>
    <row r="6873" spans="1:3" x14ac:dyDescent="0.45">
      <c r="A6873" s="11">
        <v>85.44</v>
      </c>
      <c r="B6873" s="14">
        <v>0.11661589999999999</v>
      </c>
      <c r="C6873" s="15">
        <v>6.443248E-2</v>
      </c>
    </row>
    <row r="6874" spans="1:3" x14ac:dyDescent="0.45">
      <c r="A6874" s="11">
        <v>85.45</v>
      </c>
      <c r="B6874" s="14">
        <v>0.1167279</v>
      </c>
      <c r="C6874" s="15">
        <v>6.4498899999999998E-2</v>
      </c>
    </row>
    <row r="6875" spans="1:3" x14ac:dyDescent="0.45">
      <c r="A6875" s="11">
        <v>85.46</v>
      </c>
      <c r="B6875" s="14">
        <v>0.11683979999999999</v>
      </c>
      <c r="C6875" s="15">
        <v>6.4565319999999995E-2</v>
      </c>
    </row>
    <row r="6876" spans="1:3" x14ac:dyDescent="0.45">
      <c r="A6876" s="11">
        <v>85.47</v>
      </c>
      <c r="B6876" s="14">
        <v>0.11695170000000001</v>
      </c>
      <c r="C6876" s="15">
        <v>6.4631739999999993E-2</v>
      </c>
    </row>
    <row r="6877" spans="1:3" x14ac:dyDescent="0.45">
      <c r="A6877" s="11">
        <v>85.48</v>
      </c>
      <c r="B6877" s="14">
        <v>0.1170636</v>
      </c>
      <c r="C6877" s="15">
        <v>6.4698160000000005E-2</v>
      </c>
    </row>
    <row r="6878" spans="1:3" x14ac:dyDescent="0.45">
      <c r="A6878" s="11">
        <v>85.49</v>
      </c>
      <c r="B6878" s="14">
        <v>0.1171756</v>
      </c>
      <c r="C6878" s="15">
        <v>6.4764580000000002E-2</v>
      </c>
    </row>
    <row r="6879" spans="1:3" x14ac:dyDescent="0.45">
      <c r="A6879" s="11">
        <v>85.5</v>
      </c>
      <c r="B6879" s="14">
        <v>0.1172875</v>
      </c>
      <c r="C6879" s="15">
        <v>6.4831E-2</v>
      </c>
    </row>
    <row r="6880" spans="1:3" x14ac:dyDescent="0.45">
      <c r="A6880" s="11">
        <v>85.51</v>
      </c>
      <c r="B6880" s="14">
        <v>0.1173994</v>
      </c>
      <c r="C6880" s="15">
        <v>6.4897419999999997E-2</v>
      </c>
    </row>
    <row r="6881" spans="1:3" x14ac:dyDescent="0.45">
      <c r="A6881" s="11">
        <v>85.52</v>
      </c>
      <c r="B6881" s="14">
        <v>0.1175114</v>
      </c>
      <c r="C6881" s="15">
        <v>6.4963839999999995E-2</v>
      </c>
    </row>
    <row r="6882" spans="1:3" x14ac:dyDescent="0.45">
      <c r="A6882" s="11">
        <v>85.53</v>
      </c>
      <c r="B6882" s="14">
        <v>0.1176233</v>
      </c>
      <c r="C6882" s="15">
        <v>6.5030260000000006E-2</v>
      </c>
    </row>
    <row r="6883" spans="1:3" x14ac:dyDescent="0.45">
      <c r="A6883" s="11">
        <v>85.54</v>
      </c>
      <c r="B6883" s="14">
        <v>0.1177352</v>
      </c>
      <c r="C6883" s="15">
        <v>6.5096680000000004E-2</v>
      </c>
    </row>
    <row r="6884" spans="1:3" x14ac:dyDescent="0.45">
      <c r="A6884" s="11">
        <v>85.55</v>
      </c>
      <c r="B6884" s="14">
        <v>0.1178471</v>
      </c>
      <c r="C6884" s="15">
        <v>6.5163100000000002E-2</v>
      </c>
    </row>
    <row r="6885" spans="1:3" x14ac:dyDescent="0.45">
      <c r="A6885" s="11">
        <v>85.56</v>
      </c>
      <c r="B6885" s="14">
        <v>0.1179591</v>
      </c>
      <c r="C6885" s="15">
        <v>6.5229519999999999E-2</v>
      </c>
    </row>
    <row r="6886" spans="1:3" x14ac:dyDescent="0.45">
      <c r="A6886" s="11">
        <v>85.57</v>
      </c>
      <c r="B6886" s="14">
        <v>0.118071</v>
      </c>
      <c r="C6886" s="15">
        <v>6.5295939999999997E-2</v>
      </c>
    </row>
    <row r="6887" spans="1:3" x14ac:dyDescent="0.45">
      <c r="A6887" s="11">
        <v>85.58</v>
      </c>
      <c r="B6887" s="14">
        <v>0.11818289999999999</v>
      </c>
      <c r="C6887" s="15">
        <v>6.5362359999999994E-2</v>
      </c>
    </row>
    <row r="6888" spans="1:3" x14ac:dyDescent="0.45">
      <c r="A6888" s="11">
        <v>85.59</v>
      </c>
      <c r="B6888" s="14">
        <v>0.11829489999999999</v>
      </c>
      <c r="C6888" s="15">
        <v>6.5428780000000006E-2</v>
      </c>
    </row>
    <row r="6889" spans="1:3" x14ac:dyDescent="0.45">
      <c r="A6889" s="11">
        <v>85.6</v>
      </c>
      <c r="B6889" s="14">
        <v>0.11840680000000001</v>
      </c>
      <c r="C6889" s="15">
        <v>6.5495200000000003E-2</v>
      </c>
    </row>
    <row r="6890" spans="1:3" x14ac:dyDescent="0.45">
      <c r="A6890" s="11">
        <v>85.61</v>
      </c>
      <c r="B6890" s="14">
        <v>0.1185187</v>
      </c>
      <c r="C6890" s="15">
        <v>6.5561620000000001E-2</v>
      </c>
    </row>
    <row r="6891" spans="1:3" x14ac:dyDescent="0.45">
      <c r="A6891" s="11">
        <v>85.62</v>
      </c>
      <c r="B6891" s="14">
        <v>0.11863070000000001</v>
      </c>
      <c r="C6891" s="15">
        <v>6.5628039999999999E-2</v>
      </c>
    </row>
    <row r="6892" spans="1:3" x14ac:dyDescent="0.45">
      <c r="A6892" s="11">
        <v>85.63</v>
      </c>
      <c r="B6892" s="14">
        <v>0.1187426</v>
      </c>
      <c r="C6892" s="15">
        <v>6.5694459999999996E-2</v>
      </c>
    </row>
    <row r="6893" spans="1:3" x14ac:dyDescent="0.45">
      <c r="A6893" s="11">
        <v>85.64</v>
      </c>
      <c r="B6893" s="14">
        <v>0.1188545</v>
      </c>
      <c r="C6893" s="15">
        <v>6.5760879999999994E-2</v>
      </c>
    </row>
    <row r="6894" spans="1:3" x14ac:dyDescent="0.45">
      <c r="A6894" s="11">
        <v>85.65</v>
      </c>
      <c r="B6894" s="14">
        <v>0.1189665</v>
      </c>
      <c r="C6894" s="15">
        <v>6.5827300000000005E-2</v>
      </c>
    </row>
    <row r="6895" spans="1:3" x14ac:dyDescent="0.45">
      <c r="A6895" s="11">
        <v>85.66</v>
      </c>
      <c r="B6895" s="14">
        <v>0.1190784</v>
      </c>
      <c r="C6895" s="15">
        <v>6.5893720000000003E-2</v>
      </c>
    </row>
    <row r="6896" spans="1:3" x14ac:dyDescent="0.45">
      <c r="A6896" s="11">
        <v>85.67</v>
      </c>
      <c r="B6896" s="14">
        <v>0.1191903</v>
      </c>
      <c r="C6896" s="15">
        <v>6.596014E-2</v>
      </c>
    </row>
    <row r="6897" spans="1:3" x14ac:dyDescent="0.45">
      <c r="A6897" s="11">
        <v>85.68</v>
      </c>
      <c r="B6897" s="14">
        <v>0.1193022</v>
      </c>
      <c r="C6897" s="15">
        <v>6.6026559999999998E-2</v>
      </c>
    </row>
    <row r="6898" spans="1:3" x14ac:dyDescent="0.45">
      <c r="A6898" s="11">
        <v>85.69</v>
      </c>
      <c r="B6898" s="14">
        <v>0.1194142</v>
      </c>
      <c r="C6898" s="15">
        <v>6.6092979999999996E-2</v>
      </c>
    </row>
    <row r="6899" spans="1:3" x14ac:dyDescent="0.45">
      <c r="A6899" s="11">
        <v>85.7</v>
      </c>
      <c r="B6899" s="14">
        <v>0.1195261</v>
      </c>
      <c r="C6899" s="15">
        <v>6.6159399999999993E-2</v>
      </c>
    </row>
    <row r="6900" spans="1:3" x14ac:dyDescent="0.45">
      <c r="A6900" s="11">
        <v>85.71</v>
      </c>
      <c r="B6900" s="14">
        <v>0.11963799999999999</v>
      </c>
      <c r="C6900" s="15">
        <v>6.6225820000000005E-2</v>
      </c>
    </row>
    <row r="6901" spans="1:3" x14ac:dyDescent="0.45">
      <c r="A6901" s="11">
        <v>85.72</v>
      </c>
      <c r="B6901" s="14">
        <v>0.11975</v>
      </c>
      <c r="C6901" s="15">
        <v>6.6292240000000002E-2</v>
      </c>
    </row>
    <row r="6902" spans="1:3" x14ac:dyDescent="0.45">
      <c r="A6902" s="11">
        <v>85.73</v>
      </c>
      <c r="B6902" s="14">
        <v>0.11986189999999999</v>
      </c>
      <c r="C6902" s="15">
        <v>6.635866E-2</v>
      </c>
    </row>
    <row r="6903" spans="1:3" x14ac:dyDescent="0.45">
      <c r="A6903" s="11">
        <v>85.74</v>
      </c>
      <c r="B6903" s="14">
        <v>0.11997380000000001</v>
      </c>
      <c r="C6903" s="15">
        <v>6.6425079999999997E-2</v>
      </c>
    </row>
    <row r="6904" spans="1:3" x14ac:dyDescent="0.45">
      <c r="A6904" s="11">
        <v>85.75</v>
      </c>
      <c r="B6904" s="14">
        <v>0.1200857</v>
      </c>
      <c r="C6904" s="15">
        <v>6.6491499999999995E-2</v>
      </c>
    </row>
    <row r="6905" spans="1:3" x14ac:dyDescent="0.45">
      <c r="A6905" s="11">
        <v>85.76</v>
      </c>
      <c r="B6905" s="14">
        <v>0.1201977</v>
      </c>
      <c r="C6905" s="15">
        <v>6.6557920000000007E-2</v>
      </c>
    </row>
    <row r="6906" spans="1:3" x14ac:dyDescent="0.45">
      <c r="A6906" s="11">
        <v>85.77</v>
      </c>
      <c r="B6906" s="14">
        <v>0.1203096</v>
      </c>
      <c r="C6906" s="15">
        <v>6.6624340000000004E-2</v>
      </c>
    </row>
    <row r="6907" spans="1:3" x14ac:dyDescent="0.45">
      <c r="A6907" s="11">
        <v>85.78</v>
      </c>
      <c r="B6907" s="14">
        <v>0.1204215</v>
      </c>
      <c r="C6907" s="15">
        <v>6.6690760000000002E-2</v>
      </c>
    </row>
    <row r="6908" spans="1:3" x14ac:dyDescent="0.45">
      <c r="A6908" s="11">
        <v>85.79</v>
      </c>
      <c r="B6908" s="14">
        <v>0.1205335</v>
      </c>
      <c r="C6908" s="15">
        <v>6.6757179999999999E-2</v>
      </c>
    </row>
    <row r="6909" spans="1:3" x14ac:dyDescent="0.45">
      <c r="A6909" s="11">
        <v>85.8</v>
      </c>
      <c r="B6909" s="14">
        <v>0.1206454</v>
      </c>
      <c r="C6909" s="15">
        <v>6.6823599999999997E-2</v>
      </c>
    </row>
    <row r="6910" spans="1:3" x14ac:dyDescent="0.45">
      <c r="A6910" s="11">
        <v>85.81</v>
      </c>
      <c r="B6910" s="14">
        <v>0.1207573</v>
      </c>
      <c r="C6910" s="15">
        <v>6.6890019999999994E-2</v>
      </c>
    </row>
    <row r="6911" spans="1:3" x14ac:dyDescent="0.45">
      <c r="A6911" s="11">
        <v>85.82</v>
      </c>
      <c r="B6911" s="14">
        <v>0.1208693</v>
      </c>
      <c r="C6911" s="15">
        <v>6.6956440000000006E-2</v>
      </c>
    </row>
    <row r="6912" spans="1:3" x14ac:dyDescent="0.45">
      <c r="A6912" s="11">
        <v>85.83</v>
      </c>
      <c r="B6912" s="14">
        <v>0.1209812</v>
      </c>
      <c r="C6912" s="15">
        <v>6.7022860000000004E-2</v>
      </c>
    </row>
    <row r="6913" spans="1:3" x14ac:dyDescent="0.45">
      <c r="A6913" s="11">
        <v>85.84</v>
      </c>
      <c r="B6913" s="14">
        <v>0.1210931</v>
      </c>
      <c r="C6913" s="15">
        <v>6.7089280000000001E-2</v>
      </c>
    </row>
    <row r="6914" spans="1:3" x14ac:dyDescent="0.45">
      <c r="A6914" s="11">
        <v>85.85</v>
      </c>
      <c r="B6914" s="14">
        <v>0.12120499999999999</v>
      </c>
      <c r="C6914" s="15">
        <v>6.7155699999999999E-2</v>
      </c>
    </row>
    <row r="6915" spans="1:3" x14ac:dyDescent="0.45">
      <c r="A6915" s="11">
        <v>85.86</v>
      </c>
      <c r="B6915" s="14">
        <v>0.12131699999999999</v>
      </c>
      <c r="C6915" s="15">
        <v>6.7222119999999996E-2</v>
      </c>
    </row>
    <row r="6916" spans="1:3" x14ac:dyDescent="0.45">
      <c r="A6916" s="11">
        <v>85.87</v>
      </c>
      <c r="B6916" s="14">
        <v>0.12142890000000001</v>
      </c>
      <c r="C6916" s="15">
        <v>6.7288539999999994E-2</v>
      </c>
    </row>
    <row r="6917" spans="1:3" x14ac:dyDescent="0.45">
      <c r="A6917" s="11">
        <v>85.88</v>
      </c>
      <c r="B6917" s="14">
        <v>0.1215408</v>
      </c>
      <c r="C6917" s="15">
        <v>6.7354960000000005E-2</v>
      </c>
    </row>
    <row r="6918" spans="1:3" x14ac:dyDescent="0.45">
      <c r="A6918" s="11">
        <v>85.89</v>
      </c>
      <c r="B6918" s="14">
        <v>0.12165280000000001</v>
      </c>
      <c r="C6918" s="15">
        <v>6.7421380000000003E-2</v>
      </c>
    </row>
    <row r="6919" spans="1:3" x14ac:dyDescent="0.45">
      <c r="A6919" s="11">
        <v>85.9</v>
      </c>
      <c r="B6919" s="14">
        <v>0.1217647</v>
      </c>
      <c r="C6919" s="15">
        <v>6.7487800000000001E-2</v>
      </c>
    </row>
    <row r="6920" spans="1:3" x14ac:dyDescent="0.45">
      <c r="A6920" s="11">
        <v>85.91</v>
      </c>
      <c r="B6920" s="14">
        <v>0.1218766</v>
      </c>
      <c r="C6920" s="15">
        <v>6.7554219999999998E-2</v>
      </c>
    </row>
    <row r="6921" spans="1:3" x14ac:dyDescent="0.45">
      <c r="A6921" s="11">
        <v>85.92</v>
      </c>
      <c r="B6921" s="14">
        <v>0.1219886</v>
      </c>
      <c r="C6921" s="15">
        <v>6.7620639999999996E-2</v>
      </c>
    </row>
    <row r="6922" spans="1:3" x14ac:dyDescent="0.45">
      <c r="A6922" s="11">
        <v>85.93</v>
      </c>
      <c r="B6922" s="14">
        <v>0.1221005</v>
      </c>
      <c r="C6922" s="15">
        <v>6.7687059999999993E-2</v>
      </c>
    </row>
    <row r="6923" spans="1:3" x14ac:dyDescent="0.45">
      <c r="A6923" s="11">
        <v>85.94</v>
      </c>
      <c r="B6923" s="14">
        <v>0.1222124</v>
      </c>
      <c r="C6923" s="15">
        <v>6.7753480000000005E-2</v>
      </c>
    </row>
    <row r="6924" spans="1:3" x14ac:dyDescent="0.45">
      <c r="A6924" s="11">
        <v>85.95</v>
      </c>
      <c r="B6924" s="14">
        <v>0.1223244</v>
      </c>
      <c r="C6924" s="15">
        <v>6.7819900000000002E-2</v>
      </c>
    </row>
    <row r="6925" spans="1:3" x14ac:dyDescent="0.45">
      <c r="A6925" s="11">
        <v>85.96</v>
      </c>
      <c r="B6925" s="14">
        <v>0.1224363</v>
      </c>
      <c r="C6925" s="15">
        <v>6.788632E-2</v>
      </c>
    </row>
    <row r="6926" spans="1:3" x14ac:dyDescent="0.45">
      <c r="A6926" s="11">
        <v>85.97</v>
      </c>
      <c r="B6926" s="14">
        <v>0.1225482</v>
      </c>
      <c r="C6926" s="15">
        <v>6.7952739999999998E-2</v>
      </c>
    </row>
    <row r="6927" spans="1:3" x14ac:dyDescent="0.45">
      <c r="A6927" s="11">
        <v>85.98</v>
      </c>
      <c r="B6927" s="14">
        <v>0.12266009999999999</v>
      </c>
      <c r="C6927" s="15">
        <v>6.8019159999999995E-2</v>
      </c>
    </row>
    <row r="6928" spans="1:3" x14ac:dyDescent="0.45">
      <c r="A6928" s="11">
        <v>85.99</v>
      </c>
      <c r="B6928" s="14">
        <v>0.1227721</v>
      </c>
      <c r="C6928" s="15">
        <v>6.8085580000000007E-2</v>
      </c>
    </row>
    <row r="6929" spans="1:3" x14ac:dyDescent="0.45">
      <c r="A6929" s="11">
        <v>86</v>
      </c>
      <c r="B6929" s="14">
        <v>0.12288399999999999</v>
      </c>
      <c r="C6929" s="15">
        <v>6.8152000000000004E-2</v>
      </c>
    </row>
    <row r="6930" spans="1:3" x14ac:dyDescent="0.45">
      <c r="A6930" s="11">
        <v>86.01</v>
      </c>
      <c r="B6930" s="14">
        <v>0.1230058</v>
      </c>
      <c r="C6930" s="15">
        <v>6.8225599999999997E-2</v>
      </c>
    </row>
    <row r="6931" spans="1:3" x14ac:dyDescent="0.45">
      <c r="A6931" s="11">
        <v>86.02</v>
      </c>
      <c r="B6931" s="14">
        <v>0.1231276</v>
      </c>
      <c r="C6931" s="15">
        <v>6.8299200000000004E-2</v>
      </c>
    </row>
    <row r="6932" spans="1:3" x14ac:dyDescent="0.45">
      <c r="A6932" s="11">
        <v>86.03</v>
      </c>
      <c r="B6932" s="14">
        <v>0.1232495</v>
      </c>
      <c r="C6932" s="15">
        <v>6.8372799999999997E-2</v>
      </c>
    </row>
    <row r="6933" spans="1:3" x14ac:dyDescent="0.45">
      <c r="A6933" s="11">
        <v>86.04</v>
      </c>
      <c r="B6933" s="14">
        <v>0.1233713</v>
      </c>
      <c r="C6933" s="15">
        <v>6.8446400000000004E-2</v>
      </c>
    </row>
    <row r="6934" spans="1:3" x14ac:dyDescent="0.45">
      <c r="A6934" s="11">
        <v>86.05</v>
      </c>
      <c r="B6934" s="14">
        <v>0.12349309999999999</v>
      </c>
      <c r="C6934" s="15">
        <v>6.8519999999999998E-2</v>
      </c>
    </row>
    <row r="6935" spans="1:3" x14ac:dyDescent="0.45">
      <c r="A6935" s="11">
        <v>86.06</v>
      </c>
      <c r="B6935" s="14">
        <v>0.1236149</v>
      </c>
      <c r="C6935" s="15">
        <v>6.8593600000000005E-2</v>
      </c>
    </row>
    <row r="6936" spans="1:3" x14ac:dyDescent="0.45">
      <c r="A6936" s="11">
        <v>86.07</v>
      </c>
      <c r="B6936" s="14">
        <v>0.12373670000000001</v>
      </c>
      <c r="C6936" s="15">
        <v>6.8667199999999998E-2</v>
      </c>
    </row>
    <row r="6937" spans="1:3" x14ac:dyDescent="0.45">
      <c r="A6937" s="11">
        <v>86.08</v>
      </c>
      <c r="B6937" s="14">
        <v>0.1238586</v>
      </c>
      <c r="C6937" s="15">
        <v>6.8740800000000005E-2</v>
      </c>
    </row>
    <row r="6938" spans="1:3" x14ac:dyDescent="0.45">
      <c r="A6938" s="11">
        <v>86.09</v>
      </c>
      <c r="B6938" s="14">
        <v>0.1239804</v>
      </c>
      <c r="C6938" s="15">
        <v>6.8814399999999998E-2</v>
      </c>
    </row>
    <row r="6939" spans="1:3" x14ac:dyDescent="0.45">
      <c r="A6939" s="11">
        <v>86.1</v>
      </c>
      <c r="B6939" s="14">
        <v>0.1241022</v>
      </c>
      <c r="C6939" s="15">
        <v>6.8888000000000005E-2</v>
      </c>
    </row>
    <row r="6940" spans="1:3" x14ac:dyDescent="0.45">
      <c r="A6940" s="11">
        <v>86.11</v>
      </c>
      <c r="B6940" s="14">
        <v>0.124224</v>
      </c>
      <c r="C6940" s="15">
        <v>6.8961599999999998E-2</v>
      </c>
    </row>
    <row r="6941" spans="1:3" x14ac:dyDescent="0.45">
      <c r="A6941" s="11">
        <v>86.12</v>
      </c>
      <c r="B6941" s="14">
        <v>0.12434580000000001</v>
      </c>
      <c r="C6941" s="15">
        <v>6.9035200000000005E-2</v>
      </c>
    </row>
    <row r="6942" spans="1:3" x14ac:dyDescent="0.45">
      <c r="A6942" s="11">
        <v>86.13</v>
      </c>
      <c r="B6942" s="14">
        <v>0.1244677</v>
      </c>
      <c r="C6942" s="15">
        <v>6.9108799999999998E-2</v>
      </c>
    </row>
    <row r="6943" spans="1:3" x14ac:dyDescent="0.45">
      <c r="A6943" s="11">
        <v>86.14</v>
      </c>
      <c r="B6943" s="14">
        <v>0.12458950000000001</v>
      </c>
      <c r="C6943" s="15">
        <v>6.9182400000000005E-2</v>
      </c>
    </row>
    <row r="6944" spans="1:3" x14ac:dyDescent="0.45">
      <c r="A6944" s="11">
        <v>86.15</v>
      </c>
      <c r="B6944" s="14">
        <v>0.1247113</v>
      </c>
      <c r="C6944" s="15">
        <v>6.9255999999999998E-2</v>
      </c>
    </row>
    <row r="6945" spans="1:3" x14ac:dyDescent="0.45">
      <c r="A6945" s="11">
        <v>86.16</v>
      </c>
      <c r="B6945" s="14">
        <v>0.1248331</v>
      </c>
      <c r="C6945" s="15">
        <v>6.9329600000000005E-2</v>
      </c>
    </row>
    <row r="6946" spans="1:3" x14ac:dyDescent="0.45">
      <c r="A6946" s="11">
        <v>86.17</v>
      </c>
      <c r="B6946" s="14">
        <v>0.12495489999999999</v>
      </c>
      <c r="C6946" s="15">
        <v>6.9403199999999998E-2</v>
      </c>
    </row>
    <row r="6947" spans="1:3" x14ac:dyDescent="0.45">
      <c r="A6947" s="11">
        <v>86.18</v>
      </c>
      <c r="B6947" s="14">
        <v>0.12507679999999999</v>
      </c>
      <c r="C6947" s="15">
        <v>6.9476800000000005E-2</v>
      </c>
    </row>
    <row r="6948" spans="1:3" x14ac:dyDescent="0.45">
      <c r="A6948" s="11">
        <v>86.19</v>
      </c>
      <c r="B6948" s="14">
        <v>0.12519859999999999</v>
      </c>
      <c r="C6948" s="15">
        <v>6.9550399999999998E-2</v>
      </c>
    </row>
    <row r="6949" spans="1:3" x14ac:dyDescent="0.45">
      <c r="A6949" s="11">
        <v>86.2</v>
      </c>
      <c r="B6949" s="14">
        <v>0.1253204</v>
      </c>
      <c r="C6949" s="15">
        <v>6.9624000000000005E-2</v>
      </c>
    </row>
    <row r="6950" spans="1:3" x14ac:dyDescent="0.45">
      <c r="A6950" s="11">
        <v>86.21</v>
      </c>
      <c r="B6950" s="14">
        <v>0.1254422</v>
      </c>
      <c r="C6950" s="15">
        <v>6.9697599999999998E-2</v>
      </c>
    </row>
    <row r="6951" spans="1:3" x14ac:dyDescent="0.45">
      <c r="A6951" s="11">
        <v>86.22</v>
      </c>
      <c r="B6951" s="14">
        <v>0.12556400000000001</v>
      </c>
      <c r="C6951" s="15">
        <v>6.9771200000000005E-2</v>
      </c>
    </row>
    <row r="6952" spans="1:3" x14ac:dyDescent="0.45">
      <c r="A6952" s="11">
        <v>86.23</v>
      </c>
      <c r="B6952" s="14">
        <v>0.12568589999999999</v>
      </c>
      <c r="C6952" s="15">
        <v>6.9844799999999999E-2</v>
      </c>
    </row>
    <row r="6953" spans="1:3" x14ac:dyDescent="0.45">
      <c r="A6953" s="11">
        <v>86.24</v>
      </c>
      <c r="B6953" s="14">
        <v>0.12580769999999999</v>
      </c>
      <c r="C6953" s="15">
        <v>6.9918400000000006E-2</v>
      </c>
    </row>
    <row r="6954" spans="1:3" x14ac:dyDescent="0.45">
      <c r="A6954" s="11">
        <v>86.25</v>
      </c>
      <c r="B6954" s="14">
        <v>0.1259295</v>
      </c>
      <c r="C6954" s="15">
        <v>6.9991999999999999E-2</v>
      </c>
    </row>
    <row r="6955" spans="1:3" x14ac:dyDescent="0.45">
      <c r="A6955" s="11">
        <v>86.26</v>
      </c>
      <c r="B6955" s="14">
        <v>0.12605130000000001</v>
      </c>
      <c r="C6955" s="15">
        <v>7.0065600000000006E-2</v>
      </c>
    </row>
    <row r="6956" spans="1:3" x14ac:dyDescent="0.45">
      <c r="A6956" s="11">
        <v>86.27</v>
      </c>
      <c r="B6956" s="14">
        <v>0.12617310000000001</v>
      </c>
      <c r="C6956" s="15">
        <v>7.0139199999999999E-2</v>
      </c>
    </row>
    <row r="6957" spans="1:3" x14ac:dyDescent="0.45">
      <c r="A6957" s="11">
        <v>86.28</v>
      </c>
      <c r="B6957" s="14">
        <v>0.12629499999999999</v>
      </c>
      <c r="C6957" s="15">
        <v>7.0212800000000006E-2</v>
      </c>
    </row>
    <row r="6958" spans="1:3" x14ac:dyDescent="0.45">
      <c r="A6958" s="11">
        <v>86.29</v>
      </c>
      <c r="B6958" s="14">
        <v>0.1264168</v>
      </c>
      <c r="C6958" s="15">
        <v>7.0286399999999999E-2</v>
      </c>
    </row>
    <row r="6959" spans="1:3" x14ac:dyDescent="0.45">
      <c r="A6959" s="11">
        <v>86.3</v>
      </c>
      <c r="B6959" s="14">
        <v>0.1265386</v>
      </c>
      <c r="C6959" s="15">
        <v>7.0360000000000006E-2</v>
      </c>
    </row>
    <row r="6960" spans="1:3" x14ac:dyDescent="0.45">
      <c r="A6960" s="11">
        <v>86.31</v>
      </c>
      <c r="B6960" s="14">
        <v>0.12666040000000001</v>
      </c>
      <c r="C6960" s="15">
        <v>7.0433599999999999E-2</v>
      </c>
    </row>
    <row r="6961" spans="1:3" x14ac:dyDescent="0.45">
      <c r="A6961" s="11">
        <v>86.32</v>
      </c>
      <c r="B6961" s="14">
        <v>0.12678220000000001</v>
      </c>
      <c r="C6961" s="15">
        <v>7.0507200000000006E-2</v>
      </c>
    </row>
    <row r="6962" spans="1:3" x14ac:dyDescent="0.45">
      <c r="A6962" s="11">
        <v>86.33</v>
      </c>
      <c r="B6962" s="14">
        <v>0.12690409999999999</v>
      </c>
      <c r="C6962" s="15">
        <v>7.0580799999999999E-2</v>
      </c>
    </row>
    <row r="6963" spans="1:3" x14ac:dyDescent="0.45">
      <c r="A6963" s="11">
        <v>86.34</v>
      </c>
      <c r="B6963" s="14">
        <v>0.1270259</v>
      </c>
      <c r="C6963" s="15">
        <v>7.0654400000000006E-2</v>
      </c>
    </row>
    <row r="6964" spans="1:3" x14ac:dyDescent="0.45">
      <c r="A6964" s="11">
        <v>86.35</v>
      </c>
      <c r="B6964" s="14">
        <v>0.1271477</v>
      </c>
      <c r="C6964" s="15">
        <v>7.0727999999999999E-2</v>
      </c>
    </row>
    <row r="6965" spans="1:3" x14ac:dyDescent="0.45">
      <c r="A6965" s="11">
        <v>86.36</v>
      </c>
      <c r="B6965" s="14">
        <v>0.12726950000000001</v>
      </c>
      <c r="C6965" s="15">
        <v>7.0801600000000006E-2</v>
      </c>
    </row>
    <row r="6966" spans="1:3" x14ac:dyDescent="0.45">
      <c r="A6966" s="11">
        <v>86.37</v>
      </c>
      <c r="B6966" s="14">
        <v>0.12739130000000001</v>
      </c>
      <c r="C6966" s="15">
        <v>7.0875199999999999E-2</v>
      </c>
    </row>
    <row r="6967" spans="1:3" x14ac:dyDescent="0.45">
      <c r="A6967" s="11">
        <v>86.38</v>
      </c>
      <c r="B6967" s="14">
        <v>0.12751319999999999</v>
      </c>
      <c r="C6967" s="15">
        <v>7.0948800000000006E-2</v>
      </c>
    </row>
    <row r="6968" spans="1:3" x14ac:dyDescent="0.45">
      <c r="A6968" s="11">
        <v>86.39</v>
      </c>
      <c r="B6968" s="14">
        <v>0.127635</v>
      </c>
      <c r="C6968" s="15">
        <v>7.1022399999999999E-2</v>
      </c>
    </row>
    <row r="6969" spans="1:3" x14ac:dyDescent="0.45">
      <c r="A6969" s="11">
        <v>86.4</v>
      </c>
      <c r="B6969" s="14">
        <v>0.1277568</v>
      </c>
      <c r="C6969" s="15">
        <v>7.1096000000000006E-2</v>
      </c>
    </row>
    <row r="6970" spans="1:3" x14ac:dyDescent="0.45">
      <c r="A6970" s="11">
        <v>86.41</v>
      </c>
      <c r="B6970" s="14">
        <v>0.12787860000000001</v>
      </c>
      <c r="C6970" s="15">
        <v>7.11696E-2</v>
      </c>
    </row>
    <row r="6971" spans="1:3" x14ac:dyDescent="0.45">
      <c r="A6971" s="11">
        <v>86.42</v>
      </c>
      <c r="B6971" s="14">
        <v>0.12800039999999999</v>
      </c>
      <c r="C6971" s="15">
        <v>7.1243200000000007E-2</v>
      </c>
    </row>
    <row r="6972" spans="1:3" x14ac:dyDescent="0.45">
      <c r="A6972" s="11">
        <v>86.43</v>
      </c>
      <c r="B6972" s="14">
        <v>0.12812229999999999</v>
      </c>
      <c r="C6972" s="15">
        <v>7.13168E-2</v>
      </c>
    </row>
    <row r="6973" spans="1:3" x14ac:dyDescent="0.45">
      <c r="A6973" s="11">
        <v>86.44</v>
      </c>
      <c r="B6973" s="14">
        <v>0.1282441</v>
      </c>
      <c r="C6973" s="15">
        <v>7.1390400000000007E-2</v>
      </c>
    </row>
    <row r="6974" spans="1:3" x14ac:dyDescent="0.45">
      <c r="A6974" s="11">
        <v>86.45</v>
      </c>
      <c r="B6974" s="14">
        <v>0.1283659</v>
      </c>
      <c r="C6974" s="15">
        <v>7.1464E-2</v>
      </c>
    </row>
    <row r="6975" spans="1:3" x14ac:dyDescent="0.45">
      <c r="A6975" s="11">
        <v>86.46</v>
      </c>
      <c r="B6975" s="14">
        <v>0.12848770000000001</v>
      </c>
      <c r="C6975" s="15">
        <v>7.1537600000000007E-2</v>
      </c>
    </row>
    <row r="6976" spans="1:3" x14ac:dyDescent="0.45">
      <c r="A6976" s="11">
        <v>86.47</v>
      </c>
      <c r="B6976" s="14">
        <v>0.12860949999999999</v>
      </c>
      <c r="C6976" s="15">
        <v>7.16112E-2</v>
      </c>
    </row>
    <row r="6977" spans="1:3" x14ac:dyDescent="0.45">
      <c r="A6977" s="11">
        <v>86.48</v>
      </c>
      <c r="B6977" s="14">
        <v>0.1287314</v>
      </c>
      <c r="C6977" s="15">
        <v>7.1684800000000007E-2</v>
      </c>
    </row>
    <row r="6978" spans="1:3" x14ac:dyDescent="0.45">
      <c r="A6978" s="11">
        <v>86.49</v>
      </c>
      <c r="B6978" s="14">
        <v>0.1288532</v>
      </c>
      <c r="C6978" s="15">
        <v>7.17584E-2</v>
      </c>
    </row>
    <row r="6979" spans="1:3" x14ac:dyDescent="0.45">
      <c r="A6979" s="11">
        <v>86.5</v>
      </c>
      <c r="B6979" s="14">
        <v>0.12897500000000001</v>
      </c>
      <c r="C6979" s="15">
        <v>7.1831999999999993E-2</v>
      </c>
    </row>
    <row r="6980" spans="1:3" x14ac:dyDescent="0.45">
      <c r="A6980" s="11">
        <v>86.51</v>
      </c>
      <c r="B6980" s="14">
        <v>0.12909680000000001</v>
      </c>
      <c r="C6980" s="15">
        <v>7.19056E-2</v>
      </c>
    </row>
    <row r="6981" spans="1:3" x14ac:dyDescent="0.45">
      <c r="A6981" s="11">
        <v>86.52</v>
      </c>
      <c r="B6981" s="14">
        <v>0.12921859999999999</v>
      </c>
      <c r="C6981" s="15">
        <v>7.1979199999999993E-2</v>
      </c>
    </row>
    <row r="6982" spans="1:3" x14ac:dyDescent="0.45">
      <c r="A6982" s="11">
        <v>86.53</v>
      </c>
      <c r="B6982" s="14">
        <v>0.1293405</v>
      </c>
      <c r="C6982" s="15">
        <v>7.20528E-2</v>
      </c>
    </row>
    <row r="6983" spans="1:3" x14ac:dyDescent="0.45">
      <c r="A6983" s="11">
        <v>86.54</v>
      </c>
      <c r="B6983" s="14">
        <v>0.1294623</v>
      </c>
      <c r="C6983" s="15">
        <v>7.2126399999999993E-2</v>
      </c>
    </row>
    <row r="6984" spans="1:3" x14ac:dyDescent="0.45">
      <c r="A6984" s="11">
        <v>86.55</v>
      </c>
      <c r="B6984" s="14">
        <v>0.12958410000000001</v>
      </c>
      <c r="C6984" s="15">
        <v>7.22E-2</v>
      </c>
    </row>
    <row r="6985" spans="1:3" x14ac:dyDescent="0.45">
      <c r="A6985" s="11">
        <v>86.56</v>
      </c>
      <c r="B6985" s="14">
        <v>0.12970590000000001</v>
      </c>
      <c r="C6985" s="15">
        <v>7.2273599999999993E-2</v>
      </c>
    </row>
    <row r="6986" spans="1:3" x14ac:dyDescent="0.45">
      <c r="A6986" s="11">
        <v>86.57</v>
      </c>
      <c r="B6986" s="14">
        <v>0.12982769999999999</v>
      </c>
      <c r="C6986" s="15">
        <v>7.23472E-2</v>
      </c>
    </row>
    <row r="6987" spans="1:3" x14ac:dyDescent="0.45">
      <c r="A6987" s="11">
        <v>86.58</v>
      </c>
      <c r="B6987" s="14">
        <v>0.1299496</v>
      </c>
      <c r="C6987" s="15">
        <v>7.2420799999999994E-2</v>
      </c>
    </row>
    <row r="6988" spans="1:3" x14ac:dyDescent="0.45">
      <c r="A6988" s="11">
        <v>86.59</v>
      </c>
      <c r="B6988" s="14">
        <v>0.1300714</v>
      </c>
      <c r="C6988" s="15">
        <v>7.2494400000000001E-2</v>
      </c>
    </row>
    <row r="6989" spans="1:3" x14ac:dyDescent="0.45">
      <c r="A6989" s="11">
        <v>86.6</v>
      </c>
      <c r="B6989" s="14">
        <v>0.13019320000000001</v>
      </c>
      <c r="C6989" s="15">
        <v>7.2567999999999994E-2</v>
      </c>
    </row>
    <row r="6990" spans="1:3" x14ac:dyDescent="0.45">
      <c r="A6990" s="11">
        <v>86.61</v>
      </c>
      <c r="B6990" s="14">
        <v>0.13031499999999999</v>
      </c>
      <c r="C6990" s="15">
        <v>7.2641600000000001E-2</v>
      </c>
    </row>
    <row r="6991" spans="1:3" x14ac:dyDescent="0.45">
      <c r="A6991" s="11">
        <v>86.62</v>
      </c>
      <c r="B6991" s="14">
        <v>0.13043679999999999</v>
      </c>
      <c r="C6991" s="15">
        <v>7.2715199999999994E-2</v>
      </c>
    </row>
    <row r="6992" spans="1:3" x14ac:dyDescent="0.45">
      <c r="A6992" s="11">
        <v>86.63</v>
      </c>
      <c r="B6992" s="14">
        <v>0.1305587</v>
      </c>
      <c r="C6992" s="15">
        <v>7.2788800000000001E-2</v>
      </c>
    </row>
    <row r="6993" spans="1:3" x14ac:dyDescent="0.45">
      <c r="A6993" s="11">
        <v>86.64</v>
      </c>
      <c r="B6993" s="14">
        <v>0.1306805</v>
      </c>
      <c r="C6993" s="15">
        <v>7.2862399999999994E-2</v>
      </c>
    </row>
    <row r="6994" spans="1:3" x14ac:dyDescent="0.45">
      <c r="A6994" s="11">
        <v>86.65</v>
      </c>
      <c r="B6994" s="14">
        <v>0.13080230000000001</v>
      </c>
      <c r="C6994" s="15">
        <v>7.2936000000000001E-2</v>
      </c>
    </row>
    <row r="6995" spans="1:3" x14ac:dyDescent="0.45">
      <c r="A6995" s="11">
        <v>86.66</v>
      </c>
      <c r="B6995" s="14">
        <v>0.13092409999999999</v>
      </c>
      <c r="C6995" s="15">
        <v>7.3009599999999994E-2</v>
      </c>
    </row>
    <row r="6996" spans="1:3" x14ac:dyDescent="0.45">
      <c r="A6996" s="11">
        <v>86.67</v>
      </c>
      <c r="B6996" s="14">
        <v>0.13104589999999999</v>
      </c>
      <c r="C6996" s="15">
        <v>7.3083200000000001E-2</v>
      </c>
    </row>
    <row r="6997" spans="1:3" x14ac:dyDescent="0.45">
      <c r="A6997" s="11">
        <v>86.68</v>
      </c>
      <c r="B6997" s="14">
        <v>0.1311678</v>
      </c>
      <c r="C6997" s="15">
        <v>7.3156799999999994E-2</v>
      </c>
    </row>
    <row r="6998" spans="1:3" x14ac:dyDescent="0.45">
      <c r="A6998" s="11">
        <v>86.69</v>
      </c>
      <c r="B6998" s="14">
        <v>0.13128960000000001</v>
      </c>
      <c r="C6998" s="15">
        <v>7.3230400000000001E-2</v>
      </c>
    </row>
    <row r="6999" spans="1:3" x14ac:dyDescent="0.45">
      <c r="A6999" s="11">
        <v>86.7</v>
      </c>
      <c r="B6999" s="14">
        <v>0.13141140000000001</v>
      </c>
      <c r="C6999" s="15">
        <v>7.3303999999999994E-2</v>
      </c>
    </row>
    <row r="7000" spans="1:3" x14ac:dyDescent="0.45">
      <c r="A7000" s="11">
        <v>86.71</v>
      </c>
      <c r="B7000" s="14">
        <v>0.13153319999999999</v>
      </c>
      <c r="C7000" s="15">
        <v>7.3377600000000001E-2</v>
      </c>
    </row>
    <row r="7001" spans="1:3" x14ac:dyDescent="0.45">
      <c r="A7001" s="11">
        <v>86.72</v>
      </c>
      <c r="B7001" s="14">
        <v>0.13165499999999999</v>
      </c>
      <c r="C7001" s="15">
        <v>7.3451199999999994E-2</v>
      </c>
    </row>
    <row r="7002" spans="1:3" x14ac:dyDescent="0.45">
      <c r="A7002" s="11">
        <v>86.73</v>
      </c>
      <c r="B7002" s="14">
        <v>0.1317769</v>
      </c>
      <c r="C7002" s="15">
        <v>7.3524800000000001E-2</v>
      </c>
    </row>
    <row r="7003" spans="1:3" x14ac:dyDescent="0.45">
      <c r="A7003" s="11">
        <v>86.74</v>
      </c>
      <c r="B7003" s="14">
        <v>0.13189870000000001</v>
      </c>
      <c r="C7003" s="15">
        <v>7.3598399999999994E-2</v>
      </c>
    </row>
    <row r="7004" spans="1:3" x14ac:dyDescent="0.45">
      <c r="A7004" s="11">
        <v>86.75</v>
      </c>
      <c r="B7004" s="14">
        <v>0.13202050000000001</v>
      </c>
      <c r="C7004" s="15">
        <v>7.3672000000000001E-2</v>
      </c>
    </row>
    <row r="7005" spans="1:3" x14ac:dyDescent="0.45">
      <c r="A7005" s="11">
        <v>86.76</v>
      </c>
      <c r="B7005" s="14">
        <v>0.13214229999999999</v>
      </c>
      <c r="C7005" s="15">
        <v>7.3745599999999994E-2</v>
      </c>
    </row>
    <row r="7006" spans="1:3" x14ac:dyDescent="0.45">
      <c r="A7006" s="11">
        <v>86.77</v>
      </c>
      <c r="B7006" s="14">
        <v>0.1322641</v>
      </c>
      <c r="C7006" s="15">
        <v>7.3819200000000001E-2</v>
      </c>
    </row>
    <row r="7007" spans="1:3" x14ac:dyDescent="0.45">
      <c r="A7007" s="11">
        <v>86.78</v>
      </c>
      <c r="B7007" s="14">
        <v>0.132386</v>
      </c>
      <c r="C7007" s="15">
        <v>7.3892799999999995E-2</v>
      </c>
    </row>
    <row r="7008" spans="1:3" x14ac:dyDescent="0.45">
      <c r="A7008" s="11">
        <v>86.79</v>
      </c>
      <c r="B7008" s="14">
        <v>0.13250780000000001</v>
      </c>
      <c r="C7008" s="15">
        <v>7.3966400000000002E-2</v>
      </c>
    </row>
    <row r="7009" spans="1:3" x14ac:dyDescent="0.45">
      <c r="A7009" s="11">
        <v>86.8</v>
      </c>
      <c r="B7009" s="14">
        <v>0.13262959999999999</v>
      </c>
      <c r="C7009" s="15">
        <v>7.4039999999999995E-2</v>
      </c>
    </row>
    <row r="7010" spans="1:3" x14ac:dyDescent="0.45">
      <c r="A7010" s="11">
        <v>86.81</v>
      </c>
      <c r="B7010" s="14">
        <v>0.13275139999999999</v>
      </c>
      <c r="C7010" s="15">
        <v>7.4113600000000002E-2</v>
      </c>
    </row>
    <row r="7011" spans="1:3" x14ac:dyDescent="0.45">
      <c r="A7011" s="11">
        <v>86.82</v>
      </c>
      <c r="B7011" s="14">
        <v>0.1328732</v>
      </c>
      <c r="C7011" s="15">
        <v>7.4187199999999995E-2</v>
      </c>
    </row>
    <row r="7012" spans="1:3" x14ac:dyDescent="0.45">
      <c r="A7012" s="11">
        <v>86.83</v>
      </c>
      <c r="B7012" s="14">
        <v>0.1329951</v>
      </c>
      <c r="C7012" s="15">
        <v>7.4260800000000002E-2</v>
      </c>
    </row>
    <row r="7013" spans="1:3" x14ac:dyDescent="0.45">
      <c r="A7013" s="11">
        <v>86.84</v>
      </c>
      <c r="B7013" s="14">
        <v>0.13311690000000001</v>
      </c>
      <c r="C7013" s="15">
        <v>7.4334399999999995E-2</v>
      </c>
    </row>
    <row r="7014" spans="1:3" x14ac:dyDescent="0.45">
      <c r="A7014" s="11">
        <v>86.85</v>
      </c>
      <c r="B7014" s="14">
        <v>0.13323869999999999</v>
      </c>
      <c r="C7014" s="15">
        <v>7.4408000000000002E-2</v>
      </c>
    </row>
    <row r="7015" spans="1:3" x14ac:dyDescent="0.45">
      <c r="A7015" s="11">
        <v>86.86</v>
      </c>
      <c r="B7015" s="14">
        <v>0.13336049999999999</v>
      </c>
      <c r="C7015" s="15">
        <v>7.4481599999999995E-2</v>
      </c>
    </row>
    <row r="7016" spans="1:3" x14ac:dyDescent="0.45">
      <c r="A7016" s="11">
        <v>86.87</v>
      </c>
      <c r="B7016" s="14">
        <v>0.1334823</v>
      </c>
      <c r="C7016" s="15">
        <v>7.4555200000000002E-2</v>
      </c>
    </row>
    <row r="7017" spans="1:3" x14ac:dyDescent="0.45">
      <c r="A7017" s="11">
        <v>86.88</v>
      </c>
      <c r="B7017" s="14">
        <v>0.13360420000000001</v>
      </c>
      <c r="C7017" s="15">
        <v>7.4628799999999995E-2</v>
      </c>
    </row>
    <row r="7018" spans="1:3" x14ac:dyDescent="0.45">
      <c r="A7018" s="11">
        <v>86.89</v>
      </c>
      <c r="B7018" s="14">
        <v>0.13372600000000001</v>
      </c>
      <c r="C7018" s="15">
        <v>7.4702400000000002E-2</v>
      </c>
    </row>
    <row r="7019" spans="1:3" x14ac:dyDescent="0.45">
      <c r="A7019" s="11">
        <v>86.9</v>
      </c>
      <c r="B7019" s="14">
        <v>0.13384779999999999</v>
      </c>
      <c r="C7019" s="15">
        <v>7.4775999999999995E-2</v>
      </c>
    </row>
    <row r="7020" spans="1:3" x14ac:dyDescent="0.45">
      <c r="A7020" s="11">
        <v>86.91</v>
      </c>
      <c r="B7020" s="14">
        <v>0.13396959999999999</v>
      </c>
      <c r="C7020" s="15">
        <v>7.4849600000000002E-2</v>
      </c>
    </row>
    <row r="7021" spans="1:3" x14ac:dyDescent="0.45">
      <c r="A7021" s="11">
        <v>86.92</v>
      </c>
      <c r="B7021" s="14">
        <v>0.1340914</v>
      </c>
      <c r="C7021" s="15">
        <v>7.4923199999999995E-2</v>
      </c>
    </row>
    <row r="7022" spans="1:3" x14ac:dyDescent="0.45">
      <c r="A7022" s="11">
        <v>86.93</v>
      </c>
      <c r="B7022" s="14">
        <v>0.13421330000000001</v>
      </c>
      <c r="C7022" s="15">
        <v>7.4996800000000002E-2</v>
      </c>
    </row>
    <row r="7023" spans="1:3" x14ac:dyDescent="0.45">
      <c r="A7023" s="11">
        <v>86.94</v>
      </c>
      <c r="B7023" s="14">
        <v>0.13433510000000001</v>
      </c>
      <c r="C7023" s="15">
        <v>7.5070399999999995E-2</v>
      </c>
    </row>
    <row r="7024" spans="1:3" x14ac:dyDescent="0.45">
      <c r="A7024" s="11">
        <v>86.95</v>
      </c>
      <c r="B7024" s="14">
        <v>0.13445689999999999</v>
      </c>
      <c r="C7024" s="15">
        <v>7.5144000000000002E-2</v>
      </c>
    </row>
    <row r="7025" spans="1:3" x14ac:dyDescent="0.45">
      <c r="A7025" s="11">
        <v>86.96</v>
      </c>
      <c r="B7025" s="14">
        <v>0.1345787</v>
      </c>
      <c r="C7025" s="15">
        <v>7.5217599999999996E-2</v>
      </c>
    </row>
    <row r="7026" spans="1:3" x14ac:dyDescent="0.45">
      <c r="A7026" s="11">
        <v>86.97</v>
      </c>
      <c r="B7026" s="14">
        <v>0.1347005</v>
      </c>
      <c r="C7026" s="15">
        <v>7.5291200000000003E-2</v>
      </c>
    </row>
    <row r="7027" spans="1:3" x14ac:dyDescent="0.45">
      <c r="A7027" s="11">
        <v>86.98</v>
      </c>
      <c r="B7027" s="14">
        <v>0.13482240000000001</v>
      </c>
      <c r="C7027" s="15">
        <v>7.5364799999999996E-2</v>
      </c>
    </row>
    <row r="7028" spans="1:3" x14ac:dyDescent="0.45">
      <c r="A7028" s="11">
        <v>86.99</v>
      </c>
      <c r="B7028" s="14">
        <v>0.13494419999999999</v>
      </c>
      <c r="C7028" s="15">
        <v>7.5438400000000003E-2</v>
      </c>
    </row>
    <row r="7029" spans="1:3" x14ac:dyDescent="0.45">
      <c r="A7029" s="11">
        <v>87</v>
      </c>
      <c r="B7029" s="14">
        <v>0.13506599999999999</v>
      </c>
      <c r="C7029" s="15">
        <v>7.5511999999999996E-2</v>
      </c>
    </row>
    <row r="7030" spans="1:3" x14ac:dyDescent="0.45">
      <c r="A7030" s="11">
        <v>87.01</v>
      </c>
      <c r="B7030" s="14">
        <v>0.1351984</v>
      </c>
      <c r="C7030" s="15">
        <v>7.5593560000000004E-2</v>
      </c>
    </row>
    <row r="7031" spans="1:3" x14ac:dyDescent="0.45">
      <c r="A7031" s="11">
        <v>87.02</v>
      </c>
      <c r="B7031" s="14">
        <v>0.1353309</v>
      </c>
      <c r="C7031" s="15">
        <v>7.5675119999999998E-2</v>
      </c>
    </row>
    <row r="7032" spans="1:3" x14ac:dyDescent="0.45">
      <c r="A7032" s="11">
        <v>87.03</v>
      </c>
      <c r="B7032" s="14">
        <v>0.13546330000000001</v>
      </c>
      <c r="C7032" s="15">
        <v>7.5756680000000007E-2</v>
      </c>
    </row>
    <row r="7033" spans="1:3" x14ac:dyDescent="0.45">
      <c r="A7033" s="11">
        <v>87.04</v>
      </c>
      <c r="B7033" s="14">
        <v>0.13559570000000001</v>
      </c>
      <c r="C7033" s="15">
        <v>7.5838240000000001E-2</v>
      </c>
    </row>
    <row r="7034" spans="1:3" x14ac:dyDescent="0.45">
      <c r="A7034" s="11">
        <v>87.05</v>
      </c>
      <c r="B7034" s="14">
        <v>0.13572809999999999</v>
      </c>
      <c r="C7034" s="15">
        <v>7.5919799999999996E-2</v>
      </c>
    </row>
    <row r="7035" spans="1:3" x14ac:dyDescent="0.45">
      <c r="A7035" s="11">
        <v>87.06</v>
      </c>
      <c r="B7035" s="14">
        <v>0.1358606</v>
      </c>
      <c r="C7035" s="15">
        <v>7.6001360000000004E-2</v>
      </c>
    </row>
    <row r="7036" spans="1:3" x14ac:dyDescent="0.45">
      <c r="A7036" s="11">
        <v>87.07</v>
      </c>
      <c r="B7036" s="14">
        <v>0.135993</v>
      </c>
      <c r="C7036" s="15">
        <v>7.6082919999999998E-2</v>
      </c>
    </row>
    <row r="7037" spans="1:3" x14ac:dyDescent="0.45">
      <c r="A7037" s="11">
        <v>87.08</v>
      </c>
      <c r="B7037" s="14">
        <v>0.13612540000000001</v>
      </c>
      <c r="C7037" s="15">
        <v>7.6164480000000007E-2</v>
      </c>
    </row>
    <row r="7038" spans="1:3" x14ac:dyDescent="0.45">
      <c r="A7038" s="11">
        <v>87.09</v>
      </c>
      <c r="B7038" s="14">
        <v>0.13625789999999999</v>
      </c>
      <c r="C7038" s="15">
        <v>7.6246040000000001E-2</v>
      </c>
    </row>
    <row r="7039" spans="1:3" x14ac:dyDescent="0.45">
      <c r="A7039" s="11">
        <v>87.1</v>
      </c>
      <c r="B7039" s="14">
        <v>0.13639029999999999</v>
      </c>
      <c r="C7039" s="15">
        <v>7.6327599999999995E-2</v>
      </c>
    </row>
    <row r="7040" spans="1:3" x14ac:dyDescent="0.45">
      <c r="A7040" s="11">
        <v>87.11</v>
      </c>
      <c r="B7040" s="14">
        <v>0.1365227</v>
      </c>
      <c r="C7040" s="15">
        <v>7.6409160000000004E-2</v>
      </c>
    </row>
    <row r="7041" spans="1:3" x14ac:dyDescent="0.45">
      <c r="A7041" s="11">
        <v>87.12</v>
      </c>
      <c r="B7041" s="14">
        <v>0.1366552</v>
      </c>
      <c r="C7041" s="15">
        <v>7.6490719999999998E-2</v>
      </c>
    </row>
    <row r="7042" spans="1:3" x14ac:dyDescent="0.45">
      <c r="A7042" s="11">
        <v>87.13</v>
      </c>
      <c r="B7042" s="14">
        <v>0.13678760000000001</v>
      </c>
      <c r="C7042" s="15">
        <v>7.6572280000000006E-2</v>
      </c>
    </row>
    <row r="7043" spans="1:3" x14ac:dyDescent="0.45">
      <c r="A7043" s="11">
        <v>87.14</v>
      </c>
      <c r="B7043" s="14">
        <v>0.13691999999999999</v>
      </c>
      <c r="C7043" s="15">
        <v>7.6653840000000001E-2</v>
      </c>
    </row>
    <row r="7044" spans="1:3" x14ac:dyDescent="0.45">
      <c r="A7044" s="11">
        <v>87.15</v>
      </c>
      <c r="B7044" s="14">
        <v>0.13705249999999999</v>
      </c>
      <c r="C7044" s="15">
        <v>7.6735399999999995E-2</v>
      </c>
    </row>
    <row r="7045" spans="1:3" x14ac:dyDescent="0.45">
      <c r="A7045" s="11">
        <v>87.16</v>
      </c>
      <c r="B7045" s="14">
        <v>0.1371849</v>
      </c>
      <c r="C7045" s="15">
        <v>7.6816960000000004E-2</v>
      </c>
    </row>
    <row r="7046" spans="1:3" x14ac:dyDescent="0.45">
      <c r="A7046" s="11">
        <v>87.17</v>
      </c>
      <c r="B7046" s="14">
        <v>0.1373173</v>
      </c>
      <c r="C7046" s="15">
        <v>7.6898519999999998E-2</v>
      </c>
    </row>
    <row r="7047" spans="1:3" x14ac:dyDescent="0.45">
      <c r="A7047" s="11">
        <v>87.18</v>
      </c>
      <c r="B7047" s="14">
        <v>0.13744970000000001</v>
      </c>
      <c r="C7047" s="15">
        <v>7.6980080000000006E-2</v>
      </c>
    </row>
    <row r="7048" spans="1:3" x14ac:dyDescent="0.45">
      <c r="A7048" s="11">
        <v>87.19</v>
      </c>
      <c r="B7048" s="14">
        <v>0.13758219999999999</v>
      </c>
      <c r="C7048" s="15">
        <v>7.7061640000000001E-2</v>
      </c>
    </row>
    <row r="7049" spans="1:3" x14ac:dyDescent="0.45">
      <c r="A7049" s="11">
        <v>87.2</v>
      </c>
      <c r="B7049" s="14">
        <v>0.13771459999999999</v>
      </c>
      <c r="C7049" s="15">
        <v>7.7143199999999995E-2</v>
      </c>
    </row>
    <row r="7050" spans="1:3" x14ac:dyDescent="0.45">
      <c r="A7050" s="11">
        <v>87.21</v>
      </c>
      <c r="B7050" s="14">
        <v>0.137847</v>
      </c>
      <c r="C7050" s="15">
        <v>7.7224760000000003E-2</v>
      </c>
    </row>
    <row r="7051" spans="1:3" x14ac:dyDescent="0.45">
      <c r="A7051" s="11">
        <v>87.22</v>
      </c>
      <c r="B7051" s="14">
        <v>0.1379795</v>
      </c>
      <c r="C7051" s="15">
        <v>7.7306319999999998E-2</v>
      </c>
    </row>
    <row r="7052" spans="1:3" x14ac:dyDescent="0.45">
      <c r="A7052" s="11">
        <v>87.23</v>
      </c>
      <c r="B7052" s="14">
        <v>0.13811190000000001</v>
      </c>
      <c r="C7052" s="15">
        <v>7.7387880000000006E-2</v>
      </c>
    </row>
    <row r="7053" spans="1:3" x14ac:dyDescent="0.45">
      <c r="A7053" s="11">
        <v>87.24</v>
      </c>
      <c r="B7053" s="14">
        <v>0.13824429999999999</v>
      </c>
      <c r="C7053" s="15">
        <v>7.7469440000000001E-2</v>
      </c>
    </row>
    <row r="7054" spans="1:3" x14ac:dyDescent="0.45">
      <c r="A7054" s="11">
        <v>87.25</v>
      </c>
      <c r="B7054" s="14">
        <v>0.13837669999999999</v>
      </c>
      <c r="C7054" s="15">
        <v>7.7550999999999995E-2</v>
      </c>
    </row>
    <row r="7055" spans="1:3" x14ac:dyDescent="0.45">
      <c r="A7055" s="11">
        <v>87.26</v>
      </c>
      <c r="B7055" s="14">
        <v>0.1385092</v>
      </c>
      <c r="C7055" s="15">
        <v>7.7632560000000003E-2</v>
      </c>
    </row>
    <row r="7056" spans="1:3" x14ac:dyDescent="0.45">
      <c r="A7056" s="11">
        <v>87.27</v>
      </c>
      <c r="B7056" s="14">
        <v>0.1386416</v>
      </c>
      <c r="C7056" s="15">
        <v>7.7714119999999998E-2</v>
      </c>
    </row>
    <row r="7057" spans="1:3" x14ac:dyDescent="0.45">
      <c r="A7057" s="11">
        <v>87.28</v>
      </c>
      <c r="B7057" s="14">
        <v>0.13877400000000001</v>
      </c>
      <c r="C7057" s="15">
        <v>7.7795680000000006E-2</v>
      </c>
    </row>
    <row r="7058" spans="1:3" x14ac:dyDescent="0.45">
      <c r="A7058" s="11">
        <v>87.29</v>
      </c>
      <c r="B7058" s="14">
        <v>0.13890649999999999</v>
      </c>
      <c r="C7058" s="15">
        <v>7.787724E-2</v>
      </c>
    </row>
    <row r="7059" spans="1:3" x14ac:dyDescent="0.45">
      <c r="A7059" s="11">
        <v>87.3</v>
      </c>
      <c r="B7059" s="14">
        <v>0.13903889999999999</v>
      </c>
      <c r="C7059" s="15">
        <v>7.7958799999999995E-2</v>
      </c>
    </row>
    <row r="7060" spans="1:3" x14ac:dyDescent="0.45">
      <c r="A7060" s="11">
        <v>87.31</v>
      </c>
      <c r="B7060" s="14">
        <v>0.1391713</v>
      </c>
      <c r="C7060" s="15">
        <v>7.8040360000000003E-2</v>
      </c>
    </row>
    <row r="7061" spans="1:3" x14ac:dyDescent="0.45">
      <c r="A7061" s="11">
        <v>87.32</v>
      </c>
      <c r="B7061" s="14">
        <v>0.13930380000000001</v>
      </c>
      <c r="C7061" s="15">
        <v>7.8121919999999997E-2</v>
      </c>
    </row>
    <row r="7062" spans="1:3" x14ac:dyDescent="0.45">
      <c r="A7062" s="11">
        <v>87.33</v>
      </c>
      <c r="B7062" s="14">
        <v>0.13943620000000001</v>
      </c>
      <c r="C7062" s="15">
        <v>7.8203480000000006E-2</v>
      </c>
    </row>
    <row r="7063" spans="1:3" x14ac:dyDescent="0.45">
      <c r="A7063" s="11">
        <v>87.34</v>
      </c>
      <c r="B7063" s="14">
        <v>0.13956859999999999</v>
      </c>
      <c r="C7063" s="15">
        <v>7.828504E-2</v>
      </c>
    </row>
    <row r="7064" spans="1:3" x14ac:dyDescent="0.45">
      <c r="A7064" s="11">
        <v>87.35</v>
      </c>
      <c r="B7064" s="14">
        <v>0.13970099999999999</v>
      </c>
      <c r="C7064" s="15">
        <v>7.8366599999999995E-2</v>
      </c>
    </row>
    <row r="7065" spans="1:3" x14ac:dyDescent="0.45">
      <c r="A7065" s="11">
        <v>87.36</v>
      </c>
      <c r="B7065" s="14">
        <v>0.1398335</v>
      </c>
      <c r="C7065" s="15">
        <v>7.8448160000000003E-2</v>
      </c>
    </row>
    <row r="7066" spans="1:3" x14ac:dyDescent="0.45">
      <c r="A7066" s="11">
        <v>87.37</v>
      </c>
      <c r="B7066" s="14">
        <v>0.1399659</v>
      </c>
      <c r="C7066" s="15">
        <v>7.8529719999999997E-2</v>
      </c>
    </row>
    <row r="7067" spans="1:3" x14ac:dyDescent="0.45">
      <c r="A7067" s="11">
        <v>87.38</v>
      </c>
      <c r="B7067" s="14">
        <v>0.14009830000000001</v>
      </c>
      <c r="C7067" s="15">
        <v>7.8611280000000006E-2</v>
      </c>
    </row>
    <row r="7068" spans="1:3" x14ac:dyDescent="0.45">
      <c r="A7068" s="11">
        <v>87.39</v>
      </c>
      <c r="B7068" s="14">
        <v>0.14023079999999999</v>
      </c>
      <c r="C7068" s="15">
        <v>7.869284E-2</v>
      </c>
    </row>
    <row r="7069" spans="1:3" x14ac:dyDescent="0.45">
      <c r="A7069" s="11">
        <v>87.4</v>
      </c>
      <c r="B7069" s="14">
        <v>0.14036319999999999</v>
      </c>
      <c r="C7069" s="15">
        <v>7.8774399999999994E-2</v>
      </c>
    </row>
    <row r="7070" spans="1:3" x14ac:dyDescent="0.45">
      <c r="A7070" s="11">
        <v>87.41</v>
      </c>
      <c r="B7070" s="14">
        <v>0.1404956</v>
      </c>
      <c r="C7070" s="15">
        <v>7.8855960000000003E-2</v>
      </c>
    </row>
    <row r="7071" spans="1:3" x14ac:dyDescent="0.45">
      <c r="A7071" s="11">
        <v>87.42</v>
      </c>
      <c r="B7071" s="14">
        <v>0.14062810000000001</v>
      </c>
      <c r="C7071" s="15">
        <v>7.8937519999999997E-2</v>
      </c>
    </row>
    <row r="7072" spans="1:3" x14ac:dyDescent="0.45">
      <c r="A7072" s="11">
        <v>87.43</v>
      </c>
      <c r="B7072" s="14">
        <v>0.14076050000000001</v>
      </c>
      <c r="C7072" s="15">
        <v>7.9019080000000005E-2</v>
      </c>
    </row>
    <row r="7073" spans="1:3" x14ac:dyDescent="0.45">
      <c r="A7073" s="11">
        <v>87.44</v>
      </c>
      <c r="B7073" s="14">
        <v>0.14089289999999999</v>
      </c>
      <c r="C7073" s="15">
        <v>7.910064E-2</v>
      </c>
    </row>
    <row r="7074" spans="1:3" x14ac:dyDescent="0.45">
      <c r="A7074" s="11">
        <v>87.45</v>
      </c>
      <c r="B7074" s="14">
        <v>0.1410254</v>
      </c>
      <c r="C7074" s="15">
        <v>7.9182199999999994E-2</v>
      </c>
    </row>
    <row r="7075" spans="1:3" x14ac:dyDescent="0.45">
      <c r="A7075" s="11">
        <v>87.46</v>
      </c>
      <c r="B7075" s="14">
        <v>0.1411578</v>
      </c>
      <c r="C7075" s="15">
        <v>7.9263760000000003E-2</v>
      </c>
    </row>
    <row r="7076" spans="1:3" x14ac:dyDescent="0.45">
      <c r="A7076" s="11">
        <v>87.47</v>
      </c>
      <c r="B7076" s="14">
        <v>0.1412902</v>
      </c>
      <c r="C7076" s="15">
        <v>7.9345319999999997E-2</v>
      </c>
    </row>
    <row r="7077" spans="1:3" x14ac:dyDescent="0.45">
      <c r="A7077" s="11">
        <v>87.48</v>
      </c>
      <c r="B7077" s="14">
        <v>0.14142260000000001</v>
      </c>
      <c r="C7077" s="15">
        <v>7.9426880000000005E-2</v>
      </c>
    </row>
    <row r="7078" spans="1:3" x14ac:dyDescent="0.45">
      <c r="A7078" s="11">
        <v>87.49</v>
      </c>
      <c r="B7078" s="14">
        <v>0.14155509999999999</v>
      </c>
      <c r="C7078" s="15">
        <v>7.950844E-2</v>
      </c>
    </row>
    <row r="7079" spans="1:3" x14ac:dyDescent="0.45">
      <c r="A7079" s="11">
        <v>87.5</v>
      </c>
      <c r="B7079" s="14">
        <v>0.14168749999999999</v>
      </c>
      <c r="C7079" s="15">
        <v>7.9589999999999994E-2</v>
      </c>
    </row>
    <row r="7080" spans="1:3" x14ac:dyDescent="0.45">
      <c r="A7080" s="11">
        <v>87.51</v>
      </c>
      <c r="B7080" s="14">
        <v>0.1418199</v>
      </c>
      <c r="C7080" s="15">
        <v>7.9671560000000002E-2</v>
      </c>
    </row>
    <row r="7081" spans="1:3" x14ac:dyDescent="0.45">
      <c r="A7081" s="11">
        <v>87.52</v>
      </c>
      <c r="B7081" s="14">
        <v>0.14195240000000001</v>
      </c>
      <c r="C7081" s="15">
        <v>7.9753119999999997E-2</v>
      </c>
    </row>
    <row r="7082" spans="1:3" x14ac:dyDescent="0.45">
      <c r="A7082" s="11">
        <v>87.53</v>
      </c>
      <c r="B7082" s="14">
        <v>0.14208480000000001</v>
      </c>
      <c r="C7082" s="15">
        <v>7.9834680000000005E-2</v>
      </c>
    </row>
    <row r="7083" spans="1:3" x14ac:dyDescent="0.45">
      <c r="A7083" s="11">
        <v>87.54</v>
      </c>
      <c r="B7083" s="14">
        <v>0.14221719999999999</v>
      </c>
      <c r="C7083" s="15">
        <v>7.9916239999999999E-2</v>
      </c>
    </row>
    <row r="7084" spans="1:3" x14ac:dyDescent="0.45">
      <c r="A7084" s="11">
        <v>87.55</v>
      </c>
      <c r="B7084" s="14">
        <v>0.14234959999999999</v>
      </c>
      <c r="C7084" s="15">
        <v>7.9997799999999994E-2</v>
      </c>
    </row>
    <row r="7085" spans="1:3" x14ac:dyDescent="0.45">
      <c r="A7085" s="11">
        <v>87.56</v>
      </c>
      <c r="B7085" s="14">
        <v>0.1424821</v>
      </c>
      <c r="C7085" s="15">
        <v>8.0079360000000002E-2</v>
      </c>
    </row>
    <row r="7086" spans="1:3" x14ac:dyDescent="0.45">
      <c r="A7086" s="11">
        <v>87.57</v>
      </c>
      <c r="B7086" s="14">
        <v>0.14261450000000001</v>
      </c>
      <c r="C7086" s="15">
        <v>8.0160919999999997E-2</v>
      </c>
    </row>
    <row r="7087" spans="1:3" x14ac:dyDescent="0.45">
      <c r="A7087" s="11">
        <v>87.58</v>
      </c>
      <c r="B7087" s="14">
        <v>0.14274690000000001</v>
      </c>
      <c r="C7087" s="15">
        <v>8.0242480000000005E-2</v>
      </c>
    </row>
    <row r="7088" spans="1:3" x14ac:dyDescent="0.45">
      <c r="A7088" s="11">
        <v>87.59</v>
      </c>
      <c r="B7088" s="14">
        <v>0.14287939999999999</v>
      </c>
      <c r="C7088" s="15">
        <v>8.0324039999999999E-2</v>
      </c>
    </row>
    <row r="7089" spans="1:3" x14ac:dyDescent="0.45">
      <c r="A7089" s="11">
        <v>87.6</v>
      </c>
      <c r="B7089" s="14">
        <v>0.14301179999999999</v>
      </c>
      <c r="C7089" s="15">
        <v>8.0405599999999994E-2</v>
      </c>
    </row>
    <row r="7090" spans="1:3" x14ac:dyDescent="0.45">
      <c r="A7090" s="11">
        <v>87.61</v>
      </c>
      <c r="B7090" s="14">
        <v>0.1431442</v>
      </c>
      <c r="C7090" s="15">
        <v>8.0487160000000002E-2</v>
      </c>
    </row>
    <row r="7091" spans="1:3" x14ac:dyDescent="0.45">
      <c r="A7091" s="11">
        <v>87.62</v>
      </c>
      <c r="B7091" s="14">
        <v>0.14327670000000001</v>
      </c>
      <c r="C7091" s="15">
        <v>8.0568719999999996E-2</v>
      </c>
    </row>
    <row r="7092" spans="1:3" x14ac:dyDescent="0.45">
      <c r="A7092" s="11">
        <v>87.63</v>
      </c>
      <c r="B7092" s="14">
        <v>0.14340910000000001</v>
      </c>
      <c r="C7092" s="15">
        <v>8.0650280000000005E-2</v>
      </c>
    </row>
    <row r="7093" spans="1:3" x14ac:dyDescent="0.45">
      <c r="A7093" s="11">
        <v>87.64</v>
      </c>
      <c r="B7093" s="14">
        <v>0.14354149999999999</v>
      </c>
      <c r="C7093" s="15">
        <v>8.0731839999999999E-2</v>
      </c>
    </row>
    <row r="7094" spans="1:3" x14ac:dyDescent="0.45">
      <c r="A7094" s="11">
        <v>87.65</v>
      </c>
      <c r="B7094" s="14">
        <v>0.143674</v>
      </c>
      <c r="C7094" s="15">
        <v>8.0813399999999994E-2</v>
      </c>
    </row>
    <row r="7095" spans="1:3" x14ac:dyDescent="0.45">
      <c r="A7095" s="11">
        <v>87.66</v>
      </c>
      <c r="B7095" s="14">
        <v>0.1438064</v>
      </c>
      <c r="C7095" s="15">
        <v>8.0894960000000002E-2</v>
      </c>
    </row>
    <row r="7096" spans="1:3" x14ac:dyDescent="0.45">
      <c r="A7096" s="11">
        <v>87.67</v>
      </c>
      <c r="B7096" s="14">
        <v>0.14393880000000001</v>
      </c>
      <c r="C7096" s="15">
        <v>8.0976519999999996E-2</v>
      </c>
    </row>
    <row r="7097" spans="1:3" x14ac:dyDescent="0.45">
      <c r="A7097" s="11">
        <v>87.68</v>
      </c>
      <c r="B7097" s="14">
        <v>0.14407120000000001</v>
      </c>
      <c r="C7097" s="15">
        <v>8.1058080000000005E-2</v>
      </c>
    </row>
    <row r="7098" spans="1:3" x14ac:dyDescent="0.45">
      <c r="A7098" s="11">
        <v>87.69</v>
      </c>
      <c r="B7098" s="14">
        <v>0.14420369999999999</v>
      </c>
      <c r="C7098" s="15">
        <v>8.1139639999999999E-2</v>
      </c>
    </row>
    <row r="7099" spans="1:3" x14ac:dyDescent="0.45">
      <c r="A7099" s="11">
        <v>87.7</v>
      </c>
      <c r="B7099" s="14">
        <v>0.14433609999999999</v>
      </c>
      <c r="C7099" s="15">
        <v>8.1221199999999993E-2</v>
      </c>
    </row>
    <row r="7100" spans="1:3" x14ac:dyDescent="0.45">
      <c r="A7100" s="11">
        <v>87.71</v>
      </c>
      <c r="B7100" s="14">
        <v>0.1444685</v>
      </c>
      <c r="C7100" s="15">
        <v>8.1302760000000002E-2</v>
      </c>
    </row>
    <row r="7101" spans="1:3" x14ac:dyDescent="0.45">
      <c r="A7101" s="11">
        <v>87.72</v>
      </c>
      <c r="B7101" s="14">
        <v>0.14460100000000001</v>
      </c>
      <c r="C7101" s="15">
        <v>8.1384319999999996E-2</v>
      </c>
    </row>
    <row r="7102" spans="1:3" x14ac:dyDescent="0.45">
      <c r="A7102" s="11">
        <v>87.73</v>
      </c>
      <c r="B7102" s="14">
        <v>0.14473340000000001</v>
      </c>
      <c r="C7102" s="15">
        <v>8.1465880000000004E-2</v>
      </c>
    </row>
    <row r="7103" spans="1:3" x14ac:dyDescent="0.45">
      <c r="A7103" s="11">
        <v>87.74</v>
      </c>
      <c r="B7103" s="14">
        <v>0.14486579999999999</v>
      </c>
      <c r="C7103" s="15">
        <v>8.1547439999999999E-2</v>
      </c>
    </row>
    <row r="7104" spans="1:3" x14ac:dyDescent="0.45">
      <c r="A7104" s="11">
        <v>87.75</v>
      </c>
      <c r="B7104" s="14">
        <v>0.1449983</v>
      </c>
      <c r="C7104" s="15">
        <v>8.1628999999999993E-2</v>
      </c>
    </row>
    <row r="7105" spans="1:3" x14ac:dyDescent="0.45">
      <c r="A7105" s="11">
        <v>87.76</v>
      </c>
      <c r="B7105" s="14">
        <v>0.1451307</v>
      </c>
      <c r="C7105" s="15">
        <v>8.1710560000000002E-2</v>
      </c>
    </row>
    <row r="7106" spans="1:3" x14ac:dyDescent="0.45">
      <c r="A7106" s="11">
        <v>87.77</v>
      </c>
      <c r="B7106" s="14">
        <v>0.14526310000000001</v>
      </c>
      <c r="C7106" s="15">
        <v>8.1792119999999996E-2</v>
      </c>
    </row>
    <row r="7107" spans="1:3" x14ac:dyDescent="0.45">
      <c r="A7107" s="11">
        <v>87.78</v>
      </c>
      <c r="B7107" s="14">
        <v>0.14539550000000001</v>
      </c>
      <c r="C7107" s="15">
        <v>8.1873680000000004E-2</v>
      </c>
    </row>
    <row r="7108" spans="1:3" x14ac:dyDescent="0.45">
      <c r="A7108" s="11">
        <v>87.79</v>
      </c>
      <c r="B7108" s="14">
        <v>0.14552799999999999</v>
      </c>
      <c r="C7108" s="15">
        <v>8.1955239999999999E-2</v>
      </c>
    </row>
    <row r="7109" spans="1:3" x14ac:dyDescent="0.45">
      <c r="A7109" s="11">
        <v>87.8</v>
      </c>
      <c r="B7109" s="14">
        <v>0.1456604</v>
      </c>
      <c r="C7109" s="15">
        <v>8.2036799999999993E-2</v>
      </c>
    </row>
    <row r="7110" spans="1:3" x14ac:dyDescent="0.45">
      <c r="A7110" s="11">
        <v>87.81</v>
      </c>
      <c r="B7110" s="14">
        <v>0.1457928</v>
      </c>
      <c r="C7110" s="15">
        <v>8.2118360000000001E-2</v>
      </c>
    </row>
    <row r="7111" spans="1:3" x14ac:dyDescent="0.45">
      <c r="A7111" s="11">
        <v>87.82</v>
      </c>
      <c r="B7111" s="14">
        <v>0.14592530000000001</v>
      </c>
      <c r="C7111" s="15">
        <v>8.2199919999999996E-2</v>
      </c>
    </row>
    <row r="7112" spans="1:3" x14ac:dyDescent="0.45">
      <c r="A7112" s="11">
        <v>87.83</v>
      </c>
      <c r="B7112" s="14">
        <v>0.14605770000000001</v>
      </c>
      <c r="C7112" s="15">
        <v>8.2281480000000004E-2</v>
      </c>
    </row>
    <row r="7113" spans="1:3" x14ac:dyDescent="0.45">
      <c r="A7113" s="11">
        <v>87.84</v>
      </c>
      <c r="B7113" s="14">
        <v>0.14619009999999999</v>
      </c>
      <c r="C7113" s="15">
        <v>8.2363039999999998E-2</v>
      </c>
    </row>
    <row r="7114" spans="1:3" x14ac:dyDescent="0.45">
      <c r="A7114" s="11">
        <v>87.85</v>
      </c>
      <c r="B7114" s="14">
        <v>0.14632249999999999</v>
      </c>
      <c r="C7114" s="15">
        <v>8.2444600000000007E-2</v>
      </c>
    </row>
    <row r="7115" spans="1:3" x14ac:dyDescent="0.45">
      <c r="A7115" s="11">
        <v>87.86</v>
      </c>
      <c r="B7115" s="14">
        <v>0.146455</v>
      </c>
      <c r="C7115" s="15">
        <v>8.2526160000000001E-2</v>
      </c>
    </row>
    <row r="7116" spans="1:3" x14ac:dyDescent="0.45">
      <c r="A7116" s="11">
        <v>87.87</v>
      </c>
      <c r="B7116" s="14">
        <v>0.14658740000000001</v>
      </c>
      <c r="C7116" s="15">
        <v>8.2607719999999996E-2</v>
      </c>
    </row>
    <row r="7117" spans="1:3" x14ac:dyDescent="0.45">
      <c r="A7117" s="11">
        <v>87.88</v>
      </c>
      <c r="B7117" s="14">
        <v>0.14671980000000001</v>
      </c>
      <c r="C7117" s="15">
        <v>8.2689280000000004E-2</v>
      </c>
    </row>
    <row r="7118" spans="1:3" x14ac:dyDescent="0.45">
      <c r="A7118" s="11">
        <v>87.89</v>
      </c>
      <c r="B7118" s="14">
        <v>0.14685229999999999</v>
      </c>
      <c r="C7118" s="15">
        <v>8.2770839999999998E-2</v>
      </c>
    </row>
    <row r="7119" spans="1:3" x14ac:dyDescent="0.45">
      <c r="A7119" s="11">
        <v>87.9</v>
      </c>
      <c r="B7119" s="14">
        <v>0.1469847</v>
      </c>
      <c r="C7119" s="15">
        <v>8.2852400000000007E-2</v>
      </c>
    </row>
    <row r="7120" spans="1:3" x14ac:dyDescent="0.45">
      <c r="A7120" s="11">
        <v>87.91</v>
      </c>
      <c r="B7120" s="14">
        <v>0.1471171</v>
      </c>
      <c r="C7120" s="15">
        <v>8.2933960000000001E-2</v>
      </c>
    </row>
    <row r="7121" spans="1:3" x14ac:dyDescent="0.45">
      <c r="A7121" s="11">
        <v>87.92</v>
      </c>
      <c r="B7121" s="14">
        <v>0.14724960000000001</v>
      </c>
      <c r="C7121" s="15">
        <v>8.3015519999999995E-2</v>
      </c>
    </row>
    <row r="7122" spans="1:3" x14ac:dyDescent="0.45">
      <c r="A7122" s="11">
        <v>87.93</v>
      </c>
      <c r="B7122" s="14">
        <v>0.14738200000000001</v>
      </c>
      <c r="C7122" s="15">
        <v>8.3097080000000004E-2</v>
      </c>
    </row>
    <row r="7123" spans="1:3" x14ac:dyDescent="0.45">
      <c r="A7123" s="11">
        <v>87.94</v>
      </c>
      <c r="B7123" s="14">
        <v>0.14751439999999999</v>
      </c>
      <c r="C7123" s="15">
        <v>8.3178639999999998E-2</v>
      </c>
    </row>
    <row r="7124" spans="1:3" x14ac:dyDescent="0.45">
      <c r="A7124" s="11">
        <v>87.95</v>
      </c>
      <c r="B7124" s="14">
        <v>0.1476469</v>
      </c>
      <c r="C7124" s="15">
        <v>8.3260200000000006E-2</v>
      </c>
    </row>
    <row r="7125" spans="1:3" x14ac:dyDescent="0.45">
      <c r="A7125" s="11">
        <v>87.96</v>
      </c>
      <c r="B7125" s="14">
        <v>0.1477793</v>
      </c>
      <c r="C7125" s="15">
        <v>8.3341760000000001E-2</v>
      </c>
    </row>
    <row r="7126" spans="1:3" x14ac:dyDescent="0.45">
      <c r="A7126" s="11">
        <v>87.97</v>
      </c>
      <c r="B7126" s="14">
        <v>0.14791170000000001</v>
      </c>
      <c r="C7126" s="15">
        <v>8.3423319999999995E-2</v>
      </c>
    </row>
    <row r="7127" spans="1:3" x14ac:dyDescent="0.45">
      <c r="A7127" s="11">
        <v>87.98</v>
      </c>
      <c r="B7127" s="14">
        <v>0.14804410000000001</v>
      </c>
      <c r="C7127" s="15">
        <v>8.3504880000000004E-2</v>
      </c>
    </row>
    <row r="7128" spans="1:3" x14ac:dyDescent="0.45">
      <c r="A7128" s="11">
        <v>87.99</v>
      </c>
      <c r="B7128" s="14">
        <v>0.14817659999999999</v>
      </c>
      <c r="C7128" s="15">
        <v>8.3586439999999998E-2</v>
      </c>
    </row>
    <row r="7129" spans="1:3" x14ac:dyDescent="0.45">
      <c r="A7129" s="11">
        <v>88</v>
      </c>
      <c r="B7129" s="14">
        <v>0.148309</v>
      </c>
      <c r="C7129" s="15">
        <v>8.3668000000000006E-2</v>
      </c>
    </row>
    <row r="7130" spans="1:3" x14ac:dyDescent="0.45">
      <c r="A7130" s="11">
        <v>88.01</v>
      </c>
      <c r="B7130" s="14">
        <v>0.1484528</v>
      </c>
      <c r="C7130" s="15">
        <v>8.3758390000000002E-2</v>
      </c>
    </row>
    <row r="7131" spans="1:3" x14ac:dyDescent="0.45">
      <c r="A7131" s="11">
        <v>88.02</v>
      </c>
      <c r="B7131" s="14">
        <v>0.1485966</v>
      </c>
      <c r="C7131" s="15">
        <v>8.3848779999999998E-2</v>
      </c>
    </row>
    <row r="7132" spans="1:3" x14ac:dyDescent="0.45">
      <c r="A7132" s="11">
        <v>88.03</v>
      </c>
      <c r="B7132" s="14">
        <v>0.1487405</v>
      </c>
      <c r="C7132" s="15">
        <v>8.3939169999999994E-2</v>
      </c>
    </row>
    <row r="7133" spans="1:3" x14ac:dyDescent="0.45">
      <c r="A7133" s="11">
        <v>88.04</v>
      </c>
      <c r="B7133" s="14">
        <v>0.1488843</v>
      </c>
      <c r="C7133" s="15">
        <v>8.4029560000000003E-2</v>
      </c>
    </row>
    <row r="7134" spans="1:3" x14ac:dyDescent="0.45">
      <c r="A7134" s="11">
        <v>88.05</v>
      </c>
      <c r="B7134" s="14">
        <v>0.1490281</v>
      </c>
      <c r="C7134" s="15">
        <v>8.4119949999999999E-2</v>
      </c>
    </row>
    <row r="7135" spans="1:3" x14ac:dyDescent="0.45">
      <c r="A7135" s="11">
        <v>88.06</v>
      </c>
      <c r="B7135" s="14">
        <v>0.1491719</v>
      </c>
      <c r="C7135" s="15">
        <v>8.4210339999999995E-2</v>
      </c>
    </row>
    <row r="7136" spans="1:3" x14ac:dyDescent="0.45">
      <c r="A7136" s="11">
        <v>88.07</v>
      </c>
      <c r="B7136" s="14">
        <v>0.1493157</v>
      </c>
      <c r="C7136" s="15">
        <v>8.4300730000000004E-2</v>
      </c>
    </row>
    <row r="7137" spans="1:3" x14ac:dyDescent="0.45">
      <c r="A7137" s="11">
        <v>88.08</v>
      </c>
      <c r="B7137" s="14">
        <v>0.1494596</v>
      </c>
      <c r="C7137" s="15">
        <v>8.439112E-2</v>
      </c>
    </row>
    <row r="7138" spans="1:3" x14ac:dyDescent="0.45">
      <c r="A7138" s="11">
        <v>88.09</v>
      </c>
      <c r="B7138" s="14">
        <v>0.1496034</v>
      </c>
      <c r="C7138" s="15">
        <v>8.4481509999999996E-2</v>
      </c>
    </row>
    <row r="7139" spans="1:3" x14ac:dyDescent="0.45">
      <c r="A7139" s="11">
        <v>88.1</v>
      </c>
      <c r="B7139" s="14">
        <v>0.1497472</v>
      </c>
      <c r="C7139" s="15">
        <v>8.4571900000000005E-2</v>
      </c>
    </row>
    <row r="7140" spans="1:3" x14ac:dyDescent="0.45">
      <c r="A7140" s="11">
        <v>88.11</v>
      </c>
      <c r="B7140" s="14">
        <v>0.149891</v>
      </c>
      <c r="C7140" s="15">
        <v>8.4662290000000001E-2</v>
      </c>
    </row>
    <row r="7141" spans="1:3" x14ac:dyDescent="0.45">
      <c r="A7141" s="11">
        <v>88.12</v>
      </c>
      <c r="B7141" s="14">
        <v>0.1500348</v>
      </c>
      <c r="C7141" s="15">
        <v>8.4752679999999997E-2</v>
      </c>
    </row>
    <row r="7142" spans="1:3" x14ac:dyDescent="0.45">
      <c r="A7142" s="11">
        <v>88.13</v>
      </c>
      <c r="B7142" s="14">
        <v>0.1501787</v>
      </c>
      <c r="C7142" s="15">
        <v>8.4843070000000007E-2</v>
      </c>
    </row>
    <row r="7143" spans="1:3" x14ac:dyDescent="0.45">
      <c r="A7143" s="11">
        <v>88.14</v>
      </c>
      <c r="B7143" s="14">
        <v>0.1503225</v>
      </c>
      <c r="C7143" s="15">
        <v>8.4933460000000002E-2</v>
      </c>
    </row>
    <row r="7144" spans="1:3" x14ac:dyDescent="0.45">
      <c r="A7144" s="11">
        <v>88.15</v>
      </c>
      <c r="B7144" s="14">
        <v>0.1504663</v>
      </c>
      <c r="C7144" s="15">
        <v>8.5023849999999998E-2</v>
      </c>
    </row>
    <row r="7145" spans="1:3" x14ac:dyDescent="0.45">
      <c r="A7145" s="11">
        <v>88.16</v>
      </c>
      <c r="B7145" s="14">
        <v>0.1506101</v>
      </c>
      <c r="C7145" s="15">
        <v>8.5114239999999994E-2</v>
      </c>
    </row>
    <row r="7146" spans="1:3" x14ac:dyDescent="0.45">
      <c r="A7146" s="11">
        <v>88.17</v>
      </c>
      <c r="B7146" s="14">
        <v>0.1507539</v>
      </c>
      <c r="C7146" s="15">
        <v>8.5204630000000003E-2</v>
      </c>
    </row>
    <row r="7147" spans="1:3" x14ac:dyDescent="0.45">
      <c r="A7147" s="11">
        <v>88.18</v>
      </c>
      <c r="B7147" s="14">
        <v>0.1508978</v>
      </c>
      <c r="C7147" s="15">
        <v>8.5295019999999999E-2</v>
      </c>
    </row>
    <row r="7148" spans="1:3" x14ac:dyDescent="0.45">
      <c r="A7148" s="11">
        <v>88.19</v>
      </c>
      <c r="B7148" s="14">
        <v>0.1510416</v>
      </c>
      <c r="C7148" s="15">
        <v>8.5385409999999995E-2</v>
      </c>
    </row>
    <row r="7149" spans="1:3" x14ac:dyDescent="0.45">
      <c r="A7149" s="11">
        <v>88.2</v>
      </c>
      <c r="B7149" s="14">
        <v>0.1511854</v>
      </c>
      <c r="C7149" s="15">
        <v>8.5475800000000005E-2</v>
      </c>
    </row>
    <row r="7150" spans="1:3" x14ac:dyDescent="0.45">
      <c r="A7150" s="11">
        <v>88.21</v>
      </c>
      <c r="B7150" s="14">
        <v>0.1513292</v>
      </c>
      <c r="C7150" s="15">
        <v>8.556619E-2</v>
      </c>
    </row>
    <row r="7151" spans="1:3" x14ac:dyDescent="0.45">
      <c r="A7151" s="11">
        <v>88.22</v>
      </c>
      <c r="B7151" s="14">
        <v>0.151473</v>
      </c>
      <c r="C7151" s="15">
        <v>8.5656579999999996E-2</v>
      </c>
    </row>
    <row r="7152" spans="1:3" x14ac:dyDescent="0.45">
      <c r="A7152" s="11">
        <v>88.23</v>
      </c>
      <c r="B7152" s="14">
        <v>0.1516169</v>
      </c>
      <c r="C7152" s="15">
        <v>8.5746970000000006E-2</v>
      </c>
    </row>
    <row r="7153" spans="1:3" x14ac:dyDescent="0.45">
      <c r="A7153" s="11">
        <v>88.24</v>
      </c>
      <c r="B7153" s="14">
        <v>0.1517607</v>
      </c>
      <c r="C7153" s="15">
        <v>8.5837360000000001E-2</v>
      </c>
    </row>
    <row r="7154" spans="1:3" x14ac:dyDescent="0.45">
      <c r="A7154" s="11">
        <v>88.25</v>
      </c>
      <c r="B7154" s="14">
        <v>0.1519045</v>
      </c>
      <c r="C7154" s="15">
        <v>8.5927749999999997E-2</v>
      </c>
    </row>
    <row r="7155" spans="1:3" x14ac:dyDescent="0.45">
      <c r="A7155" s="11">
        <v>88.26</v>
      </c>
      <c r="B7155" s="14">
        <v>0.1520483</v>
      </c>
      <c r="C7155" s="15">
        <v>8.6018140000000007E-2</v>
      </c>
    </row>
    <row r="7156" spans="1:3" x14ac:dyDescent="0.45">
      <c r="A7156" s="11">
        <v>88.27</v>
      </c>
      <c r="B7156" s="14">
        <v>0.1521921</v>
      </c>
      <c r="C7156" s="15">
        <v>8.6108530000000003E-2</v>
      </c>
    </row>
    <row r="7157" spans="1:3" x14ac:dyDescent="0.45">
      <c r="A7157" s="11">
        <v>88.28</v>
      </c>
      <c r="B7157" s="14">
        <v>0.152336</v>
      </c>
      <c r="C7157" s="15">
        <v>8.6198919999999998E-2</v>
      </c>
    </row>
    <row r="7158" spans="1:3" x14ac:dyDescent="0.45">
      <c r="A7158" s="11">
        <v>88.29</v>
      </c>
      <c r="B7158" s="14">
        <v>0.1524798</v>
      </c>
      <c r="C7158" s="15">
        <v>8.6289309999999994E-2</v>
      </c>
    </row>
    <row r="7159" spans="1:3" x14ac:dyDescent="0.45">
      <c r="A7159" s="11">
        <v>88.3</v>
      </c>
      <c r="B7159" s="14">
        <v>0.1526236</v>
      </c>
      <c r="C7159" s="15">
        <v>8.6379700000000004E-2</v>
      </c>
    </row>
    <row r="7160" spans="1:3" x14ac:dyDescent="0.45">
      <c r="A7160" s="11">
        <v>88.31</v>
      </c>
      <c r="B7160" s="14">
        <v>0.1527674</v>
      </c>
      <c r="C7160" s="15">
        <v>8.6470089999999999E-2</v>
      </c>
    </row>
    <row r="7161" spans="1:3" x14ac:dyDescent="0.45">
      <c r="A7161" s="11">
        <v>88.32</v>
      </c>
      <c r="B7161" s="14">
        <v>0.1529112</v>
      </c>
      <c r="C7161" s="15">
        <v>8.6560479999999995E-2</v>
      </c>
    </row>
    <row r="7162" spans="1:3" x14ac:dyDescent="0.45">
      <c r="A7162" s="11">
        <v>88.33</v>
      </c>
      <c r="B7162" s="14">
        <v>0.1530551</v>
      </c>
      <c r="C7162" s="15">
        <v>8.6650870000000005E-2</v>
      </c>
    </row>
    <row r="7163" spans="1:3" x14ac:dyDescent="0.45">
      <c r="A7163" s="11">
        <v>88.34</v>
      </c>
      <c r="B7163" s="14">
        <v>0.1531989</v>
      </c>
      <c r="C7163" s="15">
        <v>8.6741260000000001E-2</v>
      </c>
    </row>
    <row r="7164" spans="1:3" x14ac:dyDescent="0.45">
      <c r="A7164" s="11">
        <v>88.35</v>
      </c>
      <c r="B7164" s="14">
        <v>0.1533427</v>
      </c>
      <c r="C7164" s="15">
        <v>8.6831649999999996E-2</v>
      </c>
    </row>
    <row r="7165" spans="1:3" x14ac:dyDescent="0.45">
      <c r="A7165" s="11">
        <v>88.36</v>
      </c>
      <c r="B7165" s="14">
        <v>0.1534865</v>
      </c>
      <c r="C7165" s="15">
        <v>8.6922040000000006E-2</v>
      </c>
    </row>
    <row r="7166" spans="1:3" x14ac:dyDescent="0.45">
      <c r="A7166" s="11">
        <v>88.37</v>
      </c>
      <c r="B7166" s="14">
        <v>0.1536303</v>
      </c>
      <c r="C7166" s="15">
        <v>8.7012430000000002E-2</v>
      </c>
    </row>
    <row r="7167" spans="1:3" x14ac:dyDescent="0.45">
      <c r="A7167" s="11">
        <v>88.38</v>
      </c>
      <c r="B7167" s="14">
        <v>0.1537742</v>
      </c>
      <c r="C7167" s="15">
        <v>8.7102819999999997E-2</v>
      </c>
    </row>
    <row r="7168" spans="1:3" x14ac:dyDescent="0.45">
      <c r="A7168" s="11">
        <v>88.39</v>
      </c>
      <c r="B7168" s="14">
        <v>0.153918</v>
      </c>
      <c r="C7168" s="15">
        <v>8.7193209999999993E-2</v>
      </c>
    </row>
    <row r="7169" spans="1:3" x14ac:dyDescent="0.45">
      <c r="A7169" s="11">
        <v>88.4</v>
      </c>
      <c r="B7169" s="14">
        <v>0.1540618</v>
      </c>
      <c r="C7169" s="15">
        <v>8.7283600000000003E-2</v>
      </c>
    </row>
    <row r="7170" spans="1:3" x14ac:dyDescent="0.45">
      <c r="A7170" s="11">
        <v>88.41</v>
      </c>
      <c r="B7170" s="14">
        <v>0.1542056</v>
      </c>
      <c r="C7170" s="15">
        <v>8.7373989999999999E-2</v>
      </c>
    </row>
    <row r="7171" spans="1:3" x14ac:dyDescent="0.45">
      <c r="A7171" s="11">
        <v>88.42</v>
      </c>
      <c r="B7171" s="14">
        <v>0.1543494</v>
      </c>
      <c r="C7171" s="15">
        <v>8.7464379999999994E-2</v>
      </c>
    </row>
    <row r="7172" spans="1:3" x14ac:dyDescent="0.45">
      <c r="A7172" s="11">
        <v>88.43</v>
      </c>
      <c r="B7172" s="14">
        <v>0.1544933</v>
      </c>
      <c r="C7172" s="15">
        <v>8.7554770000000004E-2</v>
      </c>
    </row>
    <row r="7173" spans="1:3" x14ac:dyDescent="0.45">
      <c r="A7173" s="11">
        <v>88.44</v>
      </c>
      <c r="B7173" s="14">
        <v>0.1546371</v>
      </c>
      <c r="C7173" s="15">
        <v>8.764516E-2</v>
      </c>
    </row>
    <row r="7174" spans="1:3" x14ac:dyDescent="0.45">
      <c r="A7174" s="11">
        <v>88.45</v>
      </c>
      <c r="B7174" s="14">
        <v>0.1547809</v>
      </c>
      <c r="C7174" s="15">
        <v>8.7735549999999995E-2</v>
      </c>
    </row>
    <row r="7175" spans="1:3" x14ac:dyDescent="0.45">
      <c r="A7175" s="11">
        <v>88.46</v>
      </c>
      <c r="B7175" s="14">
        <v>0.1549247</v>
      </c>
      <c r="C7175" s="15">
        <v>8.7825940000000005E-2</v>
      </c>
    </row>
    <row r="7176" spans="1:3" x14ac:dyDescent="0.45">
      <c r="A7176" s="11">
        <v>88.47</v>
      </c>
      <c r="B7176" s="14">
        <v>0.1550685</v>
      </c>
      <c r="C7176" s="15">
        <v>8.7916330000000001E-2</v>
      </c>
    </row>
    <row r="7177" spans="1:3" x14ac:dyDescent="0.45">
      <c r="A7177" s="11">
        <v>88.48</v>
      </c>
      <c r="B7177" s="14">
        <v>0.1552124</v>
      </c>
      <c r="C7177" s="15">
        <v>8.8006719999999997E-2</v>
      </c>
    </row>
    <row r="7178" spans="1:3" x14ac:dyDescent="0.45">
      <c r="A7178" s="11">
        <v>88.49</v>
      </c>
      <c r="B7178" s="14">
        <v>0.1553562</v>
      </c>
      <c r="C7178" s="15">
        <v>8.8097110000000006E-2</v>
      </c>
    </row>
    <row r="7179" spans="1:3" x14ac:dyDescent="0.45">
      <c r="A7179" s="11">
        <v>88.5</v>
      </c>
      <c r="B7179" s="14">
        <v>0.1555</v>
      </c>
      <c r="C7179" s="15">
        <v>8.8187500000000002E-2</v>
      </c>
    </row>
    <row r="7180" spans="1:3" x14ac:dyDescent="0.45">
      <c r="A7180" s="11">
        <v>88.51</v>
      </c>
      <c r="B7180" s="14">
        <v>0.1556438</v>
      </c>
      <c r="C7180" s="15">
        <v>8.8277889999999998E-2</v>
      </c>
    </row>
    <row r="7181" spans="1:3" x14ac:dyDescent="0.45">
      <c r="A7181" s="11">
        <v>88.52</v>
      </c>
      <c r="B7181" s="14">
        <v>0.1557876</v>
      </c>
      <c r="C7181" s="15">
        <v>8.8368279999999994E-2</v>
      </c>
    </row>
    <row r="7182" spans="1:3" x14ac:dyDescent="0.45">
      <c r="A7182" s="11">
        <v>88.53</v>
      </c>
      <c r="B7182" s="14">
        <v>0.1559315</v>
      </c>
      <c r="C7182" s="15">
        <v>8.8458670000000003E-2</v>
      </c>
    </row>
    <row r="7183" spans="1:3" x14ac:dyDescent="0.45">
      <c r="A7183" s="11">
        <v>88.54</v>
      </c>
      <c r="B7183" s="14">
        <v>0.1560753</v>
      </c>
      <c r="C7183" s="15">
        <v>8.8549059999999999E-2</v>
      </c>
    </row>
    <row r="7184" spans="1:3" x14ac:dyDescent="0.45">
      <c r="A7184" s="11">
        <v>88.55</v>
      </c>
      <c r="B7184" s="14">
        <v>0.1562191</v>
      </c>
      <c r="C7184" s="15">
        <v>8.8639449999999995E-2</v>
      </c>
    </row>
    <row r="7185" spans="1:3" x14ac:dyDescent="0.45">
      <c r="A7185" s="11">
        <v>88.56</v>
      </c>
      <c r="B7185" s="14">
        <v>0.1563629</v>
      </c>
      <c r="C7185" s="15">
        <v>8.8729840000000004E-2</v>
      </c>
    </row>
    <row r="7186" spans="1:3" x14ac:dyDescent="0.45">
      <c r="A7186" s="11">
        <v>88.57</v>
      </c>
      <c r="B7186" s="14">
        <v>0.1565067</v>
      </c>
      <c r="C7186" s="15">
        <v>8.882023E-2</v>
      </c>
    </row>
    <row r="7187" spans="1:3" x14ac:dyDescent="0.45">
      <c r="A7187" s="11">
        <v>88.58</v>
      </c>
      <c r="B7187" s="14">
        <v>0.1566506</v>
      </c>
      <c r="C7187" s="15">
        <v>8.8910619999999996E-2</v>
      </c>
    </row>
    <row r="7188" spans="1:3" x14ac:dyDescent="0.45">
      <c r="A7188" s="11">
        <v>88.59</v>
      </c>
      <c r="B7188" s="14">
        <v>0.1567944</v>
      </c>
      <c r="C7188" s="15">
        <v>8.9001010000000005E-2</v>
      </c>
    </row>
    <row r="7189" spans="1:3" x14ac:dyDescent="0.45">
      <c r="A7189" s="11">
        <v>88.6</v>
      </c>
      <c r="B7189" s="14">
        <v>0.1569382</v>
      </c>
      <c r="C7189" s="15">
        <v>8.9091400000000001E-2</v>
      </c>
    </row>
    <row r="7190" spans="1:3" x14ac:dyDescent="0.45">
      <c r="A7190" s="11">
        <v>88.61</v>
      </c>
      <c r="B7190" s="14">
        <v>0.157082</v>
      </c>
      <c r="C7190" s="15">
        <v>8.9181789999999997E-2</v>
      </c>
    </row>
    <row r="7191" spans="1:3" x14ac:dyDescent="0.45">
      <c r="A7191" s="11">
        <v>88.62</v>
      </c>
      <c r="B7191" s="14">
        <v>0.1572258</v>
      </c>
      <c r="C7191" s="15">
        <v>8.9272180000000007E-2</v>
      </c>
    </row>
    <row r="7192" spans="1:3" x14ac:dyDescent="0.45">
      <c r="A7192" s="11">
        <v>88.63</v>
      </c>
      <c r="B7192" s="14">
        <v>0.1573697</v>
      </c>
      <c r="C7192" s="15">
        <v>8.9362570000000002E-2</v>
      </c>
    </row>
    <row r="7193" spans="1:3" x14ac:dyDescent="0.45">
      <c r="A7193" s="11">
        <v>88.64</v>
      </c>
      <c r="B7193" s="14">
        <v>0.1575135</v>
      </c>
      <c r="C7193" s="15">
        <v>8.9452959999999998E-2</v>
      </c>
    </row>
    <row r="7194" spans="1:3" x14ac:dyDescent="0.45">
      <c r="A7194" s="11">
        <v>88.65</v>
      </c>
      <c r="B7194" s="14">
        <v>0.1576573</v>
      </c>
      <c r="C7194" s="15">
        <v>8.9543349999999994E-2</v>
      </c>
    </row>
    <row r="7195" spans="1:3" x14ac:dyDescent="0.45">
      <c r="A7195" s="11">
        <v>88.66</v>
      </c>
      <c r="B7195" s="14">
        <v>0.1578011</v>
      </c>
      <c r="C7195" s="15">
        <v>8.9633740000000003E-2</v>
      </c>
    </row>
    <row r="7196" spans="1:3" x14ac:dyDescent="0.45">
      <c r="A7196" s="11">
        <v>88.67</v>
      </c>
      <c r="B7196" s="14">
        <v>0.1579449</v>
      </c>
      <c r="C7196" s="15">
        <v>8.9724129999999999E-2</v>
      </c>
    </row>
    <row r="7197" spans="1:3" x14ac:dyDescent="0.45">
      <c r="A7197" s="11">
        <v>88.68</v>
      </c>
      <c r="B7197" s="14">
        <v>0.1580888</v>
      </c>
      <c r="C7197" s="15">
        <v>8.9814519999999995E-2</v>
      </c>
    </row>
    <row r="7198" spans="1:3" x14ac:dyDescent="0.45">
      <c r="A7198" s="11">
        <v>88.69</v>
      </c>
      <c r="B7198" s="14">
        <v>0.1582326</v>
      </c>
      <c r="C7198" s="15">
        <v>8.9904910000000005E-2</v>
      </c>
    </row>
    <row r="7199" spans="1:3" x14ac:dyDescent="0.45">
      <c r="A7199" s="11">
        <v>88.7</v>
      </c>
      <c r="B7199" s="14">
        <v>0.1583764</v>
      </c>
      <c r="C7199" s="15">
        <v>8.99953E-2</v>
      </c>
    </row>
    <row r="7200" spans="1:3" x14ac:dyDescent="0.45">
      <c r="A7200" s="11">
        <v>88.71</v>
      </c>
      <c r="B7200" s="14">
        <v>0.1585202</v>
      </c>
      <c r="C7200" s="15">
        <v>9.0085689999999996E-2</v>
      </c>
    </row>
    <row r="7201" spans="1:3" x14ac:dyDescent="0.45">
      <c r="A7201" s="11">
        <v>88.72</v>
      </c>
      <c r="B7201" s="14">
        <v>0.158664</v>
      </c>
      <c r="C7201" s="15">
        <v>9.0176080000000006E-2</v>
      </c>
    </row>
    <row r="7202" spans="1:3" x14ac:dyDescent="0.45">
      <c r="A7202" s="11">
        <v>88.73</v>
      </c>
      <c r="B7202" s="14">
        <v>0.1588079</v>
      </c>
      <c r="C7202" s="15">
        <v>9.0266470000000001E-2</v>
      </c>
    </row>
    <row r="7203" spans="1:3" x14ac:dyDescent="0.45">
      <c r="A7203" s="11">
        <v>88.74</v>
      </c>
      <c r="B7203" s="14">
        <v>0.1589517</v>
      </c>
      <c r="C7203" s="15">
        <v>9.0356859999999997E-2</v>
      </c>
    </row>
    <row r="7204" spans="1:3" x14ac:dyDescent="0.45">
      <c r="A7204" s="11">
        <v>88.75</v>
      </c>
      <c r="B7204" s="14">
        <v>0.1590955</v>
      </c>
      <c r="C7204" s="15">
        <v>9.0447250000000007E-2</v>
      </c>
    </row>
    <row r="7205" spans="1:3" x14ac:dyDescent="0.45">
      <c r="A7205" s="11">
        <v>88.76</v>
      </c>
      <c r="B7205" s="14">
        <v>0.1592393</v>
      </c>
      <c r="C7205" s="15">
        <v>9.0537640000000003E-2</v>
      </c>
    </row>
    <row r="7206" spans="1:3" x14ac:dyDescent="0.45">
      <c r="A7206" s="11">
        <v>88.77</v>
      </c>
      <c r="B7206" s="14">
        <v>0.1593831</v>
      </c>
      <c r="C7206" s="15">
        <v>9.0628029999999998E-2</v>
      </c>
    </row>
    <row r="7207" spans="1:3" x14ac:dyDescent="0.45">
      <c r="A7207" s="11">
        <v>88.78</v>
      </c>
      <c r="B7207" s="14">
        <v>0.159527</v>
      </c>
      <c r="C7207" s="15">
        <v>9.0718419999999994E-2</v>
      </c>
    </row>
    <row r="7208" spans="1:3" x14ac:dyDescent="0.45">
      <c r="A7208" s="11">
        <v>88.79</v>
      </c>
      <c r="B7208" s="14">
        <v>0.1596708</v>
      </c>
      <c r="C7208" s="15">
        <v>9.0808810000000004E-2</v>
      </c>
    </row>
    <row r="7209" spans="1:3" x14ac:dyDescent="0.45">
      <c r="A7209" s="11">
        <v>88.8</v>
      </c>
      <c r="B7209" s="14">
        <v>0.1598146</v>
      </c>
      <c r="C7209" s="15">
        <v>9.0899199999999999E-2</v>
      </c>
    </row>
    <row r="7210" spans="1:3" x14ac:dyDescent="0.45">
      <c r="A7210" s="11">
        <v>88.81</v>
      </c>
      <c r="B7210" s="14">
        <v>0.1599584</v>
      </c>
      <c r="C7210" s="15">
        <v>9.0989589999999995E-2</v>
      </c>
    </row>
    <row r="7211" spans="1:3" x14ac:dyDescent="0.45">
      <c r="A7211" s="11">
        <v>88.82</v>
      </c>
      <c r="B7211" s="14">
        <v>0.1601022</v>
      </c>
      <c r="C7211" s="15">
        <v>9.1079980000000005E-2</v>
      </c>
    </row>
    <row r="7212" spans="1:3" x14ac:dyDescent="0.45">
      <c r="A7212" s="11">
        <v>88.83</v>
      </c>
      <c r="B7212" s="14">
        <v>0.1602461</v>
      </c>
      <c r="C7212" s="15">
        <v>9.1170370000000001E-2</v>
      </c>
    </row>
    <row r="7213" spans="1:3" x14ac:dyDescent="0.45">
      <c r="A7213" s="11">
        <v>88.84</v>
      </c>
      <c r="B7213" s="14">
        <v>0.1603899</v>
      </c>
      <c r="C7213" s="15">
        <v>9.1260759999999996E-2</v>
      </c>
    </row>
    <row r="7214" spans="1:3" x14ac:dyDescent="0.45">
      <c r="A7214" s="11">
        <v>88.85</v>
      </c>
      <c r="B7214" s="14">
        <v>0.1605337</v>
      </c>
      <c r="C7214" s="15">
        <v>9.1351150000000006E-2</v>
      </c>
    </row>
    <row r="7215" spans="1:3" x14ac:dyDescent="0.45">
      <c r="A7215" s="11">
        <v>88.86</v>
      </c>
      <c r="B7215" s="14">
        <v>0.1606775</v>
      </c>
      <c r="C7215" s="15">
        <v>9.1441540000000002E-2</v>
      </c>
    </row>
    <row r="7216" spans="1:3" x14ac:dyDescent="0.45">
      <c r="A7216" s="11">
        <v>88.87</v>
      </c>
      <c r="B7216" s="14">
        <v>0.1608213</v>
      </c>
      <c r="C7216" s="15">
        <v>9.1531929999999997E-2</v>
      </c>
    </row>
    <row r="7217" spans="1:3" x14ac:dyDescent="0.45">
      <c r="A7217" s="11">
        <v>88.88</v>
      </c>
      <c r="B7217" s="14">
        <v>0.1609652</v>
      </c>
      <c r="C7217" s="15">
        <v>9.1622319999999993E-2</v>
      </c>
    </row>
    <row r="7218" spans="1:3" x14ac:dyDescent="0.45">
      <c r="A7218" s="11">
        <v>88.89</v>
      </c>
      <c r="B7218" s="14">
        <v>0.161109</v>
      </c>
      <c r="C7218" s="15">
        <v>9.1712710000000003E-2</v>
      </c>
    </row>
    <row r="7219" spans="1:3" x14ac:dyDescent="0.45">
      <c r="A7219" s="11">
        <v>88.9</v>
      </c>
      <c r="B7219" s="14">
        <v>0.1612528</v>
      </c>
      <c r="C7219" s="15">
        <v>9.1803099999999999E-2</v>
      </c>
    </row>
    <row r="7220" spans="1:3" x14ac:dyDescent="0.45">
      <c r="A7220" s="11">
        <v>88.91</v>
      </c>
      <c r="B7220" s="14">
        <v>0.1613966</v>
      </c>
      <c r="C7220" s="15">
        <v>9.1893489999999994E-2</v>
      </c>
    </row>
    <row r="7221" spans="1:3" x14ac:dyDescent="0.45">
      <c r="A7221" s="11">
        <v>88.92</v>
      </c>
      <c r="B7221" s="14">
        <v>0.1615404</v>
      </c>
      <c r="C7221" s="15">
        <v>9.1983880000000004E-2</v>
      </c>
    </row>
    <row r="7222" spans="1:3" x14ac:dyDescent="0.45">
      <c r="A7222" s="11">
        <v>88.93</v>
      </c>
      <c r="B7222" s="14">
        <v>0.1616843</v>
      </c>
      <c r="C7222" s="15">
        <v>9.207427E-2</v>
      </c>
    </row>
    <row r="7223" spans="1:3" x14ac:dyDescent="0.45">
      <c r="A7223" s="11">
        <v>88.94</v>
      </c>
      <c r="B7223" s="14">
        <v>0.1618281</v>
      </c>
      <c r="C7223" s="15">
        <v>9.2164659999999995E-2</v>
      </c>
    </row>
    <row r="7224" spans="1:3" x14ac:dyDescent="0.45">
      <c r="A7224" s="11">
        <v>88.95</v>
      </c>
      <c r="B7224" s="14">
        <v>0.1619719</v>
      </c>
      <c r="C7224" s="15">
        <v>9.2255050000000005E-2</v>
      </c>
    </row>
    <row r="7225" spans="1:3" x14ac:dyDescent="0.45">
      <c r="A7225" s="11">
        <v>88.96</v>
      </c>
      <c r="B7225" s="14">
        <v>0.1621157</v>
      </c>
      <c r="C7225" s="15">
        <v>9.2345440000000001E-2</v>
      </c>
    </row>
    <row r="7226" spans="1:3" x14ac:dyDescent="0.45">
      <c r="A7226" s="11">
        <v>88.97</v>
      </c>
      <c r="B7226" s="14">
        <v>0.1622595</v>
      </c>
      <c r="C7226" s="15">
        <v>9.2435829999999997E-2</v>
      </c>
    </row>
    <row r="7227" spans="1:3" x14ac:dyDescent="0.45">
      <c r="A7227" s="11">
        <v>88.98</v>
      </c>
      <c r="B7227" s="14">
        <v>0.1624034</v>
      </c>
      <c r="C7227" s="15">
        <v>9.2526220000000006E-2</v>
      </c>
    </row>
    <row r="7228" spans="1:3" x14ac:dyDescent="0.45">
      <c r="A7228" s="11">
        <v>88.99</v>
      </c>
      <c r="B7228" s="14">
        <v>0.1625472</v>
      </c>
      <c r="C7228" s="15">
        <v>9.2616610000000002E-2</v>
      </c>
    </row>
    <row r="7229" spans="1:3" x14ac:dyDescent="0.45">
      <c r="A7229" s="11">
        <v>89</v>
      </c>
      <c r="B7229" s="14">
        <v>0.162691</v>
      </c>
      <c r="C7229" s="15">
        <v>9.2706999999999998E-2</v>
      </c>
    </row>
    <row r="7230" spans="1:3" x14ac:dyDescent="0.45">
      <c r="A7230" s="11">
        <v>89.01</v>
      </c>
      <c r="B7230" s="14">
        <v>0.16284699999999999</v>
      </c>
      <c r="C7230" s="15">
        <v>9.2807169999999994E-2</v>
      </c>
    </row>
    <row r="7231" spans="1:3" x14ac:dyDescent="0.45">
      <c r="A7231" s="11">
        <v>89.02</v>
      </c>
      <c r="B7231" s="14">
        <v>0.16300300000000001</v>
      </c>
      <c r="C7231" s="15">
        <v>9.2907340000000005E-2</v>
      </c>
    </row>
    <row r="7232" spans="1:3" x14ac:dyDescent="0.45">
      <c r="A7232" s="11">
        <v>89.03</v>
      </c>
      <c r="B7232" s="14">
        <v>0.1631589</v>
      </c>
      <c r="C7232" s="15">
        <v>9.3007510000000002E-2</v>
      </c>
    </row>
    <row r="7233" spans="1:3" x14ac:dyDescent="0.45">
      <c r="A7233" s="11">
        <v>89.04</v>
      </c>
      <c r="B7233" s="14">
        <v>0.16331490000000001</v>
      </c>
      <c r="C7233" s="15">
        <v>9.3107679999999998E-2</v>
      </c>
    </row>
    <row r="7234" spans="1:3" x14ac:dyDescent="0.45">
      <c r="A7234" s="11">
        <v>89.05</v>
      </c>
      <c r="B7234" s="14">
        <v>0.1634709</v>
      </c>
      <c r="C7234" s="15">
        <v>9.3207849999999995E-2</v>
      </c>
    </row>
    <row r="7235" spans="1:3" x14ac:dyDescent="0.45">
      <c r="A7235" s="11">
        <v>89.06</v>
      </c>
      <c r="B7235" s="14">
        <v>0.16362689999999999</v>
      </c>
      <c r="C7235" s="15">
        <v>9.3308020000000005E-2</v>
      </c>
    </row>
    <row r="7236" spans="1:3" x14ac:dyDescent="0.45">
      <c r="A7236" s="11">
        <v>89.07</v>
      </c>
      <c r="B7236" s="14">
        <v>0.16378290000000001</v>
      </c>
      <c r="C7236" s="15">
        <v>9.3408190000000002E-2</v>
      </c>
    </row>
    <row r="7237" spans="1:3" x14ac:dyDescent="0.45">
      <c r="A7237" s="11">
        <v>89.08</v>
      </c>
      <c r="B7237" s="14">
        <v>0.1639388</v>
      </c>
      <c r="C7237" s="15">
        <v>9.3508359999999999E-2</v>
      </c>
    </row>
    <row r="7238" spans="1:3" x14ac:dyDescent="0.45">
      <c r="A7238" s="11">
        <v>89.09</v>
      </c>
      <c r="B7238" s="14">
        <v>0.16409480000000001</v>
      </c>
      <c r="C7238" s="15">
        <v>9.3608529999999995E-2</v>
      </c>
    </row>
    <row r="7239" spans="1:3" x14ac:dyDescent="0.45">
      <c r="A7239" s="11">
        <v>89.1</v>
      </c>
      <c r="B7239" s="14">
        <v>0.1642508</v>
      </c>
      <c r="C7239" s="15">
        <v>9.3708700000000006E-2</v>
      </c>
    </row>
    <row r="7240" spans="1:3" x14ac:dyDescent="0.45">
      <c r="A7240" s="11">
        <v>89.11</v>
      </c>
      <c r="B7240" s="14">
        <v>0.16440679999999999</v>
      </c>
      <c r="C7240" s="15">
        <v>9.3808870000000003E-2</v>
      </c>
    </row>
    <row r="7241" spans="1:3" x14ac:dyDescent="0.45">
      <c r="A7241" s="11">
        <v>89.12</v>
      </c>
      <c r="B7241" s="14">
        <v>0.16456280000000001</v>
      </c>
      <c r="C7241" s="15">
        <v>9.3909039999999999E-2</v>
      </c>
    </row>
    <row r="7242" spans="1:3" x14ac:dyDescent="0.45">
      <c r="A7242" s="11">
        <v>89.13</v>
      </c>
      <c r="B7242" s="14">
        <v>0.1647187</v>
      </c>
      <c r="C7242" s="15">
        <v>9.4009209999999996E-2</v>
      </c>
    </row>
    <row r="7243" spans="1:3" x14ac:dyDescent="0.45">
      <c r="A7243" s="11">
        <v>89.14</v>
      </c>
      <c r="B7243" s="14">
        <v>0.16487470000000001</v>
      </c>
      <c r="C7243" s="15">
        <v>9.4109380000000006E-2</v>
      </c>
    </row>
    <row r="7244" spans="1:3" x14ac:dyDescent="0.45">
      <c r="A7244" s="11">
        <v>89.15</v>
      </c>
      <c r="B7244" s="14">
        <v>0.1650307</v>
      </c>
      <c r="C7244" s="15">
        <v>9.4209550000000003E-2</v>
      </c>
    </row>
    <row r="7245" spans="1:3" x14ac:dyDescent="0.45">
      <c r="A7245" s="11">
        <v>89.16</v>
      </c>
      <c r="B7245" s="14">
        <v>0.16518669999999999</v>
      </c>
      <c r="C7245" s="15">
        <v>9.430972E-2</v>
      </c>
    </row>
    <row r="7246" spans="1:3" x14ac:dyDescent="0.45">
      <c r="A7246" s="11">
        <v>89.17</v>
      </c>
      <c r="B7246" s="14">
        <v>0.16534270000000001</v>
      </c>
      <c r="C7246" s="15">
        <v>9.4409889999999996E-2</v>
      </c>
    </row>
    <row r="7247" spans="1:3" x14ac:dyDescent="0.45">
      <c r="A7247" s="11">
        <v>89.18</v>
      </c>
      <c r="B7247" s="14">
        <v>0.1654986</v>
      </c>
      <c r="C7247" s="15">
        <v>9.4510060000000007E-2</v>
      </c>
    </row>
    <row r="7248" spans="1:3" x14ac:dyDescent="0.45">
      <c r="A7248" s="11">
        <v>89.19</v>
      </c>
      <c r="B7248" s="14">
        <v>0.16565460000000001</v>
      </c>
      <c r="C7248" s="15">
        <v>9.4610230000000003E-2</v>
      </c>
    </row>
    <row r="7249" spans="1:3" x14ac:dyDescent="0.45">
      <c r="A7249" s="11">
        <v>89.2</v>
      </c>
      <c r="B7249" s="14">
        <v>0.1658106</v>
      </c>
      <c r="C7249" s="15">
        <v>9.47104E-2</v>
      </c>
    </row>
    <row r="7250" spans="1:3" x14ac:dyDescent="0.45">
      <c r="A7250" s="11">
        <v>89.21</v>
      </c>
      <c r="B7250" s="14">
        <v>0.16596659999999999</v>
      </c>
      <c r="C7250" s="15">
        <v>9.4810569999999997E-2</v>
      </c>
    </row>
    <row r="7251" spans="1:3" x14ac:dyDescent="0.45">
      <c r="A7251" s="11">
        <v>89.22</v>
      </c>
      <c r="B7251" s="14">
        <v>0.16612260000000001</v>
      </c>
      <c r="C7251" s="15">
        <v>9.4910739999999993E-2</v>
      </c>
    </row>
    <row r="7252" spans="1:3" x14ac:dyDescent="0.45">
      <c r="A7252" s="11">
        <v>89.23</v>
      </c>
      <c r="B7252" s="14">
        <v>0.1662785</v>
      </c>
      <c r="C7252" s="15">
        <v>9.5010910000000004E-2</v>
      </c>
    </row>
    <row r="7253" spans="1:3" x14ac:dyDescent="0.45">
      <c r="A7253" s="11">
        <v>89.24</v>
      </c>
      <c r="B7253" s="14">
        <v>0.16643450000000001</v>
      </c>
      <c r="C7253" s="15">
        <v>9.5111080000000001E-2</v>
      </c>
    </row>
    <row r="7254" spans="1:3" x14ac:dyDescent="0.45">
      <c r="A7254" s="11">
        <v>89.25</v>
      </c>
      <c r="B7254" s="14">
        <v>0.1665905</v>
      </c>
      <c r="C7254" s="15">
        <v>9.5211249999999997E-2</v>
      </c>
    </row>
    <row r="7255" spans="1:3" x14ac:dyDescent="0.45">
      <c r="A7255" s="11">
        <v>89.26</v>
      </c>
      <c r="B7255" s="14">
        <v>0.16674649999999999</v>
      </c>
      <c r="C7255" s="15">
        <v>9.5311419999999994E-2</v>
      </c>
    </row>
    <row r="7256" spans="1:3" x14ac:dyDescent="0.45">
      <c r="A7256" s="11">
        <v>89.27</v>
      </c>
      <c r="B7256" s="14">
        <v>0.16690250000000001</v>
      </c>
      <c r="C7256" s="15">
        <v>9.5411590000000004E-2</v>
      </c>
    </row>
    <row r="7257" spans="1:3" x14ac:dyDescent="0.45">
      <c r="A7257" s="11">
        <v>89.28</v>
      </c>
      <c r="B7257" s="14">
        <v>0.1670584</v>
      </c>
      <c r="C7257" s="15">
        <v>9.5511760000000001E-2</v>
      </c>
    </row>
    <row r="7258" spans="1:3" x14ac:dyDescent="0.45">
      <c r="A7258" s="11">
        <v>89.29</v>
      </c>
      <c r="B7258" s="14">
        <v>0.16721440000000001</v>
      </c>
      <c r="C7258" s="15">
        <v>9.5611929999999998E-2</v>
      </c>
    </row>
    <row r="7259" spans="1:3" x14ac:dyDescent="0.45">
      <c r="A7259" s="11">
        <v>89.3</v>
      </c>
      <c r="B7259" s="14">
        <v>0.1673704</v>
      </c>
      <c r="C7259" s="15">
        <v>9.5712099999999994E-2</v>
      </c>
    </row>
    <row r="7260" spans="1:3" x14ac:dyDescent="0.45">
      <c r="A7260" s="11">
        <v>89.31</v>
      </c>
      <c r="B7260" s="14">
        <v>0.16752639999999999</v>
      </c>
      <c r="C7260" s="15">
        <v>9.5812270000000005E-2</v>
      </c>
    </row>
    <row r="7261" spans="1:3" x14ac:dyDescent="0.45">
      <c r="A7261" s="11">
        <v>89.32</v>
      </c>
      <c r="B7261" s="14">
        <v>0.16768240000000001</v>
      </c>
      <c r="C7261" s="15">
        <v>9.5912440000000002E-2</v>
      </c>
    </row>
    <row r="7262" spans="1:3" x14ac:dyDescent="0.45">
      <c r="A7262" s="11">
        <v>89.33</v>
      </c>
      <c r="B7262" s="14">
        <v>0.1678383</v>
      </c>
      <c r="C7262" s="15">
        <v>9.6012609999999998E-2</v>
      </c>
    </row>
    <row r="7263" spans="1:3" x14ac:dyDescent="0.45">
      <c r="A7263" s="11">
        <v>89.34</v>
      </c>
      <c r="B7263" s="14">
        <v>0.16799430000000001</v>
      </c>
      <c r="C7263" s="15">
        <v>9.6112779999999995E-2</v>
      </c>
    </row>
    <row r="7264" spans="1:3" x14ac:dyDescent="0.45">
      <c r="A7264" s="11">
        <v>89.35</v>
      </c>
      <c r="B7264" s="14">
        <v>0.1681503</v>
      </c>
      <c r="C7264" s="15">
        <v>9.6212950000000005E-2</v>
      </c>
    </row>
    <row r="7265" spans="1:3" x14ac:dyDescent="0.45">
      <c r="A7265" s="11">
        <v>89.36</v>
      </c>
      <c r="B7265" s="14">
        <v>0.16830629999999999</v>
      </c>
      <c r="C7265" s="15">
        <v>9.6313120000000002E-2</v>
      </c>
    </row>
    <row r="7266" spans="1:3" x14ac:dyDescent="0.45">
      <c r="A7266" s="11">
        <v>89.37</v>
      </c>
      <c r="B7266" s="14">
        <v>0.16846230000000001</v>
      </c>
      <c r="C7266" s="15">
        <v>9.6413289999999999E-2</v>
      </c>
    </row>
    <row r="7267" spans="1:3" x14ac:dyDescent="0.45">
      <c r="A7267" s="11">
        <v>89.38</v>
      </c>
      <c r="B7267" s="14">
        <v>0.1686182</v>
      </c>
      <c r="C7267" s="15">
        <v>9.6513459999999995E-2</v>
      </c>
    </row>
    <row r="7268" spans="1:3" x14ac:dyDescent="0.45">
      <c r="A7268" s="11">
        <v>89.39</v>
      </c>
      <c r="B7268" s="14">
        <v>0.16877420000000001</v>
      </c>
      <c r="C7268" s="15">
        <v>9.6613630000000006E-2</v>
      </c>
    </row>
    <row r="7269" spans="1:3" x14ac:dyDescent="0.45">
      <c r="A7269" s="11">
        <v>89.4</v>
      </c>
      <c r="B7269" s="14">
        <v>0.1689302</v>
      </c>
      <c r="C7269" s="15">
        <v>9.6713800000000003E-2</v>
      </c>
    </row>
    <row r="7270" spans="1:3" x14ac:dyDescent="0.45">
      <c r="A7270" s="11">
        <v>89.41</v>
      </c>
      <c r="B7270" s="14">
        <v>0.16908619999999999</v>
      </c>
      <c r="C7270" s="15">
        <v>9.6813969999999999E-2</v>
      </c>
    </row>
    <row r="7271" spans="1:3" x14ac:dyDescent="0.45">
      <c r="A7271" s="11">
        <v>89.42</v>
      </c>
      <c r="B7271" s="14">
        <v>0.16924220000000001</v>
      </c>
      <c r="C7271" s="15">
        <v>9.6914139999999996E-2</v>
      </c>
    </row>
    <row r="7272" spans="1:3" x14ac:dyDescent="0.45">
      <c r="A7272" s="11">
        <v>89.43</v>
      </c>
      <c r="B7272" s="14">
        <v>0.1693981</v>
      </c>
      <c r="C7272" s="15">
        <v>9.7014310000000006E-2</v>
      </c>
    </row>
    <row r="7273" spans="1:3" x14ac:dyDescent="0.45">
      <c r="A7273" s="11">
        <v>89.44</v>
      </c>
      <c r="B7273" s="14">
        <v>0.16955410000000001</v>
      </c>
      <c r="C7273" s="15">
        <v>9.7114480000000003E-2</v>
      </c>
    </row>
    <row r="7274" spans="1:3" x14ac:dyDescent="0.45">
      <c r="A7274" s="11">
        <v>89.45</v>
      </c>
      <c r="B7274" s="14">
        <v>0.1697101</v>
      </c>
      <c r="C7274" s="15">
        <v>9.721465E-2</v>
      </c>
    </row>
    <row r="7275" spans="1:3" x14ac:dyDescent="0.45">
      <c r="A7275" s="11">
        <v>89.46</v>
      </c>
      <c r="B7275" s="14">
        <v>0.16986609999999999</v>
      </c>
      <c r="C7275" s="15">
        <v>9.7314819999999996E-2</v>
      </c>
    </row>
    <row r="7276" spans="1:3" x14ac:dyDescent="0.45">
      <c r="A7276" s="11">
        <v>89.47</v>
      </c>
      <c r="B7276" s="14">
        <v>0.17002210000000001</v>
      </c>
      <c r="C7276" s="15">
        <v>9.7414990000000007E-2</v>
      </c>
    </row>
    <row r="7277" spans="1:3" x14ac:dyDescent="0.45">
      <c r="A7277" s="11">
        <v>89.48</v>
      </c>
      <c r="B7277" s="14">
        <v>0.170178</v>
      </c>
      <c r="C7277" s="15">
        <v>9.7515160000000004E-2</v>
      </c>
    </row>
    <row r="7278" spans="1:3" x14ac:dyDescent="0.45">
      <c r="A7278" s="11">
        <v>89.49</v>
      </c>
      <c r="B7278" s="14">
        <v>0.17033400000000001</v>
      </c>
      <c r="C7278" s="15">
        <v>9.761533E-2</v>
      </c>
    </row>
    <row r="7279" spans="1:3" x14ac:dyDescent="0.45">
      <c r="A7279" s="11">
        <v>89.5</v>
      </c>
      <c r="B7279" s="14">
        <v>0.17049</v>
      </c>
      <c r="C7279" s="15">
        <v>9.7715499999999997E-2</v>
      </c>
    </row>
    <row r="7280" spans="1:3" x14ac:dyDescent="0.45">
      <c r="A7280" s="11">
        <v>89.51</v>
      </c>
      <c r="B7280" s="14">
        <v>0.17064599999999999</v>
      </c>
      <c r="C7280" s="15">
        <v>9.7815669999999993E-2</v>
      </c>
    </row>
    <row r="7281" spans="1:3" x14ac:dyDescent="0.45">
      <c r="A7281" s="11">
        <v>89.52</v>
      </c>
      <c r="B7281" s="14">
        <v>0.17080200000000001</v>
      </c>
      <c r="C7281" s="15">
        <v>9.7915840000000004E-2</v>
      </c>
    </row>
    <row r="7282" spans="1:3" x14ac:dyDescent="0.45">
      <c r="A7282" s="11">
        <v>89.53</v>
      </c>
      <c r="B7282" s="14">
        <v>0.1709579</v>
      </c>
      <c r="C7282" s="15">
        <v>9.8016010000000001E-2</v>
      </c>
    </row>
    <row r="7283" spans="1:3" x14ac:dyDescent="0.45">
      <c r="A7283" s="11">
        <v>89.54</v>
      </c>
      <c r="B7283" s="14">
        <v>0.17111390000000001</v>
      </c>
      <c r="C7283" s="15">
        <v>9.8116179999999997E-2</v>
      </c>
    </row>
    <row r="7284" spans="1:3" x14ac:dyDescent="0.45">
      <c r="A7284" s="11">
        <v>89.55</v>
      </c>
      <c r="B7284" s="14">
        <v>0.1712699</v>
      </c>
      <c r="C7284" s="15">
        <v>9.8216349999999994E-2</v>
      </c>
    </row>
    <row r="7285" spans="1:3" x14ac:dyDescent="0.45">
      <c r="A7285" s="11">
        <v>89.56</v>
      </c>
      <c r="B7285" s="14">
        <v>0.17142589999999999</v>
      </c>
      <c r="C7285" s="15">
        <v>9.8316520000000004E-2</v>
      </c>
    </row>
    <row r="7286" spans="1:3" x14ac:dyDescent="0.45">
      <c r="A7286" s="11">
        <v>89.57</v>
      </c>
      <c r="B7286" s="14">
        <v>0.17158190000000001</v>
      </c>
      <c r="C7286" s="15">
        <v>9.8416690000000001E-2</v>
      </c>
    </row>
    <row r="7287" spans="1:3" x14ac:dyDescent="0.45">
      <c r="A7287" s="11">
        <v>89.58</v>
      </c>
      <c r="B7287" s="14">
        <v>0.1717378</v>
      </c>
      <c r="C7287" s="15">
        <v>9.8516859999999998E-2</v>
      </c>
    </row>
    <row r="7288" spans="1:3" x14ac:dyDescent="0.45">
      <c r="A7288" s="11">
        <v>89.59</v>
      </c>
      <c r="B7288" s="14">
        <v>0.17189380000000001</v>
      </c>
      <c r="C7288" s="15">
        <v>9.8617029999999994E-2</v>
      </c>
    </row>
    <row r="7289" spans="1:3" x14ac:dyDescent="0.45">
      <c r="A7289" s="11">
        <v>89.6</v>
      </c>
      <c r="B7289" s="14">
        <v>0.1720498</v>
      </c>
      <c r="C7289" s="15">
        <v>9.8717200000000005E-2</v>
      </c>
    </row>
    <row r="7290" spans="1:3" x14ac:dyDescent="0.45">
      <c r="A7290" s="11">
        <v>89.61</v>
      </c>
      <c r="B7290" s="14">
        <v>0.17220579999999999</v>
      </c>
      <c r="C7290" s="15">
        <v>9.8817370000000002E-2</v>
      </c>
    </row>
    <row r="7291" spans="1:3" x14ac:dyDescent="0.45">
      <c r="A7291" s="11">
        <v>89.62</v>
      </c>
      <c r="B7291" s="14">
        <v>0.17236180000000001</v>
      </c>
      <c r="C7291" s="15">
        <v>9.8917539999999998E-2</v>
      </c>
    </row>
    <row r="7292" spans="1:3" x14ac:dyDescent="0.45">
      <c r="A7292" s="11">
        <v>89.63</v>
      </c>
      <c r="B7292" s="14">
        <v>0.1725177</v>
      </c>
      <c r="C7292" s="15">
        <v>9.9017709999999995E-2</v>
      </c>
    </row>
    <row r="7293" spans="1:3" x14ac:dyDescent="0.45">
      <c r="A7293" s="11">
        <v>89.64</v>
      </c>
      <c r="B7293" s="14">
        <v>0.17267370000000001</v>
      </c>
      <c r="C7293" s="15">
        <v>9.9117880000000005E-2</v>
      </c>
    </row>
    <row r="7294" spans="1:3" x14ac:dyDescent="0.45">
      <c r="A7294" s="11">
        <v>89.65</v>
      </c>
      <c r="B7294" s="14">
        <v>0.1728297</v>
      </c>
      <c r="C7294" s="15">
        <v>9.9218050000000002E-2</v>
      </c>
    </row>
    <row r="7295" spans="1:3" x14ac:dyDescent="0.45">
      <c r="A7295" s="11">
        <v>89.66</v>
      </c>
      <c r="B7295" s="14">
        <v>0.17298569999999999</v>
      </c>
      <c r="C7295" s="15">
        <v>9.9318219999999999E-2</v>
      </c>
    </row>
    <row r="7296" spans="1:3" x14ac:dyDescent="0.45">
      <c r="A7296" s="11">
        <v>89.67</v>
      </c>
      <c r="B7296" s="14">
        <v>0.17314170000000001</v>
      </c>
      <c r="C7296" s="15">
        <v>9.9418389999999995E-2</v>
      </c>
    </row>
    <row r="7297" spans="1:3" x14ac:dyDescent="0.45">
      <c r="A7297" s="11">
        <v>89.68</v>
      </c>
      <c r="B7297" s="14">
        <v>0.1732976</v>
      </c>
      <c r="C7297" s="15">
        <v>9.9518560000000006E-2</v>
      </c>
    </row>
    <row r="7298" spans="1:3" x14ac:dyDescent="0.45">
      <c r="A7298" s="11">
        <v>89.69</v>
      </c>
      <c r="B7298" s="14">
        <v>0.17345360000000001</v>
      </c>
      <c r="C7298" s="15">
        <v>9.9618730000000003E-2</v>
      </c>
    </row>
    <row r="7299" spans="1:3" x14ac:dyDescent="0.45">
      <c r="A7299" s="11">
        <v>89.7</v>
      </c>
      <c r="B7299" s="14">
        <v>0.1736096</v>
      </c>
      <c r="C7299" s="15">
        <v>9.9718899999999999E-2</v>
      </c>
    </row>
    <row r="7300" spans="1:3" x14ac:dyDescent="0.45">
      <c r="A7300" s="11">
        <v>89.71</v>
      </c>
      <c r="B7300" s="14">
        <v>0.17376559999999999</v>
      </c>
      <c r="C7300" s="15">
        <v>9.9819069999999996E-2</v>
      </c>
    </row>
    <row r="7301" spans="1:3" x14ac:dyDescent="0.45">
      <c r="A7301" s="11">
        <v>89.72</v>
      </c>
      <c r="B7301" s="14">
        <v>0.17392160000000001</v>
      </c>
      <c r="C7301" s="15">
        <v>9.9919240000000006E-2</v>
      </c>
    </row>
    <row r="7302" spans="1:3" x14ac:dyDescent="0.45">
      <c r="A7302" s="11">
        <v>89.73</v>
      </c>
      <c r="B7302" s="14">
        <v>0.1740775</v>
      </c>
      <c r="C7302" s="15">
        <v>0.10001939999999999</v>
      </c>
    </row>
    <row r="7303" spans="1:3" x14ac:dyDescent="0.45">
      <c r="A7303" s="11">
        <v>89.74</v>
      </c>
      <c r="B7303" s="14">
        <v>0.17423350000000001</v>
      </c>
      <c r="C7303" s="15">
        <v>0.1001196</v>
      </c>
    </row>
    <row r="7304" spans="1:3" x14ac:dyDescent="0.45">
      <c r="A7304" s="11">
        <v>89.75</v>
      </c>
      <c r="B7304" s="14">
        <v>0.1743895</v>
      </c>
      <c r="C7304" s="15">
        <v>0.1002198</v>
      </c>
    </row>
    <row r="7305" spans="1:3" x14ac:dyDescent="0.45">
      <c r="A7305" s="11">
        <v>89.76</v>
      </c>
      <c r="B7305" s="14">
        <v>0.17454549999999999</v>
      </c>
      <c r="C7305" s="15">
        <v>0.1003199</v>
      </c>
    </row>
    <row r="7306" spans="1:3" x14ac:dyDescent="0.45">
      <c r="A7306" s="11">
        <v>89.77</v>
      </c>
      <c r="B7306" s="14">
        <v>0.17470150000000001</v>
      </c>
      <c r="C7306" s="15">
        <v>0.1004201</v>
      </c>
    </row>
    <row r="7307" spans="1:3" x14ac:dyDescent="0.45">
      <c r="A7307" s="11">
        <v>89.78</v>
      </c>
      <c r="B7307" s="14">
        <v>0.1748574</v>
      </c>
      <c r="C7307" s="15">
        <v>0.10052030000000001</v>
      </c>
    </row>
    <row r="7308" spans="1:3" x14ac:dyDescent="0.45">
      <c r="A7308" s="11">
        <v>89.79</v>
      </c>
      <c r="B7308" s="14">
        <v>0.17501340000000001</v>
      </c>
      <c r="C7308" s="15">
        <v>0.1006204</v>
      </c>
    </row>
    <row r="7309" spans="1:3" x14ac:dyDescent="0.45">
      <c r="A7309" s="11">
        <v>89.8</v>
      </c>
      <c r="B7309" s="14">
        <v>0.1751694</v>
      </c>
      <c r="C7309" s="15">
        <v>0.10072059999999999</v>
      </c>
    </row>
    <row r="7310" spans="1:3" x14ac:dyDescent="0.45">
      <c r="A7310" s="11">
        <v>89.81</v>
      </c>
      <c r="B7310" s="14">
        <v>0.17532539999999999</v>
      </c>
      <c r="C7310" s="15">
        <v>0.1008208</v>
      </c>
    </row>
    <row r="7311" spans="1:3" x14ac:dyDescent="0.45">
      <c r="A7311" s="11">
        <v>89.82</v>
      </c>
      <c r="B7311" s="14">
        <v>0.17548140000000001</v>
      </c>
      <c r="C7311" s="15">
        <v>0.10092089999999999</v>
      </c>
    </row>
    <row r="7312" spans="1:3" x14ac:dyDescent="0.45">
      <c r="A7312" s="11">
        <v>89.83</v>
      </c>
      <c r="B7312" s="14">
        <v>0.1756373</v>
      </c>
      <c r="C7312" s="15">
        <v>0.1010211</v>
      </c>
    </row>
    <row r="7313" spans="1:3" x14ac:dyDescent="0.45">
      <c r="A7313" s="11">
        <v>89.84</v>
      </c>
      <c r="B7313" s="14">
        <v>0.17579330000000001</v>
      </c>
      <c r="C7313" s="15">
        <v>0.1011213</v>
      </c>
    </row>
    <row r="7314" spans="1:3" x14ac:dyDescent="0.45">
      <c r="A7314" s="11">
        <v>89.85</v>
      </c>
      <c r="B7314" s="14">
        <v>0.1759493</v>
      </c>
      <c r="C7314" s="15">
        <v>0.1012214</v>
      </c>
    </row>
    <row r="7315" spans="1:3" x14ac:dyDescent="0.45">
      <c r="A7315" s="11">
        <v>89.86</v>
      </c>
      <c r="B7315" s="14">
        <v>0.17610529999999999</v>
      </c>
      <c r="C7315" s="15">
        <v>0.1013216</v>
      </c>
    </row>
    <row r="7316" spans="1:3" x14ac:dyDescent="0.45">
      <c r="A7316" s="11">
        <v>89.87</v>
      </c>
      <c r="B7316" s="14">
        <v>0.17626130000000001</v>
      </c>
      <c r="C7316" s="15">
        <v>0.10142180000000001</v>
      </c>
    </row>
    <row r="7317" spans="1:3" x14ac:dyDescent="0.45">
      <c r="A7317" s="11">
        <v>89.88</v>
      </c>
      <c r="B7317" s="14">
        <v>0.1764172</v>
      </c>
      <c r="C7317" s="15">
        <v>0.101522</v>
      </c>
    </row>
    <row r="7318" spans="1:3" x14ac:dyDescent="0.45">
      <c r="A7318" s="11">
        <v>89.89</v>
      </c>
      <c r="B7318" s="14">
        <v>0.17657320000000001</v>
      </c>
      <c r="C7318" s="15">
        <v>0.10162210000000001</v>
      </c>
    </row>
    <row r="7319" spans="1:3" x14ac:dyDescent="0.45">
      <c r="A7319" s="11">
        <v>89.9</v>
      </c>
      <c r="B7319" s="14">
        <v>0.1767292</v>
      </c>
      <c r="C7319" s="15">
        <v>0.1017223</v>
      </c>
    </row>
    <row r="7320" spans="1:3" x14ac:dyDescent="0.45">
      <c r="A7320" s="11">
        <v>89.91</v>
      </c>
      <c r="B7320" s="14">
        <v>0.17688519999999999</v>
      </c>
      <c r="C7320" s="15">
        <v>0.1018225</v>
      </c>
    </row>
    <row r="7321" spans="1:3" x14ac:dyDescent="0.45">
      <c r="A7321" s="11">
        <v>89.92</v>
      </c>
      <c r="B7321" s="14">
        <v>0.17704120000000001</v>
      </c>
      <c r="C7321" s="15">
        <v>0.1019226</v>
      </c>
    </row>
    <row r="7322" spans="1:3" x14ac:dyDescent="0.45">
      <c r="A7322" s="11">
        <v>89.93</v>
      </c>
      <c r="B7322" s="14">
        <v>0.1771971</v>
      </c>
      <c r="C7322" s="15">
        <v>0.1020228</v>
      </c>
    </row>
    <row r="7323" spans="1:3" x14ac:dyDescent="0.45">
      <c r="A7323" s="11">
        <v>89.94</v>
      </c>
      <c r="B7323" s="14">
        <v>0.17735310000000001</v>
      </c>
      <c r="C7323" s="15">
        <v>0.10212300000000001</v>
      </c>
    </row>
    <row r="7324" spans="1:3" x14ac:dyDescent="0.45">
      <c r="A7324" s="11">
        <v>89.95</v>
      </c>
      <c r="B7324" s="14">
        <v>0.1775091</v>
      </c>
      <c r="C7324" s="15">
        <v>0.1022232</v>
      </c>
    </row>
    <row r="7325" spans="1:3" x14ac:dyDescent="0.45">
      <c r="A7325" s="11">
        <v>89.96</v>
      </c>
      <c r="B7325" s="14">
        <v>0.17766509999999999</v>
      </c>
      <c r="C7325" s="15">
        <v>0.10232330000000001</v>
      </c>
    </row>
    <row r="7326" spans="1:3" x14ac:dyDescent="0.45">
      <c r="A7326" s="11">
        <v>89.97</v>
      </c>
      <c r="B7326" s="14">
        <v>0.17782110000000001</v>
      </c>
      <c r="C7326" s="15">
        <v>0.1024235</v>
      </c>
    </row>
    <row r="7327" spans="1:3" x14ac:dyDescent="0.45">
      <c r="A7327" s="11">
        <v>89.98</v>
      </c>
      <c r="B7327" s="14">
        <v>0.177977</v>
      </c>
      <c r="C7327" s="15">
        <v>0.1025237</v>
      </c>
    </row>
    <row r="7328" spans="1:3" x14ac:dyDescent="0.45">
      <c r="A7328" s="11">
        <v>89.99</v>
      </c>
      <c r="B7328" s="14">
        <v>0.17813300000000001</v>
      </c>
      <c r="C7328" s="15">
        <v>0.1026238</v>
      </c>
    </row>
    <row r="7329" spans="1:3" x14ac:dyDescent="0.45">
      <c r="A7329" s="11">
        <v>90</v>
      </c>
      <c r="B7329" s="14">
        <v>0.178289</v>
      </c>
      <c r="C7329" s="15">
        <v>0.102724</v>
      </c>
    </row>
    <row r="7330" spans="1:3" x14ac:dyDescent="0.45">
      <c r="A7330" s="11">
        <v>90.01</v>
      </c>
      <c r="B7330" s="14">
        <v>0.17845800000000001</v>
      </c>
      <c r="C7330" s="15">
        <v>0.102835</v>
      </c>
    </row>
    <row r="7331" spans="1:3" x14ac:dyDescent="0.45">
      <c r="A7331" s="11">
        <v>90.02</v>
      </c>
      <c r="B7331" s="14">
        <v>0.17862700000000001</v>
      </c>
      <c r="C7331" s="15">
        <v>0.102946</v>
      </c>
    </row>
    <row r="7332" spans="1:3" x14ac:dyDescent="0.45">
      <c r="A7332" s="11">
        <v>90.03</v>
      </c>
      <c r="B7332" s="14">
        <v>0.17879600000000001</v>
      </c>
      <c r="C7332" s="15">
        <v>0.103057</v>
      </c>
    </row>
    <row r="7333" spans="1:3" x14ac:dyDescent="0.45">
      <c r="A7333" s="11">
        <v>90.04</v>
      </c>
      <c r="B7333" s="14">
        <v>0.17896500000000001</v>
      </c>
      <c r="C7333" s="15">
        <v>0.103168</v>
      </c>
    </row>
    <row r="7334" spans="1:3" x14ac:dyDescent="0.45">
      <c r="A7334" s="11">
        <v>90.05</v>
      </c>
      <c r="B7334" s="14">
        <v>0.17913399999999999</v>
      </c>
      <c r="C7334" s="15">
        <v>0.103279</v>
      </c>
    </row>
    <row r="7335" spans="1:3" x14ac:dyDescent="0.45">
      <c r="A7335" s="11">
        <v>90.06</v>
      </c>
      <c r="B7335" s="14">
        <v>0.17930309999999999</v>
      </c>
      <c r="C7335" s="15">
        <v>0.10339</v>
      </c>
    </row>
    <row r="7336" spans="1:3" x14ac:dyDescent="0.45">
      <c r="A7336" s="11">
        <v>90.07</v>
      </c>
      <c r="B7336" s="14">
        <v>0.1794721</v>
      </c>
      <c r="C7336" s="15">
        <v>0.103501</v>
      </c>
    </row>
    <row r="7337" spans="1:3" x14ac:dyDescent="0.45">
      <c r="A7337" s="11">
        <v>90.08</v>
      </c>
      <c r="B7337" s="14">
        <v>0.1796411</v>
      </c>
      <c r="C7337" s="15">
        <v>0.103612</v>
      </c>
    </row>
    <row r="7338" spans="1:3" x14ac:dyDescent="0.45">
      <c r="A7338" s="11">
        <v>90.09</v>
      </c>
      <c r="B7338" s="14">
        <v>0.1798101</v>
      </c>
      <c r="C7338" s="15">
        <v>0.103723</v>
      </c>
    </row>
    <row r="7339" spans="1:3" x14ac:dyDescent="0.45">
      <c r="A7339" s="11">
        <v>90.1</v>
      </c>
      <c r="B7339" s="14">
        <v>0.1799791</v>
      </c>
      <c r="C7339" s="15">
        <v>0.103834</v>
      </c>
    </row>
    <row r="7340" spans="1:3" x14ac:dyDescent="0.45">
      <c r="A7340" s="11">
        <v>90.11</v>
      </c>
      <c r="B7340" s="14">
        <v>0.18014810000000001</v>
      </c>
      <c r="C7340" s="15">
        <v>0.103945</v>
      </c>
    </row>
    <row r="7341" spans="1:3" x14ac:dyDescent="0.45">
      <c r="A7341" s="11">
        <v>90.12</v>
      </c>
      <c r="B7341" s="14">
        <v>0.18031710000000001</v>
      </c>
      <c r="C7341" s="15">
        <v>0.104056</v>
      </c>
    </row>
    <row r="7342" spans="1:3" x14ac:dyDescent="0.45">
      <c r="A7342" s="11">
        <v>90.13</v>
      </c>
      <c r="B7342" s="14">
        <v>0.18048610000000001</v>
      </c>
      <c r="C7342" s="15">
        <v>0.104167</v>
      </c>
    </row>
    <row r="7343" spans="1:3" x14ac:dyDescent="0.45">
      <c r="A7343" s="11">
        <v>90.14</v>
      </c>
      <c r="B7343" s="14">
        <v>0.18065510000000001</v>
      </c>
      <c r="C7343" s="15">
        <v>0.104278</v>
      </c>
    </row>
    <row r="7344" spans="1:3" x14ac:dyDescent="0.45">
      <c r="A7344" s="11">
        <v>90.15</v>
      </c>
      <c r="B7344" s="14">
        <v>0.18082419999999999</v>
      </c>
      <c r="C7344" s="15">
        <v>0.104389</v>
      </c>
    </row>
    <row r="7345" spans="1:3" x14ac:dyDescent="0.45">
      <c r="A7345" s="11">
        <v>90.16</v>
      </c>
      <c r="B7345" s="14">
        <v>0.18099319999999999</v>
      </c>
      <c r="C7345" s="15">
        <v>0.1045</v>
      </c>
    </row>
    <row r="7346" spans="1:3" x14ac:dyDescent="0.45">
      <c r="A7346" s="11">
        <v>90.17</v>
      </c>
      <c r="B7346" s="14">
        <v>0.1811622</v>
      </c>
      <c r="C7346" s="15">
        <v>0.104611</v>
      </c>
    </row>
    <row r="7347" spans="1:3" x14ac:dyDescent="0.45">
      <c r="A7347" s="11">
        <v>90.18</v>
      </c>
      <c r="B7347" s="14">
        <v>0.1813312</v>
      </c>
      <c r="C7347" s="15">
        <v>0.104722</v>
      </c>
    </row>
    <row r="7348" spans="1:3" x14ac:dyDescent="0.45">
      <c r="A7348" s="11">
        <v>90.19</v>
      </c>
      <c r="B7348" s="14">
        <v>0.1815002</v>
      </c>
      <c r="C7348" s="15">
        <v>0.104833</v>
      </c>
    </row>
    <row r="7349" spans="1:3" x14ac:dyDescent="0.45">
      <c r="A7349" s="11">
        <v>90.2</v>
      </c>
      <c r="B7349" s="14">
        <v>0.1816692</v>
      </c>
      <c r="C7349" s="15">
        <v>0.104944</v>
      </c>
    </row>
    <row r="7350" spans="1:3" x14ac:dyDescent="0.45">
      <c r="A7350" s="11">
        <v>90.21</v>
      </c>
      <c r="B7350" s="14">
        <v>0.18183820000000001</v>
      </c>
      <c r="C7350" s="15">
        <v>0.105055</v>
      </c>
    </row>
    <row r="7351" spans="1:3" x14ac:dyDescent="0.45">
      <c r="A7351" s="11">
        <v>90.22</v>
      </c>
      <c r="B7351" s="14">
        <v>0.18200720000000001</v>
      </c>
      <c r="C7351" s="15">
        <v>0.105166</v>
      </c>
    </row>
    <row r="7352" spans="1:3" x14ac:dyDescent="0.45">
      <c r="A7352" s="11">
        <v>90.23</v>
      </c>
      <c r="B7352" s="14">
        <v>0.18217620000000001</v>
      </c>
      <c r="C7352" s="15">
        <v>0.105277</v>
      </c>
    </row>
    <row r="7353" spans="1:3" x14ac:dyDescent="0.45">
      <c r="A7353" s="11">
        <v>90.24</v>
      </c>
      <c r="B7353" s="14">
        <v>0.18234520000000001</v>
      </c>
      <c r="C7353" s="15">
        <v>0.105388</v>
      </c>
    </row>
    <row r="7354" spans="1:3" x14ac:dyDescent="0.45">
      <c r="A7354" s="11">
        <v>90.25</v>
      </c>
      <c r="B7354" s="14">
        <v>0.18251419999999999</v>
      </c>
      <c r="C7354" s="15">
        <v>0.105499</v>
      </c>
    </row>
    <row r="7355" spans="1:3" x14ac:dyDescent="0.45">
      <c r="A7355" s="11">
        <v>90.26</v>
      </c>
      <c r="B7355" s="14">
        <v>0.18268329999999999</v>
      </c>
      <c r="C7355" s="15">
        <v>0.10561</v>
      </c>
    </row>
    <row r="7356" spans="1:3" x14ac:dyDescent="0.45">
      <c r="A7356" s="11">
        <v>90.27</v>
      </c>
      <c r="B7356" s="14">
        <v>0.1828523</v>
      </c>
      <c r="C7356" s="15">
        <v>0.105721</v>
      </c>
    </row>
    <row r="7357" spans="1:3" x14ac:dyDescent="0.45">
      <c r="A7357" s="11">
        <v>90.28</v>
      </c>
      <c r="B7357" s="14">
        <v>0.1830213</v>
      </c>
      <c r="C7357" s="15">
        <v>0.105832</v>
      </c>
    </row>
    <row r="7358" spans="1:3" x14ac:dyDescent="0.45">
      <c r="A7358" s="11">
        <v>90.29</v>
      </c>
      <c r="B7358" s="14">
        <v>0.1831903</v>
      </c>
      <c r="C7358" s="15">
        <v>0.105943</v>
      </c>
    </row>
    <row r="7359" spans="1:3" x14ac:dyDescent="0.45">
      <c r="A7359" s="11">
        <v>90.3</v>
      </c>
      <c r="B7359" s="14">
        <v>0.1833593</v>
      </c>
      <c r="C7359" s="15">
        <v>0.106054</v>
      </c>
    </row>
    <row r="7360" spans="1:3" x14ac:dyDescent="0.45">
      <c r="A7360" s="11">
        <v>90.31</v>
      </c>
      <c r="B7360" s="14">
        <v>0.18352830000000001</v>
      </c>
      <c r="C7360" s="15">
        <v>0.106165</v>
      </c>
    </row>
    <row r="7361" spans="1:3" x14ac:dyDescent="0.45">
      <c r="A7361" s="11">
        <v>90.32</v>
      </c>
      <c r="B7361" s="14">
        <v>0.18369730000000001</v>
      </c>
      <c r="C7361" s="15">
        <v>0.106276</v>
      </c>
    </row>
    <row r="7362" spans="1:3" x14ac:dyDescent="0.45">
      <c r="A7362" s="11">
        <v>90.33</v>
      </c>
      <c r="B7362" s="14">
        <v>0.18386630000000001</v>
      </c>
      <c r="C7362" s="15">
        <v>0.106387</v>
      </c>
    </row>
    <row r="7363" spans="1:3" x14ac:dyDescent="0.45">
      <c r="A7363" s="11">
        <v>90.34</v>
      </c>
      <c r="B7363" s="14">
        <v>0.18403530000000001</v>
      </c>
      <c r="C7363" s="15">
        <v>0.106498</v>
      </c>
    </row>
    <row r="7364" spans="1:3" x14ac:dyDescent="0.45">
      <c r="A7364" s="11">
        <v>90.35</v>
      </c>
      <c r="B7364" s="14">
        <v>0.18420429999999999</v>
      </c>
      <c r="C7364" s="15">
        <v>0.106609</v>
      </c>
    </row>
    <row r="7365" spans="1:3" x14ac:dyDescent="0.45">
      <c r="A7365" s="11">
        <v>90.36</v>
      </c>
      <c r="B7365" s="14">
        <v>0.18437339999999999</v>
      </c>
      <c r="C7365" s="15">
        <v>0.10672</v>
      </c>
    </row>
    <row r="7366" spans="1:3" x14ac:dyDescent="0.45">
      <c r="A7366" s="11">
        <v>90.37</v>
      </c>
      <c r="B7366" s="14">
        <v>0.1845424</v>
      </c>
      <c r="C7366" s="15">
        <v>0.106831</v>
      </c>
    </row>
    <row r="7367" spans="1:3" x14ac:dyDescent="0.45">
      <c r="A7367" s="11">
        <v>90.38</v>
      </c>
      <c r="B7367" s="14">
        <v>0.1847114</v>
      </c>
      <c r="C7367" s="15">
        <v>0.106942</v>
      </c>
    </row>
    <row r="7368" spans="1:3" x14ac:dyDescent="0.45">
      <c r="A7368" s="11">
        <v>90.39</v>
      </c>
      <c r="B7368" s="14">
        <v>0.1848804</v>
      </c>
      <c r="C7368" s="15">
        <v>0.107053</v>
      </c>
    </row>
    <row r="7369" spans="1:3" x14ac:dyDescent="0.45">
      <c r="A7369" s="11">
        <v>90.4</v>
      </c>
      <c r="B7369" s="14">
        <v>0.1850494</v>
      </c>
      <c r="C7369" s="15">
        <v>0.107164</v>
      </c>
    </row>
    <row r="7370" spans="1:3" x14ac:dyDescent="0.45">
      <c r="A7370" s="11">
        <v>90.41</v>
      </c>
      <c r="B7370" s="14">
        <v>0.18521840000000001</v>
      </c>
      <c r="C7370" s="15">
        <v>0.107275</v>
      </c>
    </row>
    <row r="7371" spans="1:3" x14ac:dyDescent="0.45">
      <c r="A7371" s="11">
        <v>90.42</v>
      </c>
      <c r="B7371" s="14">
        <v>0.18538740000000001</v>
      </c>
      <c r="C7371" s="15">
        <v>0.107386</v>
      </c>
    </row>
    <row r="7372" spans="1:3" x14ac:dyDescent="0.45">
      <c r="A7372" s="11">
        <v>90.43</v>
      </c>
      <c r="B7372" s="14">
        <v>0.18555640000000001</v>
      </c>
      <c r="C7372" s="15">
        <v>0.107497</v>
      </c>
    </row>
    <row r="7373" spans="1:3" x14ac:dyDescent="0.45">
      <c r="A7373" s="11">
        <v>90.44</v>
      </c>
      <c r="B7373" s="14">
        <v>0.18572540000000001</v>
      </c>
      <c r="C7373" s="15">
        <v>0.107608</v>
      </c>
    </row>
    <row r="7374" spans="1:3" x14ac:dyDescent="0.45">
      <c r="A7374" s="11">
        <v>90.45</v>
      </c>
      <c r="B7374" s="14">
        <v>0.18589449999999999</v>
      </c>
      <c r="C7374" s="15">
        <v>0.107719</v>
      </c>
    </row>
    <row r="7375" spans="1:3" x14ac:dyDescent="0.45">
      <c r="A7375" s="11">
        <v>90.46</v>
      </c>
      <c r="B7375" s="14">
        <v>0.18606349999999999</v>
      </c>
      <c r="C7375" s="15">
        <v>0.10783</v>
      </c>
    </row>
    <row r="7376" spans="1:3" x14ac:dyDescent="0.45">
      <c r="A7376" s="11">
        <v>90.47</v>
      </c>
      <c r="B7376" s="14">
        <v>0.1862325</v>
      </c>
      <c r="C7376" s="15">
        <v>0.107941</v>
      </c>
    </row>
    <row r="7377" spans="1:3" x14ac:dyDescent="0.45">
      <c r="A7377" s="11">
        <v>90.48</v>
      </c>
      <c r="B7377" s="14">
        <v>0.1864015</v>
      </c>
      <c r="C7377" s="15">
        <v>0.108052</v>
      </c>
    </row>
    <row r="7378" spans="1:3" x14ac:dyDescent="0.45">
      <c r="A7378" s="11">
        <v>90.49</v>
      </c>
      <c r="B7378" s="14">
        <v>0.1865705</v>
      </c>
      <c r="C7378" s="15">
        <v>0.108163</v>
      </c>
    </row>
    <row r="7379" spans="1:3" x14ac:dyDescent="0.45">
      <c r="A7379" s="11">
        <v>90.5</v>
      </c>
      <c r="B7379" s="14">
        <v>0.1867395</v>
      </c>
      <c r="C7379" s="15">
        <v>0.108274</v>
      </c>
    </row>
    <row r="7380" spans="1:3" x14ac:dyDescent="0.45">
      <c r="A7380" s="11">
        <v>90.51</v>
      </c>
      <c r="B7380" s="14">
        <v>0.18690850000000001</v>
      </c>
      <c r="C7380" s="15">
        <v>0.108385</v>
      </c>
    </row>
    <row r="7381" spans="1:3" x14ac:dyDescent="0.45">
      <c r="A7381" s="11">
        <v>90.52</v>
      </c>
      <c r="B7381" s="14">
        <v>0.18707750000000001</v>
      </c>
      <c r="C7381" s="15">
        <v>0.108496</v>
      </c>
    </row>
    <row r="7382" spans="1:3" x14ac:dyDescent="0.45">
      <c r="A7382" s="11">
        <v>90.53</v>
      </c>
      <c r="B7382" s="14">
        <v>0.18724650000000001</v>
      </c>
      <c r="C7382" s="15">
        <v>0.108607</v>
      </c>
    </row>
    <row r="7383" spans="1:3" x14ac:dyDescent="0.45">
      <c r="A7383" s="11">
        <v>90.54</v>
      </c>
      <c r="B7383" s="14">
        <v>0.18741550000000001</v>
      </c>
      <c r="C7383" s="15">
        <v>0.108718</v>
      </c>
    </row>
    <row r="7384" spans="1:3" x14ac:dyDescent="0.45">
      <c r="A7384" s="11">
        <v>90.55</v>
      </c>
      <c r="B7384" s="14">
        <v>0.18758449999999999</v>
      </c>
      <c r="C7384" s="15">
        <v>0.108829</v>
      </c>
    </row>
    <row r="7385" spans="1:3" x14ac:dyDescent="0.45">
      <c r="A7385" s="11">
        <v>90.56</v>
      </c>
      <c r="B7385" s="14">
        <v>0.18775359999999999</v>
      </c>
      <c r="C7385" s="15">
        <v>0.10894</v>
      </c>
    </row>
    <row r="7386" spans="1:3" x14ac:dyDescent="0.45">
      <c r="A7386" s="11">
        <v>90.57</v>
      </c>
      <c r="B7386" s="14">
        <v>0.1879226</v>
      </c>
      <c r="C7386" s="15">
        <v>0.109051</v>
      </c>
    </row>
    <row r="7387" spans="1:3" x14ac:dyDescent="0.45">
      <c r="A7387" s="11">
        <v>90.58</v>
      </c>
      <c r="B7387" s="14">
        <v>0.1880916</v>
      </c>
      <c r="C7387" s="15">
        <v>0.109162</v>
      </c>
    </row>
    <row r="7388" spans="1:3" x14ac:dyDescent="0.45">
      <c r="A7388" s="11">
        <v>90.59</v>
      </c>
      <c r="B7388" s="14">
        <v>0.1882606</v>
      </c>
      <c r="C7388" s="15">
        <v>0.109273</v>
      </c>
    </row>
    <row r="7389" spans="1:3" x14ac:dyDescent="0.45">
      <c r="A7389" s="11">
        <v>90.6</v>
      </c>
      <c r="B7389" s="14">
        <v>0.1884296</v>
      </c>
      <c r="C7389" s="15">
        <v>0.109384</v>
      </c>
    </row>
    <row r="7390" spans="1:3" x14ac:dyDescent="0.45">
      <c r="A7390" s="11">
        <v>90.61</v>
      </c>
      <c r="B7390" s="14">
        <v>0.18859860000000001</v>
      </c>
      <c r="C7390" s="15">
        <v>0.109495</v>
      </c>
    </row>
    <row r="7391" spans="1:3" x14ac:dyDescent="0.45">
      <c r="A7391" s="11">
        <v>90.62</v>
      </c>
      <c r="B7391" s="14">
        <v>0.18876760000000001</v>
      </c>
      <c r="C7391" s="15">
        <v>0.109606</v>
      </c>
    </row>
    <row r="7392" spans="1:3" x14ac:dyDescent="0.45">
      <c r="A7392" s="11">
        <v>90.63</v>
      </c>
      <c r="B7392" s="14">
        <v>0.18893660000000001</v>
      </c>
      <c r="C7392" s="15">
        <v>0.109717</v>
      </c>
    </row>
    <row r="7393" spans="1:3" x14ac:dyDescent="0.45">
      <c r="A7393" s="11">
        <v>90.64</v>
      </c>
      <c r="B7393" s="14">
        <v>0.18910560000000001</v>
      </c>
      <c r="C7393" s="15">
        <v>0.109828</v>
      </c>
    </row>
    <row r="7394" spans="1:3" x14ac:dyDescent="0.45">
      <c r="A7394" s="11">
        <v>90.65</v>
      </c>
      <c r="B7394" s="14">
        <v>0.18927469999999999</v>
      </c>
      <c r="C7394" s="15">
        <v>0.109939</v>
      </c>
    </row>
    <row r="7395" spans="1:3" x14ac:dyDescent="0.45">
      <c r="A7395" s="11">
        <v>90.66</v>
      </c>
      <c r="B7395" s="14">
        <v>0.18944369999999999</v>
      </c>
      <c r="C7395" s="15">
        <v>0.11005</v>
      </c>
    </row>
    <row r="7396" spans="1:3" x14ac:dyDescent="0.45">
      <c r="A7396" s="11">
        <v>90.67</v>
      </c>
      <c r="B7396" s="14">
        <v>0.1896127</v>
      </c>
      <c r="C7396" s="15">
        <v>0.110161</v>
      </c>
    </row>
    <row r="7397" spans="1:3" x14ac:dyDescent="0.45">
      <c r="A7397" s="11">
        <v>90.68</v>
      </c>
      <c r="B7397" s="14">
        <v>0.1897817</v>
      </c>
      <c r="C7397" s="15">
        <v>0.110272</v>
      </c>
    </row>
    <row r="7398" spans="1:3" x14ac:dyDescent="0.45">
      <c r="A7398" s="11">
        <v>90.69</v>
      </c>
      <c r="B7398" s="14">
        <v>0.1899507</v>
      </c>
      <c r="C7398" s="15">
        <v>0.110383</v>
      </c>
    </row>
    <row r="7399" spans="1:3" x14ac:dyDescent="0.45">
      <c r="A7399" s="11">
        <v>90.7</v>
      </c>
      <c r="B7399" s="14">
        <v>0.1901197</v>
      </c>
      <c r="C7399" s="15">
        <v>0.11049399999999999</v>
      </c>
    </row>
    <row r="7400" spans="1:3" x14ac:dyDescent="0.45">
      <c r="A7400" s="11">
        <v>90.71</v>
      </c>
      <c r="B7400" s="14">
        <v>0.19028870000000001</v>
      </c>
      <c r="C7400" s="15">
        <v>0.11060499999999999</v>
      </c>
    </row>
    <row r="7401" spans="1:3" x14ac:dyDescent="0.45">
      <c r="A7401" s="11">
        <v>90.72</v>
      </c>
      <c r="B7401" s="14">
        <v>0.19045770000000001</v>
      </c>
      <c r="C7401" s="15">
        <v>0.11071599999999999</v>
      </c>
    </row>
    <row r="7402" spans="1:3" x14ac:dyDescent="0.45">
      <c r="A7402" s="11">
        <v>90.73</v>
      </c>
      <c r="B7402" s="14">
        <v>0.19062670000000001</v>
      </c>
      <c r="C7402" s="15">
        <v>0.11082699999999999</v>
      </c>
    </row>
    <row r="7403" spans="1:3" x14ac:dyDescent="0.45">
      <c r="A7403" s="11">
        <v>90.74</v>
      </c>
      <c r="B7403" s="14">
        <v>0.19079570000000001</v>
      </c>
      <c r="C7403" s="15">
        <v>0.11093799999999999</v>
      </c>
    </row>
    <row r="7404" spans="1:3" x14ac:dyDescent="0.45">
      <c r="A7404" s="11">
        <v>90.75</v>
      </c>
      <c r="B7404" s="14">
        <v>0.19096479999999999</v>
      </c>
      <c r="C7404" s="15">
        <v>0.11104899999999999</v>
      </c>
    </row>
    <row r="7405" spans="1:3" x14ac:dyDescent="0.45">
      <c r="A7405" s="11">
        <v>90.76</v>
      </c>
      <c r="B7405" s="14">
        <v>0.19113379999999999</v>
      </c>
      <c r="C7405" s="15">
        <v>0.11115999999999999</v>
      </c>
    </row>
    <row r="7406" spans="1:3" x14ac:dyDescent="0.45">
      <c r="A7406" s="11">
        <v>90.77</v>
      </c>
      <c r="B7406" s="14">
        <v>0.1913028</v>
      </c>
      <c r="C7406" s="15">
        <v>0.11127099999999999</v>
      </c>
    </row>
    <row r="7407" spans="1:3" x14ac:dyDescent="0.45">
      <c r="A7407" s="11">
        <v>90.78</v>
      </c>
      <c r="B7407" s="14">
        <v>0.1914718</v>
      </c>
      <c r="C7407" s="15">
        <v>0.11138199999999999</v>
      </c>
    </row>
    <row r="7408" spans="1:3" x14ac:dyDescent="0.45">
      <c r="A7408" s="11">
        <v>90.79</v>
      </c>
      <c r="B7408" s="14">
        <v>0.1916408</v>
      </c>
      <c r="C7408" s="15">
        <v>0.11149299999999999</v>
      </c>
    </row>
    <row r="7409" spans="1:3" x14ac:dyDescent="0.45">
      <c r="A7409" s="11">
        <v>90.8</v>
      </c>
      <c r="B7409" s="14">
        <v>0.1918098</v>
      </c>
      <c r="C7409" s="15">
        <v>0.11160399999999999</v>
      </c>
    </row>
    <row r="7410" spans="1:3" x14ac:dyDescent="0.45">
      <c r="A7410" s="11">
        <v>90.81</v>
      </c>
      <c r="B7410" s="14">
        <v>0.1919788</v>
      </c>
      <c r="C7410" s="15">
        <v>0.11171499999999999</v>
      </c>
    </row>
    <row r="7411" spans="1:3" x14ac:dyDescent="0.45">
      <c r="A7411" s="11">
        <v>90.82</v>
      </c>
      <c r="B7411" s="14">
        <v>0.19214780000000001</v>
      </c>
      <c r="C7411" s="15">
        <v>0.11182599999999999</v>
      </c>
    </row>
    <row r="7412" spans="1:3" x14ac:dyDescent="0.45">
      <c r="A7412" s="11">
        <v>90.83</v>
      </c>
      <c r="B7412" s="14">
        <v>0.19231680000000001</v>
      </c>
      <c r="C7412" s="15">
        <v>0.11193699999999999</v>
      </c>
    </row>
    <row r="7413" spans="1:3" x14ac:dyDescent="0.45">
      <c r="A7413" s="11">
        <v>90.84</v>
      </c>
      <c r="B7413" s="14">
        <v>0.19248580000000001</v>
      </c>
      <c r="C7413" s="15">
        <v>0.11204799999999999</v>
      </c>
    </row>
    <row r="7414" spans="1:3" x14ac:dyDescent="0.45">
      <c r="A7414" s="11">
        <v>90.85</v>
      </c>
      <c r="B7414" s="14">
        <v>0.19265479999999999</v>
      </c>
      <c r="C7414" s="15">
        <v>0.11215899999999999</v>
      </c>
    </row>
    <row r="7415" spans="1:3" x14ac:dyDescent="0.45">
      <c r="A7415" s="11">
        <v>90.86</v>
      </c>
      <c r="B7415" s="14">
        <v>0.19282389999999999</v>
      </c>
      <c r="C7415" s="15">
        <v>0.11226999999999999</v>
      </c>
    </row>
    <row r="7416" spans="1:3" x14ac:dyDescent="0.45">
      <c r="A7416" s="11">
        <v>90.87</v>
      </c>
      <c r="B7416" s="14">
        <v>0.1929929</v>
      </c>
      <c r="C7416" s="15">
        <v>0.11238099999999999</v>
      </c>
    </row>
    <row r="7417" spans="1:3" x14ac:dyDescent="0.45">
      <c r="A7417" s="11">
        <v>90.88</v>
      </c>
      <c r="B7417" s="14">
        <v>0.1931619</v>
      </c>
      <c r="C7417" s="15">
        <v>0.11249199999999999</v>
      </c>
    </row>
    <row r="7418" spans="1:3" x14ac:dyDescent="0.45">
      <c r="A7418" s="11">
        <v>90.89</v>
      </c>
      <c r="B7418" s="14">
        <v>0.1933309</v>
      </c>
      <c r="C7418" s="15">
        <v>0.11260299999999999</v>
      </c>
    </row>
    <row r="7419" spans="1:3" x14ac:dyDescent="0.45">
      <c r="A7419" s="11">
        <v>90.9</v>
      </c>
      <c r="B7419" s="14">
        <v>0.1934999</v>
      </c>
      <c r="C7419" s="15">
        <v>0.11271399999999999</v>
      </c>
    </row>
    <row r="7420" spans="1:3" x14ac:dyDescent="0.45">
      <c r="A7420" s="11">
        <v>90.91</v>
      </c>
      <c r="B7420" s="14">
        <v>0.1936689</v>
      </c>
      <c r="C7420" s="15">
        <v>0.11282499999999999</v>
      </c>
    </row>
    <row r="7421" spans="1:3" x14ac:dyDescent="0.45">
      <c r="A7421" s="11">
        <v>90.92</v>
      </c>
      <c r="B7421" s="14">
        <v>0.19383790000000001</v>
      </c>
      <c r="C7421" s="15">
        <v>0.11293599999999999</v>
      </c>
    </row>
    <row r="7422" spans="1:3" x14ac:dyDescent="0.45">
      <c r="A7422" s="11">
        <v>90.93</v>
      </c>
      <c r="B7422" s="14">
        <v>0.19400690000000001</v>
      </c>
      <c r="C7422" s="15">
        <v>0.11304699999999999</v>
      </c>
    </row>
    <row r="7423" spans="1:3" x14ac:dyDescent="0.45">
      <c r="A7423" s="11">
        <v>90.94</v>
      </c>
      <c r="B7423" s="14">
        <v>0.19417590000000001</v>
      </c>
      <c r="C7423" s="15">
        <v>0.11315799999999999</v>
      </c>
    </row>
    <row r="7424" spans="1:3" x14ac:dyDescent="0.45">
      <c r="A7424" s="11">
        <v>90.95</v>
      </c>
      <c r="B7424" s="14">
        <v>0.19434499999999999</v>
      </c>
      <c r="C7424" s="15">
        <v>0.11326899999999999</v>
      </c>
    </row>
    <row r="7425" spans="1:3" x14ac:dyDescent="0.45">
      <c r="A7425" s="11">
        <v>90.96</v>
      </c>
      <c r="B7425" s="14">
        <v>0.19451399999999999</v>
      </c>
      <c r="C7425" s="15">
        <v>0.11337999999999999</v>
      </c>
    </row>
    <row r="7426" spans="1:3" x14ac:dyDescent="0.45">
      <c r="A7426" s="11">
        <v>90.97</v>
      </c>
      <c r="B7426" s="14">
        <v>0.19468299999999999</v>
      </c>
      <c r="C7426" s="15">
        <v>0.11349099999999999</v>
      </c>
    </row>
    <row r="7427" spans="1:3" x14ac:dyDescent="0.45">
      <c r="A7427" s="11">
        <v>90.98</v>
      </c>
      <c r="B7427" s="14">
        <v>0.194852</v>
      </c>
      <c r="C7427" s="15">
        <v>0.11360199999999999</v>
      </c>
    </row>
    <row r="7428" spans="1:3" x14ac:dyDescent="0.45">
      <c r="A7428" s="11">
        <v>90.99</v>
      </c>
      <c r="B7428" s="14">
        <v>0.195021</v>
      </c>
      <c r="C7428" s="15">
        <v>0.11371299999999999</v>
      </c>
    </row>
    <row r="7429" spans="1:3" x14ac:dyDescent="0.45">
      <c r="A7429" s="11">
        <v>91</v>
      </c>
      <c r="B7429" s="14">
        <v>0.19519</v>
      </c>
      <c r="C7429" s="15">
        <v>0.11382399999999999</v>
      </c>
    </row>
    <row r="7430" spans="1:3" x14ac:dyDescent="0.45">
      <c r="A7430" s="11">
        <v>91.01</v>
      </c>
      <c r="B7430" s="14">
        <v>0.19537289999999999</v>
      </c>
      <c r="C7430" s="15">
        <v>0.11394700000000001</v>
      </c>
    </row>
    <row r="7431" spans="1:3" x14ac:dyDescent="0.45">
      <c r="A7431" s="11">
        <v>91.02</v>
      </c>
      <c r="B7431" s="14">
        <v>0.1955558</v>
      </c>
      <c r="C7431" s="15">
        <v>0.11407</v>
      </c>
    </row>
    <row r="7432" spans="1:3" x14ac:dyDescent="0.45">
      <c r="A7432" s="11">
        <v>91.03</v>
      </c>
      <c r="B7432" s="14">
        <v>0.19573879999999999</v>
      </c>
      <c r="C7432" s="15">
        <v>0.114193</v>
      </c>
    </row>
    <row r="7433" spans="1:3" x14ac:dyDescent="0.45">
      <c r="A7433" s="11">
        <v>91.04</v>
      </c>
      <c r="B7433" s="14">
        <v>0.1959217</v>
      </c>
      <c r="C7433" s="15">
        <v>0.114316</v>
      </c>
    </row>
    <row r="7434" spans="1:3" x14ac:dyDescent="0.45">
      <c r="A7434" s="11">
        <v>91.05</v>
      </c>
      <c r="B7434" s="14">
        <v>0.19610459999999999</v>
      </c>
      <c r="C7434" s="15">
        <v>0.114439</v>
      </c>
    </row>
    <row r="7435" spans="1:3" x14ac:dyDescent="0.45">
      <c r="A7435" s="11">
        <v>91.06</v>
      </c>
      <c r="B7435" s="14">
        <v>0.1962875</v>
      </c>
      <c r="C7435" s="15">
        <v>0.1145621</v>
      </c>
    </row>
    <row r="7436" spans="1:3" x14ac:dyDescent="0.45">
      <c r="A7436" s="11">
        <v>91.07</v>
      </c>
      <c r="B7436" s="14">
        <v>0.19647039999999999</v>
      </c>
      <c r="C7436" s="15">
        <v>0.1146851</v>
      </c>
    </row>
    <row r="7437" spans="1:3" x14ac:dyDescent="0.45">
      <c r="A7437" s="11">
        <v>91.08</v>
      </c>
      <c r="B7437" s="14">
        <v>0.19665340000000001</v>
      </c>
      <c r="C7437" s="15">
        <v>0.1148081</v>
      </c>
    </row>
    <row r="7438" spans="1:3" x14ac:dyDescent="0.45">
      <c r="A7438" s="11">
        <v>91.09</v>
      </c>
      <c r="B7438" s="14">
        <v>0.19683629999999999</v>
      </c>
      <c r="C7438" s="15">
        <v>0.11493109999999999</v>
      </c>
    </row>
    <row r="7439" spans="1:3" x14ac:dyDescent="0.45">
      <c r="A7439" s="11">
        <v>91.1</v>
      </c>
      <c r="B7439" s="14">
        <v>0.19701920000000001</v>
      </c>
      <c r="C7439" s="15">
        <v>0.11505410000000001</v>
      </c>
    </row>
    <row r="7440" spans="1:3" x14ac:dyDescent="0.45">
      <c r="A7440" s="11">
        <v>91.11</v>
      </c>
      <c r="B7440" s="14">
        <v>0.19720209999999999</v>
      </c>
      <c r="C7440" s="15">
        <v>0.1151771</v>
      </c>
    </row>
    <row r="7441" spans="1:3" x14ac:dyDescent="0.45">
      <c r="A7441" s="11">
        <v>91.12</v>
      </c>
      <c r="B7441" s="14">
        <v>0.197385</v>
      </c>
      <c r="C7441" s="15">
        <v>0.1153001</v>
      </c>
    </row>
    <row r="7442" spans="1:3" x14ac:dyDescent="0.45">
      <c r="A7442" s="11">
        <v>91.13</v>
      </c>
      <c r="B7442" s="14">
        <v>0.19756799999999999</v>
      </c>
      <c r="C7442" s="15">
        <v>0.1154231</v>
      </c>
    </row>
    <row r="7443" spans="1:3" x14ac:dyDescent="0.45">
      <c r="A7443" s="11">
        <v>91.14</v>
      </c>
      <c r="B7443" s="14">
        <v>0.19775090000000001</v>
      </c>
      <c r="C7443" s="15">
        <v>0.1155461</v>
      </c>
    </row>
    <row r="7444" spans="1:3" x14ac:dyDescent="0.45">
      <c r="A7444" s="11">
        <v>91.15</v>
      </c>
      <c r="B7444" s="14">
        <v>0.19793379999999999</v>
      </c>
      <c r="C7444" s="15">
        <v>0.1156692</v>
      </c>
    </row>
    <row r="7445" spans="1:3" x14ac:dyDescent="0.45">
      <c r="A7445" s="11">
        <v>91.16</v>
      </c>
      <c r="B7445" s="14">
        <v>0.19811670000000001</v>
      </c>
      <c r="C7445" s="15">
        <v>0.1157922</v>
      </c>
    </row>
    <row r="7446" spans="1:3" x14ac:dyDescent="0.45">
      <c r="A7446" s="11">
        <v>91.17</v>
      </c>
      <c r="B7446" s="14">
        <v>0.19829959999999999</v>
      </c>
      <c r="C7446" s="15">
        <v>0.1159152</v>
      </c>
    </row>
    <row r="7447" spans="1:3" x14ac:dyDescent="0.45">
      <c r="A7447" s="11">
        <v>91.18</v>
      </c>
      <c r="B7447" s="14">
        <v>0.19848260000000001</v>
      </c>
      <c r="C7447" s="15">
        <v>0.11603819999999999</v>
      </c>
    </row>
    <row r="7448" spans="1:3" x14ac:dyDescent="0.45">
      <c r="A7448" s="11">
        <v>91.19</v>
      </c>
      <c r="B7448" s="14">
        <v>0.19866549999999999</v>
      </c>
      <c r="C7448" s="15">
        <v>0.11616120000000001</v>
      </c>
    </row>
    <row r="7449" spans="1:3" x14ac:dyDescent="0.45">
      <c r="A7449" s="11">
        <v>91.2</v>
      </c>
      <c r="B7449" s="14">
        <v>0.19884840000000001</v>
      </c>
      <c r="C7449" s="15">
        <v>0.1162842</v>
      </c>
    </row>
    <row r="7450" spans="1:3" x14ac:dyDescent="0.45">
      <c r="A7450" s="11">
        <v>91.21</v>
      </c>
      <c r="B7450" s="14">
        <v>0.19903129999999999</v>
      </c>
      <c r="C7450" s="15">
        <v>0.1164072</v>
      </c>
    </row>
    <row r="7451" spans="1:3" x14ac:dyDescent="0.45">
      <c r="A7451" s="11">
        <v>91.22</v>
      </c>
      <c r="B7451" s="14">
        <v>0.19921420000000001</v>
      </c>
      <c r="C7451" s="15">
        <v>0.1165302</v>
      </c>
    </row>
    <row r="7452" spans="1:3" x14ac:dyDescent="0.45">
      <c r="A7452" s="11">
        <v>91.23</v>
      </c>
      <c r="B7452" s="14">
        <v>0.1993972</v>
      </c>
      <c r="C7452" s="15">
        <v>0.1166532</v>
      </c>
    </row>
    <row r="7453" spans="1:3" x14ac:dyDescent="0.45">
      <c r="A7453" s="11">
        <v>91.24</v>
      </c>
      <c r="B7453" s="14">
        <v>0.19958010000000001</v>
      </c>
      <c r="C7453" s="15">
        <v>0.1167762</v>
      </c>
    </row>
    <row r="7454" spans="1:3" x14ac:dyDescent="0.45">
      <c r="A7454" s="11">
        <v>91.25</v>
      </c>
      <c r="B7454" s="14">
        <v>0.199763</v>
      </c>
      <c r="C7454" s="15">
        <v>0.1168993</v>
      </c>
    </row>
    <row r="7455" spans="1:3" x14ac:dyDescent="0.45">
      <c r="A7455" s="11">
        <v>91.26</v>
      </c>
      <c r="B7455" s="14">
        <v>0.19994590000000001</v>
      </c>
      <c r="C7455" s="15">
        <v>0.1170223</v>
      </c>
    </row>
    <row r="7456" spans="1:3" x14ac:dyDescent="0.45">
      <c r="A7456" s="11">
        <v>91.27</v>
      </c>
      <c r="B7456" s="14">
        <v>0.2001288</v>
      </c>
      <c r="C7456" s="15">
        <v>0.11714529999999999</v>
      </c>
    </row>
    <row r="7457" spans="1:3" x14ac:dyDescent="0.45">
      <c r="A7457" s="11">
        <v>91.28</v>
      </c>
      <c r="B7457" s="14">
        <v>0.20031180000000001</v>
      </c>
      <c r="C7457" s="15">
        <v>0.11726830000000001</v>
      </c>
    </row>
    <row r="7458" spans="1:3" x14ac:dyDescent="0.45">
      <c r="A7458" s="11">
        <v>91.29</v>
      </c>
      <c r="B7458" s="14">
        <v>0.2004947</v>
      </c>
      <c r="C7458" s="15">
        <v>0.1173913</v>
      </c>
    </row>
    <row r="7459" spans="1:3" x14ac:dyDescent="0.45">
      <c r="A7459" s="11">
        <v>91.3</v>
      </c>
      <c r="B7459" s="14">
        <v>0.20067760000000001</v>
      </c>
      <c r="C7459" s="15">
        <v>0.1175143</v>
      </c>
    </row>
    <row r="7460" spans="1:3" x14ac:dyDescent="0.45">
      <c r="A7460" s="11">
        <v>91.31</v>
      </c>
      <c r="B7460" s="14">
        <v>0.2008605</v>
      </c>
      <c r="C7460" s="15">
        <v>0.1176373</v>
      </c>
    </row>
    <row r="7461" spans="1:3" x14ac:dyDescent="0.45">
      <c r="A7461" s="11">
        <v>91.32</v>
      </c>
      <c r="B7461" s="14">
        <v>0.20104340000000001</v>
      </c>
      <c r="C7461" s="15">
        <v>0.1177603</v>
      </c>
    </row>
    <row r="7462" spans="1:3" x14ac:dyDescent="0.45">
      <c r="A7462" s="11">
        <v>91.33</v>
      </c>
      <c r="B7462" s="14">
        <v>0.2012264</v>
      </c>
      <c r="C7462" s="15">
        <v>0.1178833</v>
      </c>
    </row>
    <row r="7463" spans="1:3" x14ac:dyDescent="0.45">
      <c r="A7463" s="11">
        <v>91.34</v>
      </c>
      <c r="B7463" s="14">
        <v>0.20140930000000001</v>
      </c>
      <c r="C7463" s="15">
        <v>0.11800629999999999</v>
      </c>
    </row>
    <row r="7464" spans="1:3" x14ac:dyDescent="0.45">
      <c r="A7464" s="11">
        <v>91.35</v>
      </c>
      <c r="B7464" s="14">
        <v>0.2015922</v>
      </c>
      <c r="C7464" s="15">
        <v>0.11812930000000001</v>
      </c>
    </row>
    <row r="7465" spans="1:3" x14ac:dyDescent="0.45">
      <c r="A7465" s="11">
        <v>91.36</v>
      </c>
      <c r="B7465" s="14">
        <v>0.20177510000000001</v>
      </c>
      <c r="C7465" s="15">
        <v>0.11825239999999999</v>
      </c>
    </row>
    <row r="7466" spans="1:3" x14ac:dyDescent="0.45">
      <c r="A7466" s="11">
        <v>91.37</v>
      </c>
      <c r="B7466" s="14">
        <v>0.201958</v>
      </c>
      <c r="C7466" s="15">
        <v>0.11837540000000001</v>
      </c>
    </row>
    <row r="7467" spans="1:3" x14ac:dyDescent="0.45">
      <c r="A7467" s="11">
        <v>91.38</v>
      </c>
      <c r="B7467" s="14">
        <v>0.20214099999999999</v>
      </c>
      <c r="C7467" s="15">
        <v>0.1184984</v>
      </c>
    </row>
    <row r="7468" spans="1:3" x14ac:dyDescent="0.45">
      <c r="A7468" s="11">
        <v>91.39</v>
      </c>
      <c r="B7468" s="14">
        <v>0.2023239</v>
      </c>
      <c r="C7468" s="15">
        <v>0.1186214</v>
      </c>
    </row>
    <row r="7469" spans="1:3" x14ac:dyDescent="0.45">
      <c r="A7469" s="11">
        <v>91.4</v>
      </c>
      <c r="B7469" s="14">
        <v>0.20250679999999999</v>
      </c>
      <c r="C7469" s="15">
        <v>0.1187444</v>
      </c>
    </row>
    <row r="7470" spans="1:3" x14ac:dyDescent="0.45">
      <c r="A7470" s="11">
        <v>91.41</v>
      </c>
      <c r="B7470" s="14">
        <v>0.2026897</v>
      </c>
      <c r="C7470" s="15">
        <v>0.1188674</v>
      </c>
    </row>
    <row r="7471" spans="1:3" x14ac:dyDescent="0.45">
      <c r="A7471" s="11">
        <v>91.42</v>
      </c>
      <c r="B7471" s="14">
        <v>0.20287259999999999</v>
      </c>
      <c r="C7471" s="15">
        <v>0.1189904</v>
      </c>
    </row>
    <row r="7472" spans="1:3" x14ac:dyDescent="0.45">
      <c r="A7472" s="11">
        <v>91.43</v>
      </c>
      <c r="B7472" s="14">
        <v>0.2030556</v>
      </c>
      <c r="C7472" s="15">
        <v>0.11911339999999999</v>
      </c>
    </row>
    <row r="7473" spans="1:3" x14ac:dyDescent="0.45">
      <c r="A7473" s="11">
        <v>91.44</v>
      </c>
      <c r="B7473" s="14">
        <v>0.20323849999999999</v>
      </c>
      <c r="C7473" s="15">
        <v>0.11923640000000001</v>
      </c>
    </row>
    <row r="7474" spans="1:3" x14ac:dyDescent="0.45">
      <c r="A7474" s="11">
        <v>91.45</v>
      </c>
      <c r="B7474" s="14">
        <v>0.2034214</v>
      </c>
      <c r="C7474" s="15">
        <v>0.11935949999999999</v>
      </c>
    </row>
    <row r="7475" spans="1:3" x14ac:dyDescent="0.45">
      <c r="A7475" s="11">
        <v>91.46</v>
      </c>
      <c r="B7475" s="14">
        <v>0.20360429999999999</v>
      </c>
      <c r="C7475" s="15">
        <v>0.11948250000000001</v>
      </c>
    </row>
    <row r="7476" spans="1:3" x14ac:dyDescent="0.45">
      <c r="A7476" s="11">
        <v>91.47</v>
      </c>
      <c r="B7476" s="14">
        <v>0.2037872</v>
      </c>
      <c r="C7476" s="15">
        <v>0.1196055</v>
      </c>
    </row>
    <row r="7477" spans="1:3" x14ac:dyDescent="0.45">
      <c r="A7477" s="11">
        <v>91.48</v>
      </c>
      <c r="B7477" s="14">
        <v>0.20397019999999999</v>
      </c>
      <c r="C7477" s="15">
        <v>0.1197285</v>
      </c>
    </row>
    <row r="7478" spans="1:3" x14ac:dyDescent="0.45">
      <c r="A7478" s="11">
        <v>91.49</v>
      </c>
      <c r="B7478" s="14">
        <v>0.2041531</v>
      </c>
      <c r="C7478" s="15">
        <v>0.1198515</v>
      </c>
    </row>
    <row r="7479" spans="1:3" x14ac:dyDescent="0.45">
      <c r="A7479" s="11">
        <v>91.5</v>
      </c>
      <c r="B7479" s="14">
        <v>0.20433599999999999</v>
      </c>
      <c r="C7479" s="15">
        <v>0.1199745</v>
      </c>
    </row>
    <row r="7480" spans="1:3" x14ac:dyDescent="0.45">
      <c r="A7480" s="11">
        <v>91.51</v>
      </c>
      <c r="B7480" s="14">
        <v>0.2045189</v>
      </c>
      <c r="C7480" s="15">
        <v>0.1200975</v>
      </c>
    </row>
    <row r="7481" spans="1:3" x14ac:dyDescent="0.45">
      <c r="A7481" s="11">
        <v>91.52</v>
      </c>
      <c r="B7481" s="14">
        <v>0.20470179999999999</v>
      </c>
      <c r="C7481" s="15">
        <v>0.12022049999999999</v>
      </c>
    </row>
    <row r="7482" spans="1:3" x14ac:dyDescent="0.45">
      <c r="A7482" s="11">
        <v>91.53</v>
      </c>
      <c r="B7482" s="14">
        <v>0.20488480000000001</v>
      </c>
      <c r="C7482" s="15">
        <v>0.12034350000000001</v>
      </c>
    </row>
    <row r="7483" spans="1:3" x14ac:dyDescent="0.45">
      <c r="A7483" s="11">
        <v>91.54</v>
      </c>
      <c r="B7483" s="14">
        <v>0.20506769999999999</v>
      </c>
      <c r="C7483" s="15">
        <v>0.1204665</v>
      </c>
    </row>
    <row r="7484" spans="1:3" x14ac:dyDescent="0.45">
      <c r="A7484" s="11">
        <v>91.55</v>
      </c>
      <c r="B7484" s="14">
        <v>0.20525060000000001</v>
      </c>
      <c r="C7484" s="15">
        <v>0.1205895</v>
      </c>
    </row>
    <row r="7485" spans="1:3" x14ac:dyDescent="0.45">
      <c r="A7485" s="11">
        <v>91.56</v>
      </c>
      <c r="B7485" s="14">
        <v>0.20543349999999999</v>
      </c>
      <c r="C7485" s="15">
        <v>0.1207126</v>
      </c>
    </row>
    <row r="7486" spans="1:3" x14ac:dyDescent="0.45">
      <c r="A7486" s="11">
        <v>91.57</v>
      </c>
      <c r="B7486" s="14">
        <v>0.2056164</v>
      </c>
      <c r="C7486" s="15">
        <v>0.1208356</v>
      </c>
    </row>
    <row r="7487" spans="1:3" x14ac:dyDescent="0.45">
      <c r="A7487" s="11">
        <v>91.58</v>
      </c>
      <c r="B7487" s="14">
        <v>0.20579939999999999</v>
      </c>
      <c r="C7487" s="15">
        <v>0.1209586</v>
      </c>
    </row>
    <row r="7488" spans="1:3" x14ac:dyDescent="0.45">
      <c r="A7488" s="11">
        <v>91.59</v>
      </c>
      <c r="B7488" s="14">
        <v>0.20598230000000001</v>
      </c>
      <c r="C7488" s="15">
        <v>0.1210816</v>
      </c>
    </row>
    <row r="7489" spans="1:3" x14ac:dyDescent="0.45">
      <c r="A7489" s="11">
        <v>91.6</v>
      </c>
      <c r="B7489" s="14">
        <v>0.20616519999999999</v>
      </c>
      <c r="C7489" s="15">
        <v>0.1212046</v>
      </c>
    </row>
    <row r="7490" spans="1:3" x14ac:dyDescent="0.45">
      <c r="A7490" s="11">
        <v>91.61</v>
      </c>
      <c r="B7490" s="14">
        <v>0.20634810000000001</v>
      </c>
      <c r="C7490" s="15">
        <v>0.12132759999999999</v>
      </c>
    </row>
    <row r="7491" spans="1:3" x14ac:dyDescent="0.45">
      <c r="A7491" s="11">
        <v>91.62</v>
      </c>
      <c r="B7491" s="14">
        <v>0.20653099999999999</v>
      </c>
      <c r="C7491" s="15">
        <v>0.12145060000000001</v>
      </c>
    </row>
    <row r="7492" spans="1:3" x14ac:dyDescent="0.45">
      <c r="A7492" s="11">
        <v>91.63</v>
      </c>
      <c r="B7492" s="14">
        <v>0.20671400000000001</v>
      </c>
      <c r="C7492" s="15">
        <v>0.1215736</v>
      </c>
    </row>
    <row r="7493" spans="1:3" x14ac:dyDescent="0.45">
      <c r="A7493" s="11">
        <v>91.64</v>
      </c>
      <c r="B7493" s="14">
        <v>0.20689689999999999</v>
      </c>
      <c r="C7493" s="15">
        <v>0.1216966</v>
      </c>
    </row>
    <row r="7494" spans="1:3" x14ac:dyDescent="0.45">
      <c r="A7494" s="11">
        <v>91.65</v>
      </c>
      <c r="B7494" s="14">
        <v>0.20707980000000001</v>
      </c>
      <c r="C7494" s="15">
        <v>0.1218197</v>
      </c>
    </row>
    <row r="7495" spans="1:3" x14ac:dyDescent="0.45">
      <c r="A7495" s="11">
        <v>91.66</v>
      </c>
      <c r="B7495" s="14">
        <v>0.20726269999999999</v>
      </c>
      <c r="C7495" s="15">
        <v>0.1219427</v>
      </c>
    </row>
    <row r="7496" spans="1:3" x14ac:dyDescent="0.45">
      <c r="A7496" s="11">
        <v>91.67</v>
      </c>
      <c r="B7496" s="14">
        <v>0.20744560000000001</v>
      </c>
      <c r="C7496" s="15">
        <v>0.1220657</v>
      </c>
    </row>
    <row r="7497" spans="1:3" x14ac:dyDescent="0.45">
      <c r="A7497" s="11">
        <v>91.68</v>
      </c>
      <c r="B7497" s="14">
        <v>0.2076286</v>
      </c>
      <c r="C7497" s="15">
        <v>0.1221887</v>
      </c>
    </row>
    <row r="7498" spans="1:3" x14ac:dyDescent="0.45">
      <c r="A7498" s="11">
        <v>91.69</v>
      </c>
      <c r="B7498" s="14">
        <v>0.20781150000000001</v>
      </c>
      <c r="C7498" s="15">
        <v>0.1223117</v>
      </c>
    </row>
    <row r="7499" spans="1:3" x14ac:dyDescent="0.45">
      <c r="A7499" s="11">
        <v>91.7</v>
      </c>
      <c r="B7499" s="14">
        <v>0.2079944</v>
      </c>
      <c r="C7499" s="15">
        <v>0.12243469999999999</v>
      </c>
    </row>
    <row r="7500" spans="1:3" x14ac:dyDescent="0.45">
      <c r="A7500" s="11">
        <v>91.71</v>
      </c>
      <c r="B7500" s="14">
        <v>0.20817730000000001</v>
      </c>
      <c r="C7500" s="15">
        <v>0.12255770000000001</v>
      </c>
    </row>
    <row r="7501" spans="1:3" x14ac:dyDescent="0.45">
      <c r="A7501" s="11">
        <v>91.72</v>
      </c>
      <c r="B7501" s="14">
        <v>0.2083602</v>
      </c>
      <c r="C7501" s="15">
        <v>0.1226807</v>
      </c>
    </row>
    <row r="7502" spans="1:3" x14ac:dyDescent="0.45">
      <c r="A7502" s="11">
        <v>91.73</v>
      </c>
      <c r="B7502" s="14">
        <v>0.20854320000000001</v>
      </c>
      <c r="C7502" s="15">
        <v>0.1228037</v>
      </c>
    </row>
    <row r="7503" spans="1:3" x14ac:dyDescent="0.45">
      <c r="A7503" s="11">
        <v>91.74</v>
      </c>
      <c r="B7503" s="14">
        <v>0.2087261</v>
      </c>
      <c r="C7503" s="15">
        <v>0.1229267</v>
      </c>
    </row>
    <row r="7504" spans="1:3" x14ac:dyDescent="0.45">
      <c r="A7504" s="11">
        <v>91.75</v>
      </c>
      <c r="B7504" s="14">
        <v>0.20890900000000001</v>
      </c>
      <c r="C7504" s="15">
        <v>0.1230497</v>
      </c>
    </row>
    <row r="7505" spans="1:3" x14ac:dyDescent="0.45">
      <c r="A7505" s="11">
        <v>91.76</v>
      </c>
      <c r="B7505" s="14">
        <v>0.2090919</v>
      </c>
      <c r="C7505" s="15">
        <v>0.1231728</v>
      </c>
    </row>
    <row r="7506" spans="1:3" x14ac:dyDescent="0.45">
      <c r="A7506" s="11">
        <v>91.77</v>
      </c>
      <c r="B7506" s="14">
        <v>0.20927480000000001</v>
      </c>
      <c r="C7506" s="15">
        <v>0.1232958</v>
      </c>
    </row>
    <row r="7507" spans="1:3" x14ac:dyDescent="0.45">
      <c r="A7507" s="11">
        <v>91.78</v>
      </c>
      <c r="B7507" s="14">
        <v>0.2094578</v>
      </c>
      <c r="C7507" s="15">
        <v>0.1234188</v>
      </c>
    </row>
    <row r="7508" spans="1:3" x14ac:dyDescent="0.45">
      <c r="A7508" s="11">
        <v>91.79</v>
      </c>
      <c r="B7508" s="14">
        <v>0.20964070000000001</v>
      </c>
      <c r="C7508" s="15">
        <v>0.12354179999999999</v>
      </c>
    </row>
    <row r="7509" spans="1:3" x14ac:dyDescent="0.45">
      <c r="A7509" s="11">
        <v>91.8</v>
      </c>
      <c r="B7509" s="14">
        <v>0.2098236</v>
      </c>
      <c r="C7509" s="15">
        <v>0.12366480000000001</v>
      </c>
    </row>
    <row r="7510" spans="1:3" x14ac:dyDescent="0.45">
      <c r="A7510" s="11">
        <v>91.81</v>
      </c>
      <c r="B7510" s="14">
        <v>0.21000650000000001</v>
      </c>
      <c r="C7510" s="15">
        <v>0.1237878</v>
      </c>
    </row>
    <row r="7511" spans="1:3" x14ac:dyDescent="0.45">
      <c r="A7511" s="11">
        <v>91.82</v>
      </c>
      <c r="B7511" s="14">
        <v>0.2101894</v>
      </c>
      <c r="C7511" s="15">
        <v>0.1239108</v>
      </c>
    </row>
    <row r="7512" spans="1:3" x14ac:dyDescent="0.45">
      <c r="A7512" s="11">
        <v>91.83</v>
      </c>
      <c r="B7512" s="14">
        <v>0.21037239999999999</v>
      </c>
      <c r="C7512" s="15">
        <v>0.1240338</v>
      </c>
    </row>
    <row r="7513" spans="1:3" x14ac:dyDescent="0.45">
      <c r="A7513" s="11">
        <v>91.84</v>
      </c>
      <c r="B7513" s="14">
        <v>0.2105553</v>
      </c>
      <c r="C7513" s="15">
        <v>0.1241568</v>
      </c>
    </row>
    <row r="7514" spans="1:3" x14ac:dyDescent="0.45">
      <c r="A7514" s="11">
        <v>91.85</v>
      </c>
      <c r="B7514" s="14">
        <v>0.21073819999999999</v>
      </c>
      <c r="C7514" s="15">
        <v>0.1242798</v>
      </c>
    </row>
    <row r="7515" spans="1:3" x14ac:dyDescent="0.45">
      <c r="A7515" s="11">
        <v>91.86</v>
      </c>
      <c r="B7515" s="14">
        <v>0.2109211</v>
      </c>
      <c r="C7515" s="15">
        <v>0.1244029</v>
      </c>
    </row>
    <row r="7516" spans="1:3" x14ac:dyDescent="0.45">
      <c r="A7516" s="11">
        <v>91.87</v>
      </c>
      <c r="B7516" s="14">
        <v>0.21110400000000001</v>
      </c>
      <c r="C7516" s="15">
        <v>0.12452589999999999</v>
      </c>
    </row>
    <row r="7517" spans="1:3" x14ac:dyDescent="0.45">
      <c r="A7517" s="11">
        <v>91.88</v>
      </c>
      <c r="B7517" s="14">
        <v>0.211287</v>
      </c>
      <c r="C7517" s="15">
        <v>0.12464890000000001</v>
      </c>
    </row>
    <row r="7518" spans="1:3" x14ac:dyDescent="0.45">
      <c r="A7518" s="11">
        <v>91.89</v>
      </c>
      <c r="B7518" s="14">
        <v>0.21146989999999999</v>
      </c>
      <c r="C7518" s="15">
        <v>0.12477190000000001</v>
      </c>
    </row>
    <row r="7519" spans="1:3" x14ac:dyDescent="0.45">
      <c r="A7519" s="11">
        <v>91.9</v>
      </c>
      <c r="B7519" s="14">
        <v>0.2116528</v>
      </c>
      <c r="C7519" s="15">
        <v>0.1248949</v>
      </c>
    </row>
    <row r="7520" spans="1:3" x14ac:dyDescent="0.45">
      <c r="A7520" s="11">
        <v>91.91</v>
      </c>
      <c r="B7520" s="14">
        <v>0.21183569999999999</v>
      </c>
      <c r="C7520" s="15">
        <v>0.12501789999999999</v>
      </c>
    </row>
    <row r="7521" spans="1:3" x14ac:dyDescent="0.45">
      <c r="A7521" s="11">
        <v>91.92</v>
      </c>
      <c r="B7521" s="14">
        <v>0.2120186</v>
      </c>
      <c r="C7521" s="15">
        <v>0.1251409</v>
      </c>
    </row>
    <row r="7522" spans="1:3" x14ac:dyDescent="0.45">
      <c r="A7522" s="11">
        <v>91.93</v>
      </c>
      <c r="B7522" s="14">
        <v>0.21220159999999999</v>
      </c>
      <c r="C7522" s="15">
        <v>0.12526390000000001</v>
      </c>
    </row>
    <row r="7523" spans="1:3" x14ac:dyDescent="0.45">
      <c r="A7523" s="11">
        <v>91.94</v>
      </c>
      <c r="B7523" s="14">
        <v>0.2123845</v>
      </c>
      <c r="C7523" s="15">
        <v>0.1253869</v>
      </c>
    </row>
    <row r="7524" spans="1:3" x14ac:dyDescent="0.45">
      <c r="A7524" s="11">
        <v>91.95</v>
      </c>
      <c r="B7524" s="14">
        <v>0.21256739999999999</v>
      </c>
      <c r="C7524" s="15">
        <v>0.12551000000000001</v>
      </c>
    </row>
    <row r="7525" spans="1:3" x14ac:dyDescent="0.45">
      <c r="A7525" s="11">
        <v>91.96</v>
      </c>
      <c r="B7525" s="14">
        <v>0.2127503</v>
      </c>
      <c r="C7525" s="15">
        <v>0.12563299999999999</v>
      </c>
    </row>
    <row r="7526" spans="1:3" x14ac:dyDescent="0.45">
      <c r="A7526" s="11">
        <v>91.97</v>
      </c>
      <c r="B7526" s="14">
        <v>0.21293319999999999</v>
      </c>
      <c r="C7526" s="15">
        <v>0.12575600000000001</v>
      </c>
    </row>
    <row r="7527" spans="1:3" x14ac:dyDescent="0.45">
      <c r="A7527" s="11">
        <v>91.98</v>
      </c>
      <c r="B7527" s="14">
        <v>0.21311620000000001</v>
      </c>
      <c r="C7527" s="15">
        <v>0.12587899999999999</v>
      </c>
    </row>
    <row r="7528" spans="1:3" x14ac:dyDescent="0.45">
      <c r="A7528" s="11">
        <v>91.99</v>
      </c>
      <c r="B7528" s="14">
        <v>0.21329909999999999</v>
      </c>
      <c r="C7528" s="15">
        <v>0.126002</v>
      </c>
    </row>
    <row r="7529" spans="1:3" x14ac:dyDescent="0.45">
      <c r="A7529" s="11">
        <v>92</v>
      </c>
      <c r="B7529" s="14">
        <v>0.21348200000000001</v>
      </c>
      <c r="C7529" s="15">
        <v>0.12612499999999999</v>
      </c>
    </row>
    <row r="7530" spans="1:3" x14ac:dyDescent="0.45">
      <c r="A7530" s="11">
        <v>92.01</v>
      </c>
      <c r="B7530" s="14">
        <v>0.2136798</v>
      </c>
      <c r="C7530" s="15">
        <v>0.12626129999999999</v>
      </c>
    </row>
    <row r="7531" spans="1:3" x14ac:dyDescent="0.45">
      <c r="A7531" s="11">
        <v>92.02</v>
      </c>
      <c r="B7531" s="14">
        <v>0.2138775</v>
      </c>
      <c r="C7531" s="15">
        <v>0.1263976</v>
      </c>
    </row>
    <row r="7532" spans="1:3" x14ac:dyDescent="0.45">
      <c r="A7532" s="11">
        <v>92.03</v>
      </c>
      <c r="B7532" s="14">
        <v>0.2140753</v>
      </c>
      <c r="C7532" s="15">
        <v>0.1265339</v>
      </c>
    </row>
    <row r="7533" spans="1:3" x14ac:dyDescent="0.45">
      <c r="A7533" s="11">
        <v>92.04</v>
      </c>
      <c r="B7533" s="14">
        <v>0.21427299999999999</v>
      </c>
      <c r="C7533" s="15">
        <v>0.12667020000000001</v>
      </c>
    </row>
    <row r="7534" spans="1:3" x14ac:dyDescent="0.45">
      <c r="A7534" s="11">
        <v>92.05</v>
      </c>
      <c r="B7534" s="14">
        <v>0.21447069999999999</v>
      </c>
      <c r="C7534" s="15">
        <v>0.12680649999999999</v>
      </c>
    </row>
    <row r="7535" spans="1:3" x14ac:dyDescent="0.45">
      <c r="A7535" s="11">
        <v>92.06</v>
      </c>
      <c r="B7535" s="14">
        <v>0.21466850000000001</v>
      </c>
      <c r="C7535" s="15">
        <v>0.1269429</v>
      </c>
    </row>
    <row r="7536" spans="1:3" x14ac:dyDescent="0.45">
      <c r="A7536" s="11">
        <v>92.07</v>
      </c>
      <c r="B7536" s="14">
        <v>0.21486620000000001</v>
      </c>
      <c r="C7536" s="15">
        <v>0.1270792</v>
      </c>
    </row>
    <row r="7537" spans="1:3" x14ac:dyDescent="0.45">
      <c r="A7537" s="11">
        <v>92.08</v>
      </c>
      <c r="B7537" s="14">
        <v>0.21506400000000001</v>
      </c>
      <c r="C7537" s="15">
        <v>0.12721550000000001</v>
      </c>
    </row>
    <row r="7538" spans="1:3" x14ac:dyDescent="0.45">
      <c r="A7538" s="11">
        <v>92.09</v>
      </c>
      <c r="B7538" s="14">
        <v>0.2152618</v>
      </c>
      <c r="C7538" s="15">
        <v>0.12735179999999999</v>
      </c>
    </row>
    <row r="7539" spans="1:3" x14ac:dyDescent="0.45">
      <c r="A7539" s="11">
        <v>92.1</v>
      </c>
      <c r="B7539" s="14">
        <v>0.2154595</v>
      </c>
      <c r="C7539" s="15">
        <v>0.12748809999999999</v>
      </c>
    </row>
    <row r="7540" spans="1:3" x14ac:dyDescent="0.45">
      <c r="A7540" s="11">
        <v>92.11</v>
      </c>
      <c r="B7540" s="14">
        <v>0.21565719999999999</v>
      </c>
      <c r="C7540" s="15">
        <v>0.1276244</v>
      </c>
    </row>
    <row r="7541" spans="1:3" x14ac:dyDescent="0.45">
      <c r="A7541" s="11">
        <v>92.12</v>
      </c>
      <c r="B7541" s="14">
        <v>0.21585499999999999</v>
      </c>
      <c r="C7541" s="15">
        <v>0.1277607</v>
      </c>
    </row>
    <row r="7542" spans="1:3" x14ac:dyDescent="0.45">
      <c r="A7542" s="11">
        <v>92.13</v>
      </c>
      <c r="B7542" s="14">
        <v>0.21605269999999999</v>
      </c>
      <c r="C7542" s="15">
        <v>0.12789700000000001</v>
      </c>
    </row>
    <row r="7543" spans="1:3" x14ac:dyDescent="0.45">
      <c r="A7543" s="11">
        <v>92.14</v>
      </c>
      <c r="B7543" s="14">
        <v>0.21625050000000001</v>
      </c>
      <c r="C7543" s="15">
        <v>0.12803329999999999</v>
      </c>
    </row>
    <row r="7544" spans="1:3" x14ac:dyDescent="0.45">
      <c r="A7544" s="11">
        <v>92.15</v>
      </c>
      <c r="B7544" s="14">
        <v>0.21644830000000001</v>
      </c>
      <c r="C7544" s="15">
        <v>0.1281697</v>
      </c>
    </row>
    <row r="7545" spans="1:3" x14ac:dyDescent="0.45">
      <c r="A7545" s="11">
        <v>92.16</v>
      </c>
      <c r="B7545" s="14">
        <v>0.21664600000000001</v>
      </c>
      <c r="C7545" s="15">
        <v>0.128306</v>
      </c>
    </row>
    <row r="7546" spans="1:3" x14ac:dyDescent="0.45">
      <c r="A7546" s="11">
        <v>92.17</v>
      </c>
      <c r="B7546" s="14">
        <v>0.2168438</v>
      </c>
      <c r="C7546" s="15">
        <v>0.12844230000000001</v>
      </c>
    </row>
    <row r="7547" spans="1:3" x14ac:dyDescent="0.45">
      <c r="A7547" s="11">
        <v>92.18</v>
      </c>
      <c r="B7547" s="14">
        <v>0.2170415</v>
      </c>
      <c r="C7547" s="15">
        <v>0.12857859999999999</v>
      </c>
    </row>
    <row r="7548" spans="1:3" x14ac:dyDescent="0.45">
      <c r="A7548" s="11">
        <v>92.19</v>
      </c>
      <c r="B7548" s="14">
        <v>0.21723919999999999</v>
      </c>
      <c r="C7548" s="15">
        <v>0.12871489999999999</v>
      </c>
    </row>
    <row r="7549" spans="1:3" x14ac:dyDescent="0.45">
      <c r="A7549" s="11">
        <v>92.2</v>
      </c>
      <c r="B7549" s="14">
        <v>0.21743699999999999</v>
      </c>
      <c r="C7549" s="15">
        <v>0.1288512</v>
      </c>
    </row>
    <row r="7550" spans="1:3" x14ac:dyDescent="0.45">
      <c r="A7550" s="11">
        <v>92.21</v>
      </c>
      <c r="B7550" s="14">
        <v>0.21763469999999999</v>
      </c>
      <c r="C7550" s="15">
        <v>0.1289875</v>
      </c>
    </row>
    <row r="7551" spans="1:3" x14ac:dyDescent="0.45">
      <c r="A7551" s="11">
        <v>92.22</v>
      </c>
      <c r="B7551" s="14">
        <v>0.21783250000000001</v>
      </c>
      <c r="C7551" s="15">
        <v>0.12912380000000001</v>
      </c>
    </row>
    <row r="7552" spans="1:3" x14ac:dyDescent="0.45">
      <c r="A7552" s="11">
        <v>92.23</v>
      </c>
      <c r="B7552" s="14">
        <v>0.21803030000000001</v>
      </c>
      <c r="C7552" s="15">
        <v>0.12926009999999999</v>
      </c>
    </row>
    <row r="7553" spans="1:3" x14ac:dyDescent="0.45">
      <c r="A7553" s="11">
        <v>92.24</v>
      </c>
      <c r="B7553" s="14">
        <v>0.21822800000000001</v>
      </c>
      <c r="C7553" s="15">
        <v>0.12939639999999999</v>
      </c>
    </row>
    <row r="7554" spans="1:3" x14ac:dyDescent="0.45">
      <c r="A7554" s="11">
        <v>92.25</v>
      </c>
      <c r="B7554" s="14">
        <v>0.2184258</v>
      </c>
      <c r="C7554" s="15">
        <v>0.1295327</v>
      </c>
    </row>
    <row r="7555" spans="1:3" x14ac:dyDescent="0.45">
      <c r="A7555" s="11">
        <v>92.26</v>
      </c>
      <c r="B7555" s="14">
        <v>0.2186235</v>
      </c>
      <c r="C7555" s="15">
        <v>0.12966910000000001</v>
      </c>
    </row>
    <row r="7556" spans="1:3" x14ac:dyDescent="0.45">
      <c r="A7556" s="11">
        <v>92.27</v>
      </c>
      <c r="B7556" s="14">
        <v>0.21882119999999999</v>
      </c>
      <c r="C7556" s="15">
        <v>0.12980539999999999</v>
      </c>
    </row>
    <row r="7557" spans="1:3" x14ac:dyDescent="0.45">
      <c r="A7557" s="11">
        <v>92.28</v>
      </c>
      <c r="B7557" s="14">
        <v>0.21901899999999999</v>
      </c>
      <c r="C7557" s="15">
        <v>0.12994169999999999</v>
      </c>
    </row>
    <row r="7558" spans="1:3" x14ac:dyDescent="0.45">
      <c r="A7558" s="11">
        <v>92.29</v>
      </c>
      <c r="B7558" s="14">
        <v>0.21921679999999999</v>
      </c>
      <c r="C7558" s="15">
        <v>0.130078</v>
      </c>
    </row>
    <row r="7559" spans="1:3" x14ac:dyDescent="0.45">
      <c r="A7559" s="11">
        <v>92.3</v>
      </c>
      <c r="B7559" s="14">
        <v>0.21941450000000001</v>
      </c>
      <c r="C7559" s="15">
        <v>0.13021430000000001</v>
      </c>
    </row>
    <row r="7560" spans="1:3" x14ac:dyDescent="0.45">
      <c r="A7560" s="11">
        <v>92.31</v>
      </c>
      <c r="B7560" s="14">
        <v>0.21961230000000001</v>
      </c>
      <c r="C7560" s="15">
        <v>0.13035060000000001</v>
      </c>
    </row>
    <row r="7561" spans="1:3" x14ac:dyDescent="0.45">
      <c r="A7561" s="11">
        <v>92.32</v>
      </c>
      <c r="B7561" s="14">
        <v>0.21981000000000001</v>
      </c>
      <c r="C7561" s="15">
        <v>0.13048689999999999</v>
      </c>
    </row>
    <row r="7562" spans="1:3" x14ac:dyDescent="0.45">
      <c r="A7562" s="11">
        <v>92.33</v>
      </c>
      <c r="B7562" s="14">
        <v>0.2200077</v>
      </c>
      <c r="C7562" s="15">
        <v>0.13062319999999999</v>
      </c>
    </row>
    <row r="7563" spans="1:3" x14ac:dyDescent="0.45">
      <c r="A7563" s="11">
        <v>92.34</v>
      </c>
      <c r="B7563" s="14">
        <v>0.2202055</v>
      </c>
      <c r="C7563" s="15">
        <v>0.1307595</v>
      </c>
    </row>
    <row r="7564" spans="1:3" x14ac:dyDescent="0.45">
      <c r="A7564" s="11">
        <v>92.35</v>
      </c>
      <c r="B7564" s="14">
        <v>0.22040319999999999</v>
      </c>
      <c r="C7564" s="15">
        <v>0.13089580000000001</v>
      </c>
    </row>
    <row r="7565" spans="1:3" x14ac:dyDescent="0.45">
      <c r="A7565" s="11">
        <v>92.36</v>
      </c>
      <c r="B7565" s="14">
        <v>0.22060099999999999</v>
      </c>
      <c r="C7565" s="15">
        <v>0.13103219999999999</v>
      </c>
    </row>
    <row r="7566" spans="1:3" x14ac:dyDescent="0.45">
      <c r="A7566" s="11">
        <v>92.37</v>
      </c>
      <c r="B7566" s="14">
        <v>0.22079879999999999</v>
      </c>
      <c r="C7566" s="15">
        <v>0.13116849999999999</v>
      </c>
    </row>
    <row r="7567" spans="1:3" x14ac:dyDescent="0.45">
      <c r="A7567" s="11">
        <v>92.38</v>
      </c>
      <c r="B7567" s="14">
        <v>0.22099650000000001</v>
      </c>
      <c r="C7567" s="15">
        <v>0.1313048</v>
      </c>
    </row>
    <row r="7568" spans="1:3" x14ac:dyDescent="0.45">
      <c r="A7568" s="11">
        <v>92.39</v>
      </c>
      <c r="B7568" s="14">
        <v>0.22119430000000001</v>
      </c>
      <c r="C7568" s="15">
        <v>0.13144110000000001</v>
      </c>
    </row>
    <row r="7569" spans="1:3" x14ac:dyDescent="0.45">
      <c r="A7569" s="11">
        <v>92.4</v>
      </c>
      <c r="B7569" s="14">
        <v>0.22139200000000001</v>
      </c>
      <c r="C7569" s="15">
        <v>0.13157740000000001</v>
      </c>
    </row>
    <row r="7570" spans="1:3" x14ac:dyDescent="0.45">
      <c r="A7570" s="11">
        <v>92.41</v>
      </c>
      <c r="B7570" s="14">
        <v>0.2215897</v>
      </c>
      <c r="C7570" s="15">
        <v>0.13171369999999999</v>
      </c>
    </row>
    <row r="7571" spans="1:3" x14ac:dyDescent="0.45">
      <c r="A7571" s="11">
        <v>92.42</v>
      </c>
      <c r="B7571" s="14">
        <v>0.2217875</v>
      </c>
      <c r="C7571" s="15">
        <v>0.13184999999999999</v>
      </c>
    </row>
    <row r="7572" spans="1:3" x14ac:dyDescent="0.45">
      <c r="A7572" s="11">
        <v>92.43</v>
      </c>
      <c r="B7572" s="14">
        <v>0.2219853</v>
      </c>
      <c r="C7572" s="15">
        <v>0.1319863</v>
      </c>
    </row>
    <row r="7573" spans="1:3" x14ac:dyDescent="0.45">
      <c r="A7573" s="11">
        <v>92.44</v>
      </c>
      <c r="B7573" s="14">
        <v>0.22218299999999999</v>
      </c>
      <c r="C7573" s="15">
        <v>0.13212260000000001</v>
      </c>
    </row>
    <row r="7574" spans="1:3" x14ac:dyDescent="0.45">
      <c r="A7574" s="11">
        <v>92.45</v>
      </c>
      <c r="B7574" s="14">
        <v>0.22238079999999999</v>
      </c>
      <c r="C7574" s="15">
        <v>0.13225899999999999</v>
      </c>
    </row>
    <row r="7575" spans="1:3" x14ac:dyDescent="0.45">
      <c r="A7575" s="11">
        <v>92.46</v>
      </c>
      <c r="B7575" s="14">
        <v>0.22257850000000001</v>
      </c>
      <c r="C7575" s="15">
        <v>0.13239529999999999</v>
      </c>
    </row>
    <row r="7576" spans="1:3" x14ac:dyDescent="0.45">
      <c r="A7576" s="11">
        <v>92.47</v>
      </c>
      <c r="B7576" s="14">
        <v>0.22277620000000001</v>
      </c>
      <c r="C7576" s="15">
        <v>0.1325316</v>
      </c>
    </row>
    <row r="7577" spans="1:3" x14ac:dyDescent="0.45">
      <c r="A7577" s="11">
        <v>92.48</v>
      </c>
      <c r="B7577" s="14">
        <v>0.22297400000000001</v>
      </c>
      <c r="C7577" s="15">
        <v>0.13266790000000001</v>
      </c>
    </row>
    <row r="7578" spans="1:3" x14ac:dyDescent="0.45">
      <c r="A7578" s="11">
        <v>92.49</v>
      </c>
      <c r="B7578" s="14">
        <v>0.2231717</v>
      </c>
      <c r="C7578" s="15">
        <v>0.13280420000000001</v>
      </c>
    </row>
    <row r="7579" spans="1:3" x14ac:dyDescent="0.45">
      <c r="A7579" s="11">
        <v>92.5</v>
      </c>
      <c r="B7579" s="14">
        <v>0.2233695</v>
      </c>
      <c r="C7579" s="15">
        <v>0.13294049999999999</v>
      </c>
    </row>
    <row r="7580" spans="1:3" x14ac:dyDescent="0.45">
      <c r="A7580" s="11">
        <v>92.51</v>
      </c>
      <c r="B7580" s="14">
        <v>0.2235673</v>
      </c>
      <c r="C7580" s="15">
        <v>0.1330768</v>
      </c>
    </row>
    <row r="7581" spans="1:3" x14ac:dyDescent="0.45">
      <c r="A7581" s="11">
        <v>92.52</v>
      </c>
      <c r="B7581" s="14">
        <v>0.22376499999999999</v>
      </c>
      <c r="C7581" s="15">
        <v>0.1332131</v>
      </c>
    </row>
    <row r="7582" spans="1:3" x14ac:dyDescent="0.45">
      <c r="A7582" s="11">
        <v>92.53</v>
      </c>
      <c r="B7582" s="14">
        <v>0.22396279999999999</v>
      </c>
      <c r="C7582" s="15">
        <v>0.13334940000000001</v>
      </c>
    </row>
    <row r="7583" spans="1:3" x14ac:dyDescent="0.45">
      <c r="A7583" s="11">
        <v>92.54</v>
      </c>
      <c r="B7583" s="14">
        <v>0.22416050000000001</v>
      </c>
      <c r="C7583" s="15">
        <v>0.13348570000000001</v>
      </c>
    </row>
    <row r="7584" spans="1:3" x14ac:dyDescent="0.45">
      <c r="A7584" s="11">
        <v>92.55</v>
      </c>
      <c r="B7584" s="14">
        <v>0.22435820000000001</v>
      </c>
      <c r="C7584" s="15">
        <v>0.13362199999999999</v>
      </c>
    </row>
    <row r="7585" spans="1:3" x14ac:dyDescent="0.45">
      <c r="A7585" s="11">
        <v>92.56</v>
      </c>
      <c r="B7585" s="14">
        <v>0.22455600000000001</v>
      </c>
      <c r="C7585" s="15">
        <v>0.1337584</v>
      </c>
    </row>
    <row r="7586" spans="1:3" x14ac:dyDescent="0.45">
      <c r="A7586" s="11">
        <v>92.57</v>
      </c>
      <c r="B7586" s="14">
        <v>0.2247537</v>
      </c>
      <c r="C7586" s="15">
        <v>0.13389470000000001</v>
      </c>
    </row>
    <row r="7587" spans="1:3" x14ac:dyDescent="0.45">
      <c r="A7587" s="11">
        <v>92.58</v>
      </c>
      <c r="B7587" s="14">
        <v>0.2249515</v>
      </c>
      <c r="C7587" s="15">
        <v>0.13403100000000001</v>
      </c>
    </row>
    <row r="7588" spans="1:3" x14ac:dyDescent="0.45">
      <c r="A7588" s="11">
        <v>92.59</v>
      </c>
      <c r="B7588" s="14">
        <v>0.2251493</v>
      </c>
      <c r="C7588" s="15">
        <v>0.13416729999999999</v>
      </c>
    </row>
    <row r="7589" spans="1:3" x14ac:dyDescent="0.45">
      <c r="A7589" s="11">
        <v>92.6</v>
      </c>
      <c r="B7589" s="14">
        <v>0.22534699999999999</v>
      </c>
      <c r="C7589" s="15">
        <v>0.1343036</v>
      </c>
    </row>
    <row r="7590" spans="1:3" x14ac:dyDescent="0.45">
      <c r="A7590" s="11">
        <v>92.61</v>
      </c>
      <c r="B7590" s="14">
        <v>0.22554469999999999</v>
      </c>
      <c r="C7590" s="15">
        <v>0.1344399</v>
      </c>
    </row>
    <row r="7591" spans="1:3" x14ac:dyDescent="0.45">
      <c r="A7591" s="11">
        <v>92.62</v>
      </c>
      <c r="B7591" s="14">
        <v>0.22574250000000001</v>
      </c>
      <c r="C7591" s="15">
        <v>0.13457620000000001</v>
      </c>
    </row>
    <row r="7592" spans="1:3" x14ac:dyDescent="0.45">
      <c r="A7592" s="11">
        <v>92.63</v>
      </c>
      <c r="B7592" s="14">
        <v>0.22594020000000001</v>
      </c>
      <c r="C7592" s="15">
        <v>0.13471250000000001</v>
      </c>
    </row>
    <row r="7593" spans="1:3" x14ac:dyDescent="0.45">
      <c r="A7593" s="11">
        <v>92.64</v>
      </c>
      <c r="B7593" s="14">
        <v>0.22613800000000001</v>
      </c>
      <c r="C7593" s="15">
        <v>0.13484879999999999</v>
      </c>
    </row>
    <row r="7594" spans="1:3" x14ac:dyDescent="0.45">
      <c r="A7594" s="11">
        <v>92.65</v>
      </c>
      <c r="B7594" s="14">
        <v>0.2263358</v>
      </c>
      <c r="C7594" s="15">
        <v>0.1349852</v>
      </c>
    </row>
    <row r="7595" spans="1:3" x14ac:dyDescent="0.45">
      <c r="A7595" s="11">
        <v>92.66</v>
      </c>
      <c r="B7595" s="14">
        <v>0.2265335</v>
      </c>
      <c r="C7595" s="15">
        <v>0.13512150000000001</v>
      </c>
    </row>
    <row r="7596" spans="1:3" x14ac:dyDescent="0.45">
      <c r="A7596" s="11">
        <v>92.67</v>
      </c>
      <c r="B7596" s="14">
        <v>0.2267313</v>
      </c>
      <c r="C7596" s="15">
        <v>0.13525780000000001</v>
      </c>
    </row>
    <row r="7597" spans="1:3" x14ac:dyDescent="0.45">
      <c r="A7597" s="11">
        <v>92.68</v>
      </c>
      <c r="B7597" s="14">
        <v>0.22692899999999999</v>
      </c>
      <c r="C7597" s="15">
        <v>0.13539409999999999</v>
      </c>
    </row>
    <row r="7598" spans="1:3" x14ac:dyDescent="0.45">
      <c r="A7598" s="11">
        <v>92.69</v>
      </c>
      <c r="B7598" s="14">
        <v>0.22712669999999999</v>
      </c>
      <c r="C7598" s="15">
        <v>0.1355304</v>
      </c>
    </row>
    <row r="7599" spans="1:3" x14ac:dyDescent="0.45">
      <c r="A7599" s="11">
        <v>92.7</v>
      </c>
      <c r="B7599" s="14">
        <v>0.22732450000000001</v>
      </c>
      <c r="C7599" s="15">
        <v>0.1356667</v>
      </c>
    </row>
    <row r="7600" spans="1:3" x14ac:dyDescent="0.45">
      <c r="A7600" s="11">
        <v>92.71</v>
      </c>
      <c r="B7600" s="14">
        <v>0.22752220000000001</v>
      </c>
      <c r="C7600" s="15">
        <v>0.13580300000000001</v>
      </c>
    </row>
    <row r="7601" spans="1:3" x14ac:dyDescent="0.45">
      <c r="A7601" s="11">
        <v>92.72</v>
      </c>
      <c r="B7601" s="14">
        <v>0.22772000000000001</v>
      </c>
      <c r="C7601" s="15">
        <v>0.13593930000000001</v>
      </c>
    </row>
    <row r="7602" spans="1:3" x14ac:dyDescent="0.45">
      <c r="A7602" s="11">
        <v>92.73</v>
      </c>
      <c r="B7602" s="14">
        <v>0.2279178</v>
      </c>
      <c r="C7602" s="15">
        <v>0.13607559999999999</v>
      </c>
    </row>
    <row r="7603" spans="1:3" x14ac:dyDescent="0.45">
      <c r="A7603" s="11">
        <v>92.74</v>
      </c>
      <c r="B7603" s="14">
        <v>0.2281155</v>
      </c>
      <c r="C7603" s="15">
        <v>0.1362119</v>
      </c>
    </row>
    <row r="7604" spans="1:3" x14ac:dyDescent="0.45">
      <c r="A7604" s="11">
        <v>92.75</v>
      </c>
      <c r="B7604" s="14">
        <v>0.22831319999999999</v>
      </c>
      <c r="C7604" s="15">
        <v>0.13634830000000001</v>
      </c>
    </row>
    <row r="7605" spans="1:3" x14ac:dyDescent="0.45">
      <c r="A7605" s="11">
        <v>92.76</v>
      </c>
      <c r="B7605" s="14">
        <v>0.22851099999999999</v>
      </c>
      <c r="C7605" s="15">
        <v>0.13648460000000001</v>
      </c>
    </row>
    <row r="7606" spans="1:3" x14ac:dyDescent="0.45">
      <c r="A7606" s="11">
        <v>92.77</v>
      </c>
      <c r="B7606" s="14">
        <v>0.22870869999999999</v>
      </c>
      <c r="C7606" s="15">
        <v>0.13662089999999999</v>
      </c>
    </row>
    <row r="7607" spans="1:3" x14ac:dyDescent="0.45">
      <c r="A7607" s="11">
        <v>92.78</v>
      </c>
      <c r="B7607" s="14">
        <v>0.22890650000000001</v>
      </c>
      <c r="C7607" s="15">
        <v>0.1367572</v>
      </c>
    </row>
    <row r="7608" spans="1:3" x14ac:dyDescent="0.45">
      <c r="A7608" s="11">
        <v>92.79</v>
      </c>
      <c r="B7608" s="14">
        <v>0.22910430000000001</v>
      </c>
      <c r="C7608" s="15">
        <v>0.1368935</v>
      </c>
    </row>
    <row r="7609" spans="1:3" x14ac:dyDescent="0.45">
      <c r="A7609" s="11">
        <v>92.8</v>
      </c>
      <c r="B7609" s="14">
        <v>0.22930200000000001</v>
      </c>
      <c r="C7609" s="15">
        <v>0.13702980000000001</v>
      </c>
    </row>
    <row r="7610" spans="1:3" x14ac:dyDescent="0.45">
      <c r="A7610" s="11">
        <v>92.81</v>
      </c>
      <c r="B7610" s="14">
        <v>0.2294998</v>
      </c>
      <c r="C7610" s="15">
        <v>0.13716610000000001</v>
      </c>
    </row>
    <row r="7611" spans="1:3" x14ac:dyDescent="0.45">
      <c r="A7611" s="11">
        <v>92.82</v>
      </c>
      <c r="B7611" s="14">
        <v>0.2296975</v>
      </c>
      <c r="C7611" s="15">
        <v>0.13730239999999999</v>
      </c>
    </row>
    <row r="7612" spans="1:3" x14ac:dyDescent="0.45">
      <c r="A7612" s="11">
        <v>92.83</v>
      </c>
      <c r="B7612" s="14">
        <v>0.22989519999999999</v>
      </c>
      <c r="C7612" s="15">
        <v>0.1374387</v>
      </c>
    </row>
    <row r="7613" spans="1:3" x14ac:dyDescent="0.45">
      <c r="A7613" s="11">
        <v>92.84</v>
      </c>
      <c r="B7613" s="14">
        <v>0.23009299999999999</v>
      </c>
      <c r="C7613" s="15">
        <v>0.137575</v>
      </c>
    </row>
    <row r="7614" spans="1:3" x14ac:dyDescent="0.45">
      <c r="A7614" s="11">
        <v>92.85</v>
      </c>
      <c r="B7614" s="14">
        <v>0.23029069999999999</v>
      </c>
      <c r="C7614" s="15">
        <v>0.13771130000000001</v>
      </c>
    </row>
    <row r="7615" spans="1:3" x14ac:dyDescent="0.45">
      <c r="A7615" s="11">
        <v>92.86</v>
      </c>
      <c r="B7615" s="14">
        <v>0.23048850000000001</v>
      </c>
      <c r="C7615" s="15">
        <v>0.13784769999999999</v>
      </c>
    </row>
    <row r="7616" spans="1:3" x14ac:dyDescent="0.45">
      <c r="A7616" s="11">
        <v>92.87</v>
      </c>
      <c r="B7616" s="14">
        <v>0.23068630000000001</v>
      </c>
      <c r="C7616" s="15">
        <v>0.137984</v>
      </c>
    </row>
    <row r="7617" spans="1:3" x14ac:dyDescent="0.45">
      <c r="A7617" s="11">
        <v>92.88</v>
      </c>
      <c r="B7617" s="14">
        <v>0.23088400000000001</v>
      </c>
      <c r="C7617" s="15">
        <v>0.1381203</v>
      </c>
    </row>
    <row r="7618" spans="1:3" x14ac:dyDescent="0.45">
      <c r="A7618" s="11">
        <v>92.89</v>
      </c>
      <c r="B7618" s="14">
        <v>0.2310818</v>
      </c>
      <c r="C7618" s="15">
        <v>0.13825660000000001</v>
      </c>
    </row>
    <row r="7619" spans="1:3" x14ac:dyDescent="0.45">
      <c r="A7619" s="11">
        <v>92.9</v>
      </c>
      <c r="B7619" s="14">
        <v>0.2312795</v>
      </c>
      <c r="C7619" s="15">
        <v>0.13839290000000001</v>
      </c>
    </row>
    <row r="7620" spans="1:3" x14ac:dyDescent="0.45">
      <c r="A7620" s="11">
        <v>92.91</v>
      </c>
      <c r="B7620" s="14">
        <v>0.23147719999999999</v>
      </c>
      <c r="C7620" s="15">
        <v>0.13852919999999999</v>
      </c>
    </row>
    <row r="7621" spans="1:3" x14ac:dyDescent="0.45">
      <c r="A7621" s="11">
        <v>92.92</v>
      </c>
      <c r="B7621" s="14">
        <v>0.23167499999999999</v>
      </c>
      <c r="C7621" s="15">
        <v>0.1386655</v>
      </c>
    </row>
    <row r="7622" spans="1:3" x14ac:dyDescent="0.45">
      <c r="A7622" s="11">
        <v>92.93</v>
      </c>
      <c r="B7622" s="14">
        <v>0.23187279999999999</v>
      </c>
      <c r="C7622" s="15">
        <v>0.1388018</v>
      </c>
    </row>
    <row r="7623" spans="1:3" x14ac:dyDescent="0.45">
      <c r="A7623" s="11">
        <v>92.94</v>
      </c>
      <c r="B7623" s="14">
        <v>0.23207050000000001</v>
      </c>
      <c r="C7623" s="15">
        <v>0.13893810000000001</v>
      </c>
    </row>
    <row r="7624" spans="1:3" x14ac:dyDescent="0.45">
      <c r="A7624" s="11">
        <v>92.95</v>
      </c>
      <c r="B7624" s="14">
        <v>0.23226830000000001</v>
      </c>
      <c r="C7624" s="15">
        <v>0.13907449999999999</v>
      </c>
    </row>
    <row r="7625" spans="1:3" x14ac:dyDescent="0.45">
      <c r="A7625" s="11">
        <v>92.96</v>
      </c>
      <c r="B7625" s="14">
        <v>0.23246600000000001</v>
      </c>
      <c r="C7625" s="15">
        <v>0.1392108</v>
      </c>
    </row>
    <row r="7626" spans="1:3" x14ac:dyDescent="0.45">
      <c r="A7626" s="11">
        <v>92.97</v>
      </c>
      <c r="B7626" s="14">
        <v>0.2326637</v>
      </c>
      <c r="C7626" s="15">
        <v>0.1393471</v>
      </c>
    </row>
    <row r="7627" spans="1:3" x14ac:dyDescent="0.45">
      <c r="A7627" s="11">
        <v>92.98</v>
      </c>
      <c r="B7627" s="14">
        <v>0.2328615</v>
      </c>
      <c r="C7627" s="15">
        <v>0.13948340000000001</v>
      </c>
    </row>
    <row r="7628" spans="1:3" x14ac:dyDescent="0.45">
      <c r="A7628" s="11">
        <v>92.99</v>
      </c>
      <c r="B7628" s="14">
        <v>0.23305919999999999</v>
      </c>
      <c r="C7628" s="15">
        <v>0.13961970000000001</v>
      </c>
    </row>
    <row r="7629" spans="1:3" x14ac:dyDescent="0.45">
      <c r="A7629" s="11">
        <v>93</v>
      </c>
      <c r="B7629" s="14">
        <v>0.23325699999999999</v>
      </c>
      <c r="C7629" s="15">
        <v>0.13975599999999999</v>
      </c>
    </row>
    <row r="7630" spans="1:3" x14ac:dyDescent="0.45">
      <c r="A7630" s="11">
        <v>93.01</v>
      </c>
      <c r="B7630" s="14">
        <v>0.2334705</v>
      </c>
      <c r="C7630" s="15">
        <v>0.13990710000000001</v>
      </c>
    </row>
    <row r="7631" spans="1:3" x14ac:dyDescent="0.45">
      <c r="A7631" s="11">
        <v>93.02</v>
      </c>
      <c r="B7631" s="14">
        <v>0.23368410000000001</v>
      </c>
      <c r="C7631" s="15">
        <v>0.14005809999999999</v>
      </c>
    </row>
    <row r="7632" spans="1:3" x14ac:dyDescent="0.45">
      <c r="A7632" s="11">
        <v>93.03</v>
      </c>
      <c r="B7632" s="14">
        <v>0.23389760000000001</v>
      </c>
      <c r="C7632" s="15">
        <v>0.14020920000000001</v>
      </c>
    </row>
    <row r="7633" spans="1:3" x14ac:dyDescent="0.45">
      <c r="A7633" s="11">
        <v>93.04</v>
      </c>
      <c r="B7633" s="14">
        <v>0.23411109999999999</v>
      </c>
      <c r="C7633" s="15">
        <v>0.14036029999999999</v>
      </c>
    </row>
    <row r="7634" spans="1:3" x14ac:dyDescent="0.45">
      <c r="A7634" s="11">
        <v>93.05</v>
      </c>
      <c r="B7634" s="14">
        <v>0.23432459999999999</v>
      </c>
      <c r="C7634" s="15">
        <v>0.14051130000000001</v>
      </c>
    </row>
    <row r="7635" spans="1:3" x14ac:dyDescent="0.45">
      <c r="A7635" s="11">
        <v>93.06</v>
      </c>
      <c r="B7635" s="14">
        <v>0.2345382</v>
      </c>
      <c r="C7635" s="15">
        <v>0.14066239999999999</v>
      </c>
    </row>
    <row r="7636" spans="1:3" x14ac:dyDescent="0.45">
      <c r="A7636" s="11">
        <v>93.07</v>
      </c>
      <c r="B7636" s="14">
        <v>0.23475170000000001</v>
      </c>
      <c r="C7636" s="15">
        <v>0.14081350000000001</v>
      </c>
    </row>
    <row r="7637" spans="1:3" x14ac:dyDescent="0.45">
      <c r="A7637" s="11">
        <v>93.08</v>
      </c>
      <c r="B7637" s="14">
        <v>0.23496520000000001</v>
      </c>
      <c r="C7637" s="15">
        <v>0.1409646</v>
      </c>
    </row>
    <row r="7638" spans="1:3" x14ac:dyDescent="0.45">
      <c r="A7638" s="11">
        <v>93.09</v>
      </c>
      <c r="B7638" s="14">
        <v>0.23517879999999999</v>
      </c>
      <c r="C7638" s="15">
        <v>0.14111560000000001</v>
      </c>
    </row>
    <row r="7639" spans="1:3" x14ac:dyDescent="0.45">
      <c r="A7639" s="11">
        <v>93.1</v>
      </c>
      <c r="B7639" s="14">
        <v>0.2353923</v>
      </c>
      <c r="C7639" s="15">
        <v>0.1412667</v>
      </c>
    </row>
    <row r="7640" spans="1:3" x14ac:dyDescent="0.45">
      <c r="A7640" s="11">
        <v>93.11</v>
      </c>
      <c r="B7640" s="14">
        <v>0.2356058</v>
      </c>
      <c r="C7640" s="15">
        <v>0.14141780000000001</v>
      </c>
    </row>
    <row r="7641" spans="1:3" x14ac:dyDescent="0.45">
      <c r="A7641" s="11">
        <v>93.12</v>
      </c>
      <c r="B7641" s="14">
        <v>0.23581940000000001</v>
      </c>
      <c r="C7641" s="15">
        <v>0.14156879999999999</v>
      </c>
    </row>
    <row r="7642" spans="1:3" x14ac:dyDescent="0.45">
      <c r="A7642" s="11">
        <v>93.13</v>
      </c>
      <c r="B7642" s="14">
        <v>0.23603289999999999</v>
      </c>
      <c r="C7642" s="15">
        <v>0.14171990000000001</v>
      </c>
    </row>
    <row r="7643" spans="1:3" x14ac:dyDescent="0.45">
      <c r="A7643" s="11">
        <v>93.14</v>
      </c>
      <c r="B7643" s="14">
        <v>0.2362464</v>
      </c>
      <c r="C7643" s="15">
        <v>0.141871</v>
      </c>
    </row>
    <row r="7644" spans="1:3" x14ac:dyDescent="0.45">
      <c r="A7644" s="11">
        <v>93.15</v>
      </c>
      <c r="B7644" s="14">
        <v>0.23646</v>
      </c>
      <c r="C7644" s="15">
        <v>0.14202210000000001</v>
      </c>
    </row>
    <row r="7645" spans="1:3" x14ac:dyDescent="0.45">
      <c r="A7645" s="11">
        <v>93.16</v>
      </c>
      <c r="B7645" s="14">
        <v>0.23667350000000001</v>
      </c>
      <c r="C7645" s="15">
        <v>0.1421731</v>
      </c>
    </row>
    <row r="7646" spans="1:3" x14ac:dyDescent="0.45">
      <c r="A7646" s="11">
        <v>93.17</v>
      </c>
      <c r="B7646" s="14">
        <v>0.23688699999999999</v>
      </c>
      <c r="C7646" s="15">
        <v>0.14232420000000001</v>
      </c>
    </row>
    <row r="7647" spans="1:3" x14ac:dyDescent="0.45">
      <c r="A7647" s="11">
        <v>93.18</v>
      </c>
      <c r="B7647" s="14">
        <v>0.23710049999999999</v>
      </c>
      <c r="C7647" s="15">
        <v>0.1424753</v>
      </c>
    </row>
    <row r="7648" spans="1:3" x14ac:dyDescent="0.45">
      <c r="A7648" s="11">
        <v>93.19</v>
      </c>
      <c r="B7648" s="14">
        <v>0.2373141</v>
      </c>
      <c r="C7648" s="15">
        <v>0.14262630000000001</v>
      </c>
    </row>
    <row r="7649" spans="1:3" x14ac:dyDescent="0.45">
      <c r="A7649" s="11">
        <v>93.2</v>
      </c>
      <c r="B7649" s="14">
        <v>0.23752760000000001</v>
      </c>
      <c r="C7649" s="15">
        <v>0.1427774</v>
      </c>
    </row>
    <row r="7650" spans="1:3" x14ac:dyDescent="0.45">
      <c r="A7650" s="11">
        <v>93.21</v>
      </c>
      <c r="B7650" s="14">
        <v>0.23774110000000001</v>
      </c>
      <c r="C7650" s="15">
        <v>0.14292850000000001</v>
      </c>
    </row>
    <row r="7651" spans="1:3" x14ac:dyDescent="0.45">
      <c r="A7651" s="11">
        <v>93.22</v>
      </c>
      <c r="B7651" s="14">
        <v>0.23795469999999999</v>
      </c>
      <c r="C7651" s="15">
        <v>0.1430795</v>
      </c>
    </row>
    <row r="7652" spans="1:3" x14ac:dyDescent="0.45">
      <c r="A7652" s="11">
        <v>93.23</v>
      </c>
      <c r="B7652" s="14">
        <v>0.2381682</v>
      </c>
      <c r="C7652" s="15">
        <v>0.14323060000000001</v>
      </c>
    </row>
    <row r="7653" spans="1:3" x14ac:dyDescent="0.45">
      <c r="A7653" s="11">
        <v>93.24</v>
      </c>
      <c r="B7653" s="14">
        <v>0.2383817</v>
      </c>
      <c r="C7653" s="15">
        <v>0.1433817</v>
      </c>
    </row>
    <row r="7654" spans="1:3" x14ac:dyDescent="0.45">
      <c r="A7654" s="11">
        <v>93.25</v>
      </c>
      <c r="B7654" s="14">
        <v>0.23859520000000001</v>
      </c>
      <c r="C7654" s="15">
        <v>0.14353270000000001</v>
      </c>
    </row>
    <row r="7655" spans="1:3" x14ac:dyDescent="0.45">
      <c r="A7655" s="11">
        <v>93.26</v>
      </c>
      <c r="B7655" s="14">
        <v>0.23880879999999999</v>
      </c>
      <c r="C7655" s="15">
        <v>0.1436838</v>
      </c>
    </row>
    <row r="7656" spans="1:3" x14ac:dyDescent="0.45">
      <c r="A7656" s="11">
        <v>93.27</v>
      </c>
      <c r="B7656" s="14">
        <v>0.23902229999999999</v>
      </c>
      <c r="C7656" s="15">
        <v>0.14383489999999999</v>
      </c>
    </row>
    <row r="7657" spans="1:3" x14ac:dyDescent="0.45">
      <c r="A7657" s="11">
        <v>93.28</v>
      </c>
      <c r="B7657" s="14">
        <v>0.2392358</v>
      </c>
      <c r="C7657" s="15">
        <v>0.143986</v>
      </c>
    </row>
    <row r="7658" spans="1:3" x14ac:dyDescent="0.45">
      <c r="A7658" s="11">
        <v>93.29</v>
      </c>
      <c r="B7658" s="14">
        <v>0.23944940000000001</v>
      </c>
      <c r="C7658" s="15">
        <v>0.14413699999999999</v>
      </c>
    </row>
    <row r="7659" spans="1:3" x14ac:dyDescent="0.45">
      <c r="A7659" s="11">
        <v>93.3</v>
      </c>
      <c r="B7659" s="14">
        <v>0.23966290000000001</v>
      </c>
      <c r="C7659" s="15">
        <v>0.1442881</v>
      </c>
    </row>
    <row r="7660" spans="1:3" x14ac:dyDescent="0.45">
      <c r="A7660" s="11">
        <v>93.31</v>
      </c>
      <c r="B7660" s="14">
        <v>0.23987639999999999</v>
      </c>
      <c r="C7660" s="15">
        <v>0.14443919999999999</v>
      </c>
    </row>
    <row r="7661" spans="1:3" x14ac:dyDescent="0.45">
      <c r="A7661" s="11">
        <v>93.32</v>
      </c>
      <c r="B7661" s="14">
        <v>0.24009</v>
      </c>
      <c r="C7661" s="15">
        <v>0.1445902</v>
      </c>
    </row>
    <row r="7662" spans="1:3" x14ac:dyDescent="0.45">
      <c r="A7662" s="11">
        <v>93.33</v>
      </c>
      <c r="B7662" s="14">
        <v>0.2403035</v>
      </c>
      <c r="C7662" s="15">
        <v>0.14474129999999999</v>
      </c>
    </row>
    <row r="7663" spans="1:3" x14ac:dyDescent="0.45">
      <c r="A7663" s="11">
        <v>93.34</v>
      </c>
      <c r="B7663" s="14">
        <v>0.24051700000000001</v>
      </c>
      <c r="C7663" s="15">
        <v>0.1448924</v>
      </c>
    </row>
    <row r="7664" spans="1:3" x14ac:dyDescent="0.45">
      <c r="A7664" s="11">
        <v>93.35</v>
      </c>
      <c r="B7664" s="14">
        <v>0.24073049999999999</v>
      </c>
      <c r="C7664" s="15">
        <v>0.14504339999999999</v>
      </c>
    </row>
    <row r="7665" spans="1:3" x14ac:dyDescent="0.45">
      <c r="A7665" s="11">
        <v>93.36</v>
      </c>
      <c r="B7665" s="14">
        <v>0.24094409999999999</v>
      </c>
      <c r="C7665" s="15">
        <v>0.1451945</v>
      </c>
    </row>
    <row r="7666" spans="1:3" x14ac:dyDescent="0.45">
      <c r="A7666" s="11">
        <v>93.37</v>
      </c>
      <c r="B7666" s="14">
        <v>0.2411576</v>
      </c>
      <c r="C7666" s="15">
        <v>0.14534559999999999</v>
      </c>
    </row>
    <row r="7667" spans="1:3" x14ac:dyDescent="0.45">
      <c r="A7667" s="11">
        <v>93.38</v>
      </c>
      <c r="B7667" s="14">
        <v>0.24137110000000001</v>
      </c>
      <c r="C7667" s="15">
        <v>0.14549670000000001</v>
      </c>
    </row>
    <row r="7668" spans="1:3" x14ac:dyDescent="0.45">
      <c r="A7668" s="11">
        <v>93.39</v>
      </c>
      <c r="B7668" s="14">
        <v>0.24158470000000001</v>
      </c>
      <c r="C7668" s="15">
        <v>0.14564769999999999</v>
      </c>
    </row>
    <row r="7669" spans="1:3" x14ac:dyDescent="0.45">
      <c r="A7669" s="11">
        <v>93.4</v>
      </c>
      <c r="B7669" s="14">
        <v>0.24179819999999999</v>
      </c>
      <c r="C7669" s="15">
        <v>0.14579880000000001</v>
      </c>
    </row>
    <row r="7670" spans="1:3" x14ac:dyDescent="0.45">
      <c r="A7670" s="11">
        <v>93.41</v>
      </c>
      <c r="B7670" s="14">
        <v>0.2420117</v>
      </c>
      <c r="C7670" s="15">
        <v>0.14594989999999999</v>
      </c>
    </row>
    <row r="7671" spans="1:3" x14ac:dyDescent="0.45">
      <c r="A7671" s="11">
        <v>93.42</v>
      </c>
      <c r="B7671" s="14">
        <v>0.2422253</v>
      </c>
      <c r="C7671" s="15">
        <v>0.14610090000000001</v>
      </c>
    </row>
    <row r="7672" spans="1:3" x14ac:dyDescent="0.45">
      <c r="A7672" s="11">
        <v>93.43</v>
      </c>
      <c r="B7672" s="14">
        <v>0.24243880000000001</v>
      </c>
      <c r="C7672" s="15">
        <v>0.14625199999999999</v>
      </c>
    </row>
    <row r="7673" spans="1:3" x14ac:dyDescent="0.45">
      <c r="A7673" s="11">
        <v>93.44</v>
      </c>
      <c r="B7673" s="14">
        <v>0.24265229999999999</v>
      </c>
      <c r="C7673" s="15">
        <v>0.14640310000000001</v>
      </c>
    </row>
    <row r="7674" spans="1:3" x14ac:dyDescent="0.45">
      <c r="A7674" s="11">
        <v>93.45</v>
      </c>
      <c r="B7674" s="14">
        <v>0.2428659</v>
      </c>
      <c r="C7674" s="15">
        <v>0.1465542</v>
      </c>
    </row>
    <row r="7675" spans="1:3" x14ac:dyDescent="0.45">
      <c r="A7675" s="11">
        <v>93.46</v>
      </c>
      <c r="B7675" s="14">
        <v>0.2430794</v>
      </c>
      <c r="C7675" s="15">
        <v>0.14670520000000001</v>
      </c>
    </row>
    <row r="7676" spans="1:3" x14ac:dyDescent="0.45">
      <c r="A7676" s="11">
        <v>93.47</v>
      </c>
      <c r="B7676" s="14">
        <v>0.24329290000000001</v>
      </c>
      <c r="C7676" s="15">
        <v>0.1468563</v>
      </c>
    </row>
    <row r="7677" spans="1:3" x14ac:dyDescent="0.45">
      <c r="A7677" s="11">
        <v>93.48</v>
      </c>
      <c r="B7677" s="14">
        <v>0.24350640000000001</v>
      </c>
      <c r="C7677" s="15">
        <v>0.14700740000000001</v>
      </c>
    </row>
    <row r="7678" spans="1:3" x14ac:dyDescent="0.45">
      <c r="A7678" s="11">
        <v>93.49</v>
      </c>
      <c r="B7678" s="14">
        <v>0.24371999999999999</v>
      </c>
      <c r="C7678" s="15">
        <v>0.14715839999999999</v>
      </c>
    </row>
    <row r="7679" spans="1:3" x14ac:dyDescent="0.45">
      <c r="A7679" s="11">
        <v>93.5</v>
      </c>
      <c r="B7679" s="14">
        <v>0.2439335</v>
      </c>
      <c r="C7679" s="15">
        <v>0.14730950000000001</v>
      </c>
    </row>
    <row r="7680" spans="1:3" x14ac:dyDescent="0.45">
      <c r="A7680" s="11">
        <v>93.51</v>
      </c>
      <c r="B7680" s="14">
        <v>0.244147</v>
      </c>
      <c r="C7680" s="15">
        <v>0.1474606</v>
      </c>
    </row>
    <row r="7681" spans="1:3" x14ac:dyDescent="0.45">
      <c r="A7681" s="11">
        <v>93.52</v>
      </c>
      <c r="B7681" s="14">
        <v>0.24436060000000001</v>
      </c>
      <c r="C7681" s="15">
        <v>0.14761160000000001</v>
      </c>
    </row>
    <row r="7682" spans="1:3" x14ac:dyDescent="0.45">
      <c r="A7682" s="11">
        <v>93.53</v>
      </c>
      <c r="B7682" s="14">
        <v>0.24457409999999999</v>
      </c>
      <c r="C7682" s="15">
        <v>0.1477627</v>
      </c>
    </row>
    <row r="7683" spans="1:3" x14ac:dyDescent="0.45">
      <c r="A7683" s="11">
        <v>93.54</v>
      </c>
      <c r="B7683" s="14">
        <v>0.24478759999999999</v>
      </c>
      <c r="C7683" s="15">
        <v>0.14791380000000001</v>
      </c>
    </row>
    <row r="7684" spans="1:3" x14ac:dyDescent="0.45">
      <c r="A7684" s="11">
        <v>93.55</v>
      </c>
      <c r="B7684" s="14">
        <v>0.2450011</v>
      </c>
      <c r="C7684" s="15">
        <v>0.1480648</v>
      </c>
    </row>
    <row r="7685" spans="1:3" x14ac:dyDescent="0.45">
      <c r="A7685" s="11">
        <v>93.56</v>
      </c>
      <c r="B7685" s="14">
        <v>0.24521470000000001</v>
      </c>
      <c r="C7685" s="15">
        <v>0.14821590000000001</v>
      </c>
    </row>
    <row r="7686" spans="1:3" x14ac:dyDescent="0.45">
      <c r="A7686" s="11">
        <v>93.57</v>
      </c>
      <c r="B7686" s="14">
        <v>0.24542820000000001</v>
      </c>
      <c r="C7686" s="15">
        <v>0.148367</v>
      </c>
    </row>
    <row r="7687" spans="1:3" x14ac:dyDescent="0.45">
      <c r="A7687" s="11">
        <v>93.58</v>
      </c>
      <c r="B7687" s="14">
        <v>0.24564169999999999</v>
      </c>
      <c r="C7687" s="15">
        <v>0.14851809999999999</v>
      </c>
    </row>
    <row r="7688" spans="1:3" x14ac:dyDescent="0.45">
      <c r="A7688" s="11">
        <v>93.59</v>
      </c>
      <c r="B7688" s="14">
        <v>0.2458553</v>
      </c>
      <c r="C7688" s="15">
        <v>0.1486691</v>
      </c>
    </row>
    <row r="7689" spans="1:3" x14ac:dyDescent="0.45">
      <c r="A7689" s="11">
        <v>93.6</v>
      </c>
      <c r="B7689" s="14">
        <v>0.2460688</v>
      </c>
      <c r="C7689" s="15">
        <v>0.14882020000000001</v>
      </c>
    </row>
    <row r="7690" spans="1:3" x14ac:dyDescent="0.45">
      <c r="A7690" s="11">
        <v>93.61</v>
      </c>
      <c r="B7690" s="14">
        <v>0.24628230000000001</v>
      </c>
      <c r="C7690" s="15">
        <v>0.1489713</v>
      </c>
    </row>
    <row r="7691" spans="1:3" x14ac:dyDescent="0.45">
      <c r="A7691" s="11">
        <v>93.62</v>
      </c>
      <c r="B7691" s="14">
        <v>0.24649589999999999</v>
      </c>
      <c r="C7691" s="15">
        <v>0.14912230000000001</v>
      </c>
    </row>
    <row r="7692" spans="1:3" x14ac:dyDescent="0.45">
      <c r="A7692" s="11">
        <v>93.63</v>
      </c>
      <c r="B7692" s="14">
        <v>0.2467094</v>
      </c>
      <c r="C7692" s="15">
        <v>0.1492734</v>
      </c>
    </row>
    <row r="7693" spans="1:3" x14ac:dyDescent="0.45">
      <c r="A7693" s="11">
        <v>93.64</v>
      </c>
      <c r="B7693" s="14">
        <v>0.2469229</v>
      </c>
      <c r="C7693" s="15">
        <v>0.14942449999999999</v>
      </c>
    </row>
    <row r="7694" spans="1:3" x14ac:dyDescent="0.45">
      <c r="A7694" s="11">
        <v>93.65</v>
      </c>
      <c r="B7694" s="14">
        <v>0.24713650000000001</v>
      </c>
      <c r="C7694" s="15">
        <v>0.1495756</v>
      </c>
    </row>
    <row r="7695" spans="1:3" x14ac:dyDescent="0.45">
      <c r="A7695" s="11">
        <v>93.66</v>
      </c>
      <c r="B7695" s="14">
        <v>0.24734999999999999</v>
      </c>
      <c r="C7695" s="15">
        <v>0.14972659999999999</v>
      </c>
    </row>
    <row r="7696" spans="1:3" x14ac:dyDescent="0.45">
      <c r="A7696" s="11">
        <v>93.67</v>
      </c>
      <c r="B7696" s="14">
        <v>0.24756349999999999</v>
      </c>
      <c r="C7696" s="15">
        <v>0.1498777</v>
      </c>
    </row>
    <row r="7697" spans="1:3" x14ac:dyDescent="0.45">
      <c r="A7697" s="11">
        <v>93.68</v>
      </c>
      <c r="B7697" s="14">
        <v>0.247777</v>
      </c>
      <c r="C7697" s="15">
        <v>0.15002879999999999</v>
      </c>
    </row>
    <row r="7698" spans="1:3" x14ac:dyDescent="0.45">
      <c r="A7698" s="11">
        <v>93.69</v>
      </c>
      <c r="B7698" s="14">
        <v>0.24799060000000001</v>
      </c>
      <c r="C7698" s="15">
        <v>0.1501798</v>
      </c>
    </row>
    <row r="7699" spans="1:3" x14ac:dyDescent="0.45">
      <c r="A7699" s="11">
        <v>93.7</v>
      </c>
      <c r="B7699" s="14">
        <v>0.24820410000000001</v>
      </c>
      <c r="C7699" s="15">
        <v>0.15033089999999999</v>
      </c>
    </row>
    <row r="7700" spans="1:3" x14ac:dyDescent="0.45">
      <c r="A7700" s="11">
        <v>93.71</v>
      </c>
      <c r="B7700" s="14">
        <v>0.24841759999999999</v>
      </c>
      <c r="C7700" s="15">
        <v>0.150482</v>
      </c>
    </row>
    <row r="7701" spans="1:3" x14ac:dyDescent="0.45">
      <c r="A7701" s="11">
        <v>93.72</v>
      </c>
      <c r="B7701" s="14">
        <v>0.2486312</v>
      </c>
      <c r="C7701" s="15">
        <v>0.15063299999999999</v>
      </c>
    </row>
    <row r="7702" spans="1:3" x14ac:dyDescent="0.45">
      <c r="A7702" s="11">
        <v>93.73</v>
      </c>
      <c r="B7702" s="14">
        <v>0.2488447</v>
      </c>
      <c r="C7702" s="15">
        <v>0.1507841</v>
      </c>
    </row>
    <row r="7703" spans="1:3" x14ac:dyDescent="0.45">
      <c r="A7703" s="11">
        <v>93.74</v>
      </c>
      <c r="B7703" s="14">
        <v>0.24905820000000001</v>
      </c>
      <c r="C7703" s="15">
        <v>0.15093519999999999</v>
      </c>
    </row>
    <row r="7704" spans="1:3" x14ac:dyDescent="0.45">
      <c r="A7704" s="11">
        <v>93.75</v>
      </c>
      <c r="B7704" s="14">
        <v>0.24927179999999999</v>
      </c>
      <c r="C7704" s="15">
        <v>0.15108630000000001</v>
      </c>
    </row>
    <row r="7705" spans="1:3" x14ac:dyDescent="0.45">
      <c r="A7705" s="11">
        <v>93.76</v>
      </c>
      <c r="B7705" s="14">
        <v>0.24948529999999999</v>
      </c>
      <c r="C7705" s="15">
        <v>0.15123729999999999</v>
      </c>
    </row>
    <row r="7706" spans="1:3" x14ac:dyDescent="0.45">
      <c r="A7706" s="11">
        <v>93.77</v>
      </c>
      <c r="B7706" s="14">
        <v>0.2496988</v>
      </c>
      <c r="C7706" s="15">
        <v>0.15138840000000001</v>
      </c>
    </row>
    <row r="7707" spans="1:3" x14ac:dyDescent="0.45">
      <c r="A7707" s="11">
        <v>93.78</v>
      </c>
      <c r="B7707" s="14">
        <v>0.2499123</v>
      </c>
      <c r="C7707" s="15">
        <v>0.15153949999999999</v>
      </c>
    </row>
    <row r="7708" spans="1:3" x14ac:dyDescent="0.45">
      <c r="A7708" s="11">
        <v>93.79</v>
      </c>
      <c r="B7708" s="14">
        <v>0.25012590000000001</v>
      </c>
      <c r="C7708" s="15">
        <v>0.15169050000000001</v>
      </c>
    </row>
    <row r="7709" spans="1:3" x14ac:dyDescent="0.45">
      <c r="A7709" s="11">
        <v>93.8</v>
      </c>
      <c r="B7709" s="14">
        <v>0.25033939999999999</v>
      </c>
      <c r="C7709" s="15">
        <v>0.15184159999999999</v>
      </c>
    </row>
    <row r="7710" spans="1:3" x14ac:dyDescent="0.45">
      <c r="A7710" s="11">
        <v>93.81</v>
      </c>
      <c r="B7710" s="14">
        <v>0.25055290000000002</v>
      </c>
      <c r="C7710" s="15">
        <v>0.15199270000000001</v>
      </c>
    </row>
    <row r="7711" spans="1:3" x14ac:dyDescent="0.45">
      <c r="A7711" s="11">
        <v>93.82</v>
      </c>
      <c r="B7711" s="14">
        <v>0.2507665</v>
      </c>
      <c r="C7711" s="15">
        <v>0.15214369999999999</v>
      </c>
    </row>
    <row r="7712" spans="1:3" x14ac:dyDescent="0.45">
      <c r="A7712" s="11">
        <v>93.83</v>
      </c>
      <c r="B7712" s="14">
        <v>0.25097999999999998</v>
      </c>
      <c r="C7712" s="15">
        <v>0.15229480000000001</v>
      </c>
    </row>
    <row r="7713" spans="1:3" x14ac:dyDescent="0.45">
      <c r="A7713" s="11">
        <v>93.84</v>
      </c>
      <c r="B7713" s="14">
        <v>0.25119350000000001</v>
      </c>
      <c r="C7713" s="15">
        <v>0.1524459</v>
      </c>
    </row>
    <row r="7714" spans="1:3" x14ac:dyDescent="0.45">
      <c r="A7714" s="11">
        <v>93.85</v>
      </c>
      <c r="B7714" s="14">
        <v>0.25140699999999999</v>
      </c>
      <c r="C7714" s="15">
        <v>0.15259690000000001</v>
      </c>
    </row>
    <row r="7715" spans="1:3" x14ac:dyDescent="0.45">
      <c r="A7715" s="11">
        <v>93.86</v>
      </c>
      <c r="B7715" s="14">
        <v>0.25162060000000003</v>
      </c>
      <c r="C7715" s="15">
        <v>0.15274799999999999</v>
      </c>
    </row>
    <row r="7716" spans="1:3" x14ac:dyDescent="0.45">
      <c r="A7716" s="11">
        <v>93.87</v>
      </c>
      <c r="B7716" s="14">
        <v>0.25183410000000001</v>
      </c>
      <c r="C7716" s="15">
        <v>0.15289910000000001</v>
      </c>
    </row>
    <row r="7717" spans="1:3" x14ac:dyDescent="0.45">
      <c r="A7717" s="11">
        <v>93.88</v>
      </c>
      <c r="B7717" s="14">
        <v>0.25204759999999998</v>
      </c>
      <c r="C7717" s="15">
        <v>0.1530502</v>
      </c>
    </row>
    <row r="7718" spans="1:3" x14ac:dyDescent="0.45">
      <c r="A7718" s="11">
        <v>93.89</v>
      </c>
      <c r="B7718" s="14">
        <v>0.25226120000000002</v>
      </c>
      <c r="C7718" s="15">
        <v>0.15320120000000001</v>
      </c>
    </row>
    <row r="7719" spans="1:3" x14ac:dyDescent="0.45">
      <c r="A7719" s="11">
        <v>93.9</v>
      </c>
      <c r="B7719" s="14">
        <v>0.2524747</v>
      </c>
      <c r="C7719" s="15">
        <v>0.1533523</v>
      </c>
    </row>
    <row r="7720" spans="1:3" x14ac:dyDescent="0.45">
      <c r="A7720" s="11">
        <v>93.91</v>
      </c>
      <c r="B7720" s="14">
        <v>0.25268819999999997</v>
      </c>
      <c r="C7720" s="15">
        <v>0.15350340000000001</v>
      </c>
    </row>
    <row r="7721" spans="1:3" x14ac:dyDescent="0.45">
      <c r="A7721" s="11">
        <v>93.92</v>
      </c>
      <c r="B7721" s="14">
        <v>0.25290180000000001</v>
      </c>
      <c r="C7721" s="15">
        <v>0.1536544</v>
      </c>
    </row>
    <row r="7722" spans="1:3" x14ac:dyDescent="0.45">
      <c r="A7722" s="11">
        <v>93.93</v>
      </c>
      <c r="B7722" s="14">
        <v>0.25311529999999999</v>
      </c>
      <c r="C7722" s="15">
        <v>0.15380550000000001</v>
      </c>
    </row>
    <row r="7723" spans="1:3" x14ac:dyDescent="0.45">
      <c r="A7723" s="11">
        <v>93.94</v>
      </c>
      <c r="B7723" s="14">
        <v>0.25332880000000002</v>
      </c>
      <c r="C7723" s="15">
        <v>0.1539566</v>
      </c>
    </row>
    <row r="7724" spans="1:3" x14ac:dyDescent="0.45">
      <c r="A7724" s="11">
        <v>93.95</v>
      </c>
      <c r="B7724" s="14">
        <v>0.2535424</v>
      </c>
      <c r="C7724" s="15">
        <v>0.15410769999999999</v>
      </c>
    </row>
    <row r="7725" spans="1:3" x14ac:dyDescent="0.45">
      <c r="A7725" s="11">
        <v>93.96</v>
      </c>
      <c r="B7725" s="14">
        <v>0.25375589999999998</v>
      </c>
      <c r="C7725" s="15">
        <v>0.1542587</v>
      </c>
    </row>
    <row r="7726" spans="1:3" x14ac:dyDescent="0.45">
      <c r="A7726" s="11">
        <v>93.97</v>
      </c>
      <c r="B7726" s="14">
        <v>0.25396940000000001</v>
      </c>
      <c r="C7726" s="15">
        <v>0.15440980000000001</v>
      </c>
    </row>
    <row r="7727" spans="1:3" x14ac:dyDescent="0.45">
      <c r="A7727" s="11">
        <v>93.98</v>
      </c>
      <c r="B7727" s="14">
        <v>0.25418289999999999</v>
      </c>
      <c r="C7727" s="15">
        <v>0.1545609</v>
      </c>
    </row>
    <row r="7728" spans="1:3" x14ac:dyDescent="0.45">
      <c r="A7728" s="11">
        <v>93.99</v>
      </c>
      <c r="B7728" s="14">
        <v>0.25439650000000003</v>
      </c>
      <c r="C7728" s="15">
        <v>0.15471190000000001</v>
      </c>
    </row>
    <row r="7729" spans="1:3" x14ac:dyDescent="0.45">
      <c r="A7729" s="11">
        <v>94</v>
      </c>
      <c r="B7729" s="14">
        <v>0.25461</v>
      </c>
      <c r="C7729" s="15">
        <v>0.154863</v>
      </c>
    </row>
    <row r="7730" spans="1:3" x14ac:dyDescent="0.45">
      <c r="A7730" s="11">
        <v>94.01</v>
      </c>
      <c r="B7730" s="14">
        <v>0.25484040000000002</v>
      </c>
      <c r="C7730" s="15">
        <v>0.15503040000000001</v>
      </c>
    </row>
    <row r="7731" spans="1:3" x14ac:dyDescent="0.45">
      <c r="A7731" s="11">
        <v>94.02</v>
      </c>
      <c r="B7731" s="14">
        <v>0.25507069999999998</v>
      </c>
      <c r="C7731" s="15">
        <v>0.1551978</v>
      </c>
    </row>
    <row r="7732" spans="1:3" x14ac:dyDescent="0.45">
      <c r="A7732" s="11">
        <v>94.03</v>
      </c>
      <c r="B7732" s="14">
        <v>0.2553011</v>
      </c>
      <c r="C7732" s="15">
        <v>0.15536520000000001</v>
      </c>
    </row>
    <row r="7733" spans="1:3" x14ac:dyDescent="0.45">
      <c r="A7733" s="11">
        <v>94.04</v>
      </c>
      <c r="B7733" s="14">
        <v>0.25553140000000002</v>
      </c>
      <c r="C7733" s="15">
        <v>0.15553259999999999</v>
      </c>
    </row>
    <row r="7734" spans="1:3" x14ac:dyDescent="0.45">
      <c r="A7734" s="11">
        <v>94.05</v>
      </c>
      <c r="B7734" s="14">
        <v>0.25576169999999998</v>
      </c>
      <c r="C7734" s="15">
        <v>0.15570000000000001</v>
      </c>
    </row>
    <row r="7735" spans="1:3" x14ac:dyDescent="0.45">
      <c r="A7735" s="11">
        <v>94.06</v>
      </c>
      <c r="B7735" s="14">
        <v>0.2559921</v>
      </c>
      <c r="C7735" s="15">
        <v>0.15586749999999999</v>
      </c>
    </row>
    <row r="7736" spans="1:3" x14ac:dyDescent="0.45">
      <c r="A7736" s="11">
        <v>94.07</v>
      </c>
      <c r="B7736" s="14">
        <v>0.25622240000000002</v>
      </c>
      <c r="C7736" s="15">
        <v>0.1560349</v>
      </c>
    </row>
    <row r="7737" spans="1:3" x14ac:dyDescent="0.45">
      <c r="A7737" s="11">
        <v>94.08</v>
      </c>
      <c r="B7737" s="14">
        <v>0.25645279999999998</v>
      </c>
      <c r="C7737" s="15">
        <v>0.15620229999999999</v>
      </c>
    </row>
    <row r="7738" spans="1:3" x14ac:dyDescent="0.45">
      <c r="A7738" s="11">
        <v>94.09</v>
      </c>
      <c r="B7738" s="14">
        <v>0.2566832</v>
      </c>
      <c r="C7738" s="15">
        <v>0.1563697</v>
      </c>
    </row>
    <row r="7739" spans="1:3" x14ac:dyDescent="0.45">
      <c r="A7739" s="11">
        <v>94.1</v>
      </c>
      <c r="B7739" s="14">
        <v>0.25691350000000002</v>
      </c>
      <c r="C7739" s="15">
        <v>0.15653710000000001</v>
      </c>
    </row>
    <row r="7740" spans="1:3" x14ac:dyDescent="0.45">
      <c r="A7740" s="11">
        <v>94.11</v>
      </c>
      <c r="B7740" s="14">
        <v>0.25714379999999998</v>
      </c>
      <c r="C7740" s="15">
        <v>0.1567045</v>
      </c>
    </row>
    <row r="7741" spans="1:3" x14ac:dyDescent="0.45">
      <c r="A7741" s="11">
        <v>94.12</v>
      </c>
      <c r="B7741" s="14">
        <v>0.2573742</v>
      </c>
      <c r="C7741" s="15">
        <v>0.15687190000000001</v>
      </c>
    </row>
    <row r="7742" spans="1:3" x14ac:dyDescent="0.45">
      <c r="A7742" s="11">
        <v>94.13</v>
      </c>
      <c r="B7742" s="14">
        <v>0.25760450000000001</v>
      </c>
      <c r="C7742" s="15">
        <v>0.15703929999999999</v>
      </c>
    </row>
    <row r="7743" spans="1:3" x14ac:dyDescent="0.45">
      <c r="A7743" s="11">
        <v>94.14</v>
      </c>
      <c r="B7743" s="14">
        <v>0.25783489999999998</v>
      </c>
      <c r="C7743" s="15">
        <v>0.1572067</v>
      </c>
    </row>
    <row r="7744" spans="1:3" x14ac:dyDescent="0.45">
      <c r="A7744" s="11">
        <v>94.15</v>
      </c>
      <c r="B7744" s="14">
        <v>0.2580653</v>
      </c>
      <c r="C7744" s="15">
        <v>0.15737419999999999</v>
      </c>
    </row>
    <row r="7745" spans="1:3" x14ac:dyDescent="0.45">
      <c r="A7745" s="11">
        <v>94.16</v>
      </c>
      <c r="B7745" s="14">
        <v>0.25829560000000001</v>
      </c>
      <c r="C7745" s="15">
        <v>0.1575416</v>
      </c>
    </row>
    <row r="7746" spans="1:3" x14ac:dyDescent="0.45">
      <c r="A7746" s="11">
        <v>94.17</v>
      </c>
      <c r="B7746" s="14">
        <v>0.25852599999999998</v>
      </c>
      <c r="C7746" s="15">
        <v>0.15770899999999999</v>
      </c>
    </row>
    <row r="7747" spans="1:3" x14ac:dyDescent="0.45">
      <c r="A7747" s="11">
        <v>94.18</v>
      </c>
      <c r="B7747" s="14">
        <v>0.25875629999999999</v>
      </c>
      <c r="C7747" s="15">
        <v>0.1578764</v>
      </c>
    </row>
    <row r="7748" spans="1:3" x14ac:dyDescent="0.45">
      <c r="A7748" s="11">
        <v>94.19</v>
      </c>
      <c r="B7748" s="14">
        <v>0.25898660000000001</v>
      </c>
      <c r="C7748" s="15">
        <v>0.15804380000000001</v>
      </c>
    </row>
    <row r="7749" spans="1:3" x14ac:dyDescent="0.45">
      <c r="A7749" s="11">
        <v>94.2</v>
      </c>
      <c r="B7749" s="14">
        <v>0.25921699999999998</v>
      </c>
      <c r="C7749" s="15">
        <v>0.1582112</v>
      </c>
    </row>
    <row r="7750" spans="1:3" x14ac:dyDescent="0.45">
      <c r="A7750" s="11">
        <v>94.21</v>
      </c>
      <c r="B7750" s="14">
        <v>0.25944729999999999</v>
      </c>
      <c r="C7750" s="15">
        <v>0.15837860000000001</v>
      </c>
    </row>
    <row r="7751" spans="1:3" x14ac:dyDescent="0.45">
      <c r="A7751" s="11">
        <v>94.22</v>
      </c>
      <c r="B7751" s="14">
        <v>0.25967770000000001</v>
      </c>
      <c r="C7751" s="15">
        <v>0.15854599999999999</v>
      </c>
    </row>
    <row r="7752" spans="1:3" x14ac:dyDescent="0.45">
      <c r="A7752" s="11">
        <v>94.23</v>
      </c>
      <c r="B7752" s="14">
        <v>0.25990809999999998</v>
      </c>
      <c r="C7752" s="15">
        <v>0.1587134</v>
      </c>
    </row>
    <row r="7753" spans="1:3" x14ac:dyDescent="0.45">
      <c r="A7753" s="11">
        <v>94.24</v>
      </c>
      <c r="B7753" s="14">
        <v>0.26013839999999999</v>
      </c>
      <c r="C7753" s="15">
        <v>0.15888079999999999</v>
      </c>
    </row>
    <row r="7754" spans="1:3" x14ac:dyDescent="0.45">
      <c r="A7754" s="11">
        <v>94.25</v>
      </c>
      <c r="B7754" s="14">
        <v>0.26036870000000001</v>
      </c>
      <c r="C7754" s="15">
        <v>0.1590483</v>
      </c>
    </row>
    <row r="7755" spans="1:3" x14ac:dyDescent="0.45">
      <c r="A7755" s="11">
        <v>94.26</v>
      </c>
      <c r="B7755" s="14">
        <v>0.26059909999999997</v>
      </c>
      <c r="C7755" s="15">
        <v>0.15921569999999999</v>
      </c>
    </row>
    <row r="7756" spans="1:3" x14ac:dyDescent="0.45">
      <c r="A7756" s="11">
        <v>94.27</v>
      </c>
      <c r="B7756" s="14">
        <v>0.26082939999999999</v>
      </c>
      <c r="C7756" s="15">
        <v>0.1593831</v>
      </c>
    </row>
    <row r="7757" spans="1:3" x14ac:dyDescent="0.45">
      <c r="A7757" s="11">
        <v>94.28</v>
      </c>
      <c r="B7757" s="14">
        <v>0.26105980000000001</v>
      </c>
      <c r="C7757" s="15">
        <v>0.15955050000000001</v>
      </c>
    </row>
    <row r="7758" spans="1:3" x14ac:dyDescent="0.45">
      <c r="A7758" s="11">
        <v>94.29</v>
      </c>
      <c r="B7758" s="14">
        <v>0.26129019999999997</v>
      </c>
      <c r="C7758" s="15">
        <v>0.1597179</v>
      </c>
    </row>
    <row r="7759" spans="1:3" x14ac:dyDescent="0.45">
      <c r="A7759" s="11">
        <v>94.3</v>
      </c>
      <c r="B7759" s="14">
        <v>0.26152049999999999</v>
      </c>
      <c r="C7759" s="15">
        <v>0.15988530000000001</v>
      </c>
    </row>
    <row r="7760" spans="1:3" x14ac:dyDescent="0.45">
      <c r="A7760" s="11">
        <v>94.31</v>
      </c>
      <c r="B7760" s="14">
        <v>0.26175090000000001</v>
      </c>
      <c r="C7760" s="15">
        <v>0.16005269999999999</v>
      </c>
    </row>
    <row r="7761" spans="1:3" x14ac:dyDescent="0.45">
      <c r="A7761" s="11">
        <v>94.32</v>
      </c>
      <c r="B7761" s="14">
        <v>0.26198120000000003</v>
      </c>
      <c r="C7761" s="15">
        <v>0.1602201</v>
      </c>
    </row>
    <row r="7762" spans="1:3" x14ac:dyDescent="0.45">
      <c r="A7762" s="11">
        <v>94.33</v>
      </c>
      <c r="B7762" s="14">
        <v>0.26221149999999999</v>
      </c>
      <c r="C7762" s="15">
        <v>0.16038749999999999</v>
      </c>
    </row>
    <row r="7763" spans="1:3" x14ac:dyDescent="0.45">
      <c r="A7763" s="11">
        <v>94.34</v>
      </c>
      <c r="B7763" s="14">
        <v>0.26244190000000001</v>
      </c>
      <c r="C7763" s="15">
        <v>0.1605549</v>
      </c>
    </row>
    <row r="7764" spans="1:3" x14ac:dyDescent="0.45">
      <c r="A7764" s="11">
        <v>94.35</v>
      </c>
      <c r="B7764" s="14">
        <v>0.26267220000000002</v>
      </c>
      <c r="C7764" s="15">
        <v>0.16072230000000001</v>
      </c>
    </row>
    <row r="7765" spans="1:3" x14ac:dyDescent="0.45">
      <c r="A7765" s="11">
        <v>94.36</v>
      </c>
      <c r="B7765" s="14">
        <v>0.26290259999999999</v>
      </c>
      <c r="C7765" s="15">
        <v>0.1608898</v>
      </c>
    </row>
    <row r="7766" spans="1:3" x14ac:dyDescent="0.45">
      <c r="A7766" s="11">
        <v>94.37</v>
      </c>
      <c r="B7766" s="14">
        <v>0.26313300000000001</v>
      </c>
      <c r="C7766" s="15">
        <v>0.16105720000000001</v>
      </c>
    </row>
    <row r="7767" spans="1:3" x14ac:dyDescent="0.45">
      <c r="A7767" s="11">
        <v>94.38</v>
      </c>
      <c r="B7767" s="14">
        <v>0.26336330000000002</v>
      </c>
      <c r="C7767" s="15">
        <v>0.1612246</v>
      </c>
    </row>
    <row r="7768" spans="1:3" x14ac:dyDescent="0.45">
      <c r="A7768" s="11">
        <v>94.39</v>
      </c>
      <c r="B7768" s="14">
        <v>0.26359369999999999</v>
      </c>
      <c r="C7768" s="15">
        <v>0.16139200000000001</v>
      </c>
    </row>
    <row r="7769" spans="1:3" x14ac:dyDescent="0.45">
      <c r="A7769" s="11">
        <v>94.4</v>
      </c>
      <c r="B7769" s="14">
        <v>0.263824</v>
      </c>
      <c r="C7769" s="15">
        <v>0.16155939999999999</v>
      </c>
    </row>
    <row r="7770" spans="1:3" x14ac:dyDescent="0.45">
      <c r="A7770" s="11">
        <v>94.41</v>
      </c>
      <c r="B7770" s="14">
        <v>0.26405430000000002</v>
      </c>
      <c r="C7770" s="15">
        <v>0.1617268</v>
      </c>
    </row>
    <row r="7771" spans="1:3" x14ac:dyDescent="0.45">
      <c r="A7771" s="11">
        <v>94.42</v>
      </c>
      <c r="B7771" s="14">
        <v>0.26428469999999998</v>
      </c>
      <c r="C7771" s="15">
        <v>0.16189419999999999</v>
      </c>
    </row>
    <row r="7772" spans="1:3" x14ac:dyDescent="0.45">
      <c r="A7772" s="11">
        <v>94.43</v>
      </c>
      <c r="B7772" s="14">
        <v>0.2645151</v>
      </c>
      <c r="C7772" s="15">
        <v>0.1620616</v>
      </c>
    </row>
    <row r="7773" spans="1:3" x14ac:dyDescent="0.45">
      <c r="A7773" s="11">
        <v>94.44</v>
      </c>
      <c r="B7773" s="14">
        <v>0.26474540000000002</v>
      </c>
      <c r="C7773" s="15">
        <v>0.16222900000000001</v>
      </c>
    </row>
    <row r="7774" spans="1:3" x14ac:dyDescent="0.45">
      <c r="A7774" s="11">
        <v>94.45</v>
      </c>
      <c r="B7774" s="14">
        <v>0.26497579999999998</v>
      </c>
      <c r="C7774" s="15">
        <v>0.1623965</v>
      </c>
    </row>
    <row r="7775" spans="1:3" x14ac:dyDescent="0.45">
      <c r="A7775" s="11">
        <v>94.46</v>
      </c>
      <c r="B7775" s="14">
        <v>0.2652061</v>
      </c>
      <c r="C7775" s="15">
        <v>0.16256390000000001</v>
      </c>
    </row>
    <row r="7776" spans="1:3" x14ac:dyDescent="0.45">
      <c r="A7776" s="11">
        <v>94.47</v>
      </c>
      <c r="B7776" s="14">
        <v>0.26543640000000002</v>
      </c>
      <c r="C7776" s="15">
        <v>0.1627313</v>
      </c>
    </row>
    <row r="7777" spans="1:3" x14ac:dyDescent="0.45">
      <c r="A7777" s="11">
        <v>94.48</v>
      </c>
      <c r="B7777" s="14">
        <v>0.26566679999999998</v>
      </c>
      <c r="C7777" s="15">
        <v>0.16289870000000001</v>
      </c>
    </row>
    <row r="7778" spans="1:3" x14ac:dyDescent="0.45">
      <c r="A7778" s="11">
        <v>94.49</v>
      </c>
      <c r="B7778" s="14">
        <v>0.2658971</v>
      </c>
      <c r="C7778" s="15">
        <v>0.16306609999999999</v>
      </c>
    </row>
    <row r="7779" spans="1:3" x14ac:dyDescent="0.45">
      <c r="A7779" s="11">
        <v>94.5</v>
      </c>
      <c r="B7779" s="14">
        <v>0.26612750000000002</v>
      </c>
      <c r="C7779" s="15">
        <v>0.1632335</v>
      </c>
    </row>
    <row r="7780" spans="1:3" x14ac:dyDescent="0.45">
      <c r="A7780" s="11">
        <v>94.51</v>
      </c>
      <c r="B7780" s="14">
        <v>0.26635789999999998</v>
      </c>
      <c r="C7780" s="15">
        <v>0.16340089999999999</v>
      </c>
    </row>
    <row r="7781" spans="1:3" x14ac:dyDescent="0.45">
      <c r="A7781" s="11">
        <v>94.52</v>
      </c>
      <c r="B7781" s="14">
        <v>0.2665882</v>
      </c>
      <c r="C7781" s="15">
        <v>0.1635683</v>
      </c>
    </row>
    <row r="7782" spans="1:3" x14ac:dyDescent="0.45">
      <c r="A7782" s="11">
        <v>94.53</v>
      </c>
      <c r="B7782" s="14">
        <v>0.26681850000000001</v>
      </c>
      <c r="C7782" s="15">
        <v>0.16373570000000001</v>
      </c>
    </row>
    <row r="7783" spans="1:3" x14ac:dyDescent="0.45">
      <c r="A7783" s="11">
        <v>94.54</v>
      </c>
      <c r="B7783" s="14">
        <v>0.26704889999999998</v>
      </c>
      <c r="C7783" s="15">
        <v>0.1639031</v>
      </c>
    </row>
    <row r="7784" spans="1:3" x14ac:dyDescent="0.45">
      <c r="A7784" s="11">
        <v>94.55</v>
      </c>
      <c r="B7784" s="14">
        <v>0.26727919999999999</v>
      </c>
      <c r="C7784" s="15">
        <v>0.16407050000000001</v>
      </c>
    </row>
    <row r="7785" spans="1:3" x14ac:dyDescent="0.45">
      <c r="A7785" s="11">
        <v>94.56</v>
      </c>
      <c r="B7785" s="14">
        <v>0.26750960000000001</v>
      </c>
      <c r="C7785" s="15">
        <v>0.164238</v>
      </c>
    </row>
    <row r="7786" spans="1:3" x14ac:dyDescent="0.45">
      <c r="A7786" s="11">
        <v>94.57</v>
      </c>
      <c r="B7786" s="14">
        <v>0.26773989999999998</v>
      </c>
      <c r="C7786" s="15">
        <v>0.16440540000000001</v>
      </c>
    </row>
    <row r="7787" spans="1:3" x14ac:dyDescent="0.45">
      <c r="A7787" s="11">
        <v>94.58</v>
      </c>
      <c r="B7787" s="14">
        <v>0.26797029999999999</v>
      </c>
      <c r="C7787" s="15">
        <v>0.16457279999999999</v>
      </c>
    </row>
    <row r="7788" spans="1:3" x14ac:dyDescent="0.45">
      <c r="A7788" s="11">
        <v>94.59</v>
      </c>
      <c r="B7788" s="14">
        <v>0.26820070000000001</v>
      </c>
      <c r="C7788" s="15">
        <v>0.1647402</v>
      </c>
    </row>
    <row r="7789" spans="1:3" x14ac:dyDescent="0.45">
      <c r="A7789" s="11">
        <v>94.6</v>
      </c>
      <c r="B7789" s="14">
        <v>0.26843099999999998</v>
      </c>
      <c r="C7789" s="15">
        <v>0.16490759999999999</v>
      </c>
    </row>
    <row r="7790" spans="1:3" x14ac:dyDescent="0.45">
      <c r="A7790" s="11">
        <v>94.61</v>
      </c>
      <c r="B7790" s="14">
        <v>0.26866129999999999</v>
      </c>
      <c r="C7790" s="15">
        <v>0.165075</v>
      </c>
    </row>
    <row r="7791" spans="1:3" x14ac:dyDescent="0.45">
      <c r="A7791" s="11">
        <v>94.62</v>
      </c>
      <c r="B7791" s="14">
        <v>0.26889170000000001</v>
      </c>
      <c r="C7791" s="15">
        <v>0.16524240000000001</v>
      </c>
    </row>
    <row r="7792" spans="1:3" x14ac:dyDescent="0.45">
      <c r="A7792" s="11">
        <v>94.63</v>
      </c>
      <c r="B7792" s="14">
        <v>0.26912199999999997</v>
      </c>
      <c r="C7792" s="15">
        <v>0.1654098</v>
      </c>
    </row>
    <row r="7793" spans="1:3" x14ac:dyDescent="0.45">
      <c r="A7793" s="11">
        <v>94.64</v>
      </c>
      <c r="B7793" s="14">
        <v>0.26935239999999999</v>
      </c>
      <c r="C7793" s="15">
        <v>0.16557720000000001</v>
      </c>
    </row>
    <row r="7794" spans="1:3" x14ac:dyDescent="0.45">
      <c r="A7794" s="11">
        <v>94.65</v>
      </c>
      <c r="B7794" s="14">
        <v>0.26958280000000001</v>
      </c>
      <c r="C7794" s="15">
        <v>0.16574469999999999</v>
      </c>
    </row>
    <row r="7795" spans="1:3" x14ac:dyDescent="0.45">
      <c r="A7795" s="11">
        <v>94.66</v>
      </c>
      <c r="B7795" s="14">
        <v>0.26981309999999997</v>
      </c>
      <c r="C7795" s="15">
        <v>0.16591210000000001</v>
      </c>
    </row>
    <row r="7796" spans="1:3" x14ac:dyDescent="0.45">
      <c r="A7796" s="11">
        <v>94.67</v>
      </c>
      <c r="B7796" s="14">
        <v>0.27004349999999999</v>
      </c>
      <c r="C7796" s="15">
        <v>0.16607949999999999</v>
      </c>
    </row>
    <row r="7797" spans="1:3" x14ac:dyDescent="0.45">
      <c r="A7797" s="11">
        <v>94.68</v>
      </c>
      <c r="B7797" s="14">
        <v>0.27027380000000001</v>
      </c>
      <c r="C7797" s="15">
        <v>0.1662469</v>
      </c>
    </row>
    <row r="7798" spans="1:3" x14ac:dyDescent="0.45">
      <c r="A7798" s="11">
        <v>94.69</v>
      </c>
      <c r="B7798" s="14">
        <v>0.27050410000000003</v>
      </c>
      <c r="C7798" s="15">
        <v>0.16641429999999999</v>
      </c>
    </row>
    <row r="7799" spans="1:3" x14ac:dyDescent="0.45">
      <c r="A7799" s="11">
        <v>94.7</v>
      </c>
      <c r="B7799" s="14">
        <v>0.27073449999999999</v>
      </c>
      <c r="C7799" s="15">
        <v>0.1665817</v>
      </c>
    </row>
    <row r="7800" spans="1:3" x14ac:dyDescent="0.45">
      <c r="A7800" s="11">
        <v>94.71</v>
      </c>
      <c r="B7800" s="14">
        <v>0.27096480000000001</v>
      </c>
      <c r="C7800" s="15">
        <v>0.16674910000000001</v>
      </c>
    </row>
    <row r="7801" spans="1:3" x14ac:dyDescent="0.45">
      <c r="A7801" s="11">
        <v>94.72</v>
      </c>
      <c r="B7801" s="14">
        <v>0.27119520000000003</v>
      </c>
      <c r="C7801" s="15">
        <v>0.1669165</v>
      </c>
    </row>
    <row r="7802" spans="1:3" x14ac:dyDescent="0.45">
      <c r="A7802" s="11">
        <v>94.73</v>
      </c>
      <c r="B7802" s="14">
        <v>0.27142559999999999</v>
      </c>
      <c r="C7802" s="15">
        <v>0.16708390000000001</v>
      </c>
    </row>
    <row r="7803" spans="1:3" x14ac:dyDescent="0.45">
      <c r="A7803" s="11">
        <v>94.74</v>
      </c>
      <c r="B7803" s="14">
        <v>0.27165590000000001</v>
      </c>
      <c r="C7803" s="15">
        <v>0.16725129999999999</v>
      </c>
    </row>
    <row r="7804" spans="1:3" x14ac:dyDescent="0.45">
      <c r="A7804" s="11">
        <v>94.75</v>
      </c>
      <c r="B7804" s="14">
        <v>0.27188630000000003</v>
      </c>
      <c r="C7804" s="15">
        <v>0.16741880000000001</v>
      </c>
    </row>
    <row r="7805" spans="1:3" x14ac:dyDescent="0.45">
      <c r="A7805" s="11">
        <v>94.76</v>
      </c>
      <c r="B7805" s="14">
        <v>0.27211659999999999</v>
      </c>
      <c r="C7805" s="15">
        <v>0.16758619999999999</v>
      </c>
    </row>
    <row r="7806" spans="1:3" x14ac:dyDescent="0.45">
      <c r="A7806" s="11">
        <v>94.77</v>
      </c>
      <c r="B7806" s="14">
        <v>0.2723469</v>
      </c>
      <c r="C7806" s="15">
        <v>0.1677536</v>
      </c>
    </row>
    <row r="7807" spans="1:3" x14ac:dyDescent="0.45">
      <c r="A7807" s="11">
        <v>94.78</v>
      </c>
      <c r="B7807" s="14">
        <v>0.27257730000000002</v>
      </c>
      <c r="C7807" s="15">
        <v>0.16792099999999999</v>
      </c>
    </row>
    <row r="7808" spans="1:3" x14ac:dyDescent="0.45">
      <c r="A7808" s="11">
        <v>94.79</v>
      </c>
      <c r="B7808" s="14">
        <v>0.27280769999999999</v>
      </c>
      <c r="C7808" s="15">
        <v>0.1680884</v>
      </c>
    </row>
    <row r="7809" spans="1:3" x14ac:dyDescent="0.45">
      <c r="A7809" s="11">
        <v>94.8</v>
      </c>
      <c r="B7809" s="14">
        <v>0.273038</v>
      </c>
      <c r="C7809" s="15">
        <v>0.16825580000000001</v>
      </c>
    </row>
    <row r="7810" spans="1:3" x14ac:dyDescent="0.45">
      <c r="A7810" s="11">
        <v>94.81</v>
      </c>
      <c r="B7810" s="14">
        <v>0.27326840000000002</v>
      </c>
      <c r="C7810" s="15">
        <v>0.1684232</v>
      </c>
    </row>
    <row r="7811" spans="1:3" x14ac:dyDescent="0.45">
      <c r="A7811" s="11">
        <v>94.82</v>
      </c>
      <c r="B7811" s="14">
        <v>0.27349869999999998</v>
      </c>
      <c r="C7811" s="15">
        <v>0.16859060000000001</v>
      </c>
    </row>
    <row r="7812" spans="1:3" x14ac:dyDescent="0.45">
      <c r="A7812" s="11">
        <v>94.83</v>
      </c>
      <c r="B7812" s="14">
        <v>0.273729</v>
      </c>
      <c r="C7812" s="15">
        <v>0.16875799999999999</v>
      </c>
    </row>
    <row r="7813" spans="1:3" x14ac:dyDescent="0.45">
      <c r="A7813" s="11">
        <v>94.84</v>
      </c>
      <c r="B7813" s="14">
        <v>0.27395940000000002</v>
      </c>
      <c r="C7813" s="15">
        <v>0.1689254</v>
      </c>
    </row>
    <row r="7814" spans="1:3" x14ac:dyDescent="0.45">
      <c r="A7814" s="11">
        <v>94.85</v>
      </c>
      <c r="B7814" s="14">
        <v>0.27418969999999998</v>
      </c>
      <c r="C7814" s="15">
        <v>0.16909279999999999</v>
      </c>
    </row>
    <row r="7815" spans="1:3" x14ac:dyDescent="0.45">
      <c r="A7815" s="11">
        <v>94.86</v>
      </c>
      <c r="B7815" s="14">
        <v>0.2744201</v>
      </c>
      <c r="C7815" s="15">
        <v>0.1692603</v>
      </c>
    </row>
    <row r="7816" spans="1:3" x14ac:dyDescent="0.45">
      <c r="A7816" s="11">
        <v>94.87</v>
      </c>
      <c r="B7816" s="14">
        <v>0.27465050000000002</v>
      </c>
      <c r="C7816" s="15">
        <v>0.16942769999999999</v>
      </c>
    </row>
    <row r="7817" spans="1:3" x14ac:dyDescent="0.45">
      <c r="A7817" s="11">
        <v>94.88</v>
      </c>
      <c r="B7817" s="14">
        <v>0.27488079999999998</v>
      </c>
      <c r="C7817" s="15">
        <v>0.1695951</v>
      </c>
    </row>
    <row r="7818" spans="1:3" x14ac:dyDescent="0.45">
      <c r="A7818" s="11">
        <v>94.89</v>
      </c>
      <c r="B7818" s="14">
        <v>0.2751111</v>
      </c>
      <c r="C7818" s="15">
        <v>0.16976250000000001</v>
      </c>
    </row>
    <row r="7819" spans="1:3" x14ac:dyDescent="0.45">
      <c r="A7819" s="11">
        <v>94.9</v>
      </c>
      <c r="B7819" s="14">
        <v>0.27534150000000002</v>
      </c>
      <c r="C7819" s="15">
        <v>0.16992989999999999</v>
      </c>
    </row>
    <row r="7820" spans="1:3" x14ac:dyDescent="0.45">
      <c r="A7820" s="11">
        <v>94.91</v>
      </c>
      <c r="B7820" s="14">
        <v>0.27557179999999998</v>
      </c>
      <c r="C7820" s="15">
        <v>0.17009730000000001</v>
      </c>
    </row>
    <row r="7821" spans="1:3" x14ac:dyDescent="0.45">
      <c r="A7821" s="11">
        <v>94.92</v>
      </c>
      <c r="B7821" s="14">
        <v>0.2758022</v>
      </c>
      <c r="C7821" s="15">
        <v>0.17026469999999999</v>
      </c>
    </row>
    <row r="7822" spans="1:3" x14ac:dyDescent="0.45">
      <c r="A7822" s="11">
        <v>94.93</v>
      </c>
      <c r="B7822" s="14">
        <v>0.27603260000000002</v>
      </c>
      <c r="C7822" s="15">
        <v>0.1704321</v>
      </c>
    </row>
    <row r="7823" spans="1:3" x14ac:dyDescent="0.45">
      <c r="A7823" s="11">
        <v>94.94</v>
      </c>
      <c r="B7823" s="14">
        <v>0.27626289999999998</v>
      </c>
      <c r="C7823" s="15">
        <v>0.17059949999999999</v>
      </c>
    </row>
    <row r="7824" spans="1:3" x14ac:dyDescent="0.45">
      <c r="A7824" s="11">
        <v>94.95</v>
      </c>
      <c r="B7824" s="14">
        <v>0.2764933</v>
      </c>
      <c r="C7824" s="15">
        <v>0.170767</v>
      </c>
    </row>
    <row r="7825" spans="1:3" x14ac:dyDescent="0.45">
      <c r="A7825" s="11">
        <v>94.96</v>
      </c>
      <c r="B7825" s="14">
        <v>0.27672360000000001</v>
      </c>
      <c r="C7825" s="15">
        <v>0.17093439999999999</v>
      </c>
    </row>
    <row r="7826" spans="1:3" x14ac:dyDescent="0.45">
      <c r="A7826" s="11">
        <v>94.97</v>
      </c>
      <c r="B7826" s="14">
        <v>0.27695389999999998</v>
      </c>
      <c r="C7826" s="15">
        <v>0.1711018</v>
      </c>
    </row>
    <row r="7827" spans="1:3" x14ac:dyDescent="0.45">
      <c r="A7827" s="11">
        <v>94.98</v>
      </c>
      <c r="B7827" s="14">
        <v>0.27718429999999999</v>
      </c>
      <c r="C7827" s="15">
        <v>0.17126920000000001</v>
      </c>
    </row>
    <row r="7828" spans="1:3" x14ac:dyDescent="0.45">
      <c r="A7828" s="11">
        <v>94.99</v>
      </c>
      <c r="B7828" s="14">
        <v>0.27741460000000001</v>
      </c>
      <c r="C7828" s="15">
        <v>0.17143659999999999</v>
      </c>
    </row>
    <row r="7829" spans="1:3" x14ac:dyDescent="0.45">
      <c r="A7829" s="11">
        <v>95</v>
      </c>
      <c r="B7829" s="14">
        <v>0.27764499999999998</v>
      </c>
      <c r="C7829" s="15">
        <v>0.17160400000000001</v>
      </c>
    </row>
    <row r="7830" spans="1:3" x14ac:dyDescent="0.45">
      <c r="A7830" s="11">
        <v>95.01</v>
      </c>
      <c r="B7830" s="14">
        <v>0.27789320000000001</v>
      </c>
      <c r="C7830" s="15">
        <v>0.17178950000000001</v>
      </c>
    </row>
    <row r="7831" spans="1:3" x14ac:dyDescent="0.45">
      <c r="A7831" s="11">
        <v>95.02</v>
      </c>
      <c r="B7831" s="14">
        <v>0.27814129999999998</v>
      </c>
      <c r="C7831" s="15">
        <v>0.17197499999999999</v>
      </c>
    </row>
    <row r="7832" spans="1:3" x14ac:dyDescent="0.45">
      <c r="A7832" s="11">
        <v>95.03</v>
      </c>
      <c r="B7832" s="14">
        <v>0.27838950000000001</v>
      </c>
      <c r="C7832" s="15">
        <v>0.17216049999999999</v>
      </c>
    </row>
    <row r="7833" spans="1:3" x14ac:dyDescent="0.45">
      <c r="A7833" s="11">
        <v>95.04</v>
      </c>
      <c r="B7833" s="14">
        <v>0.27863769999999999</v>
      </c>
      <c r="C7833" s="15">
        <v>0.172346</v>
      </c>
    </row>
    <row r="7834" spans="1:3" x14ac:dyDescent="0.45">
      <c r="A7834" s="11">
        <v>95.05</v>
      </c>
      <c r="B7834" s="14">
        <v>0.27888580000000002</v>
      </c>
      <c r="C7834" s="15">
        <v>0.1725315</v>
      </c>
    </row>
    <row r="7835" spans="1:3" x14ac:dyDescent="0.45">
      <c r="A7835" s="11">
        <v>95.06</v>
      </c>
      <c r="B7835" s="14">
        <v>0.27913399999999999</v>
      </c>
      <c r="C7835" s="15">
        <v>0.17271710000000001</v>
      </c>
    </row>
    <row r="7836" spans="1:3" x14ac:dyDescent="0.45">
      <c r="A7836" s="11">
        <v>95.07</v>
      </c>
      <c r="B7836" s="14">
        <v>0.27938220000000002</v>
      </c>
      <c r="C7836" s="15">
        <v>0.17290259999999999</v>
      </c>
    </row>
    <row r="7837" spans="1:3" x14ac:dyDescent="0.45">
      <c r="A7837" s="11">
        <v>95.08</v>
      </c>
      <c r="B7837" s="14">
        <v>0.2796304</v>
      </c>
      <c r="C7837" s="15">
        <v>0.17308809999999999</v>
      </c>
    </row>
    <row r="7838" spans="1:3" x14ac:dyDescent="0.45">
      <c r="A7838" s="11">
        <v>95.09</v>
      </c>
      <c r="B7838" s="14">
        <v>0.27987849999999997</v>
      </c>
      <c r="C7838" s="15">
        <v>0.1732736</v>
      </c>
    </row>
    <row r="7839" spans="1:3" x14ac:dyDescent="0.45">
      <c r="A7839" s="11">
        <v>95.1</v>
      </c>
      <c r="B7839" s="14">
        <v>0.28012670000000001</v>
      </c>
      <c r="C7839" s="15">
        <v>0.1734591</v>
      </c>
    </row>
    <row r="7840" spans="1:3" x14ac:dyDescent="0.45">
      <c r="A7840" s="11">
        <v>95.11</v>
      </c>
      <c r="B7840" s="14">
        <v>0.28037489999999998</v>
      </c>
      <c r="C7840" s="15">
        <v>0.17364460000000001</v>
      </c>
    </row>
    <row r="7841" spans="1:3" x14ac:dyDescent="0.45">
      <c r="A7841" s="11">
        <v>95.12</v>
      </c>
      <c r="B7841" s="14">
        <v>0.28062300000000001</v>
      </c>
      <c r="C7841" s="15">
        <v>0.17383009999999999</v>
      </c>
    </row>
    <row r="7842" spans="1:3" x14ac:dyDescent="0.45">
      <c r="A7842" s="11">
        <v>95.13</v>
      </c>
      <c r="B7842" s="14">
        <v>0.28087119999999999</v>
      </c>
      <c r="C7842" s="15">
        <v>0.17401559999999999</v>
      </c>
    </row>
    <row r="7843" spans="1:3" x14ac:dyDescent="0.45">
      <c r="A7843" s="11">
        <v>95.14</v>
      </c>
      <c r="B7843" s="14">
        <v>0.28111940000000002</v>
      </c>
      <c r="C7843" s="15">
        <v>0.1742011</v>
      </c>
    </row>
    <row r="7844" spans="1:3" x14ac:dyDescent="0.45">
      <c r="A7844" s="11">
        <v>95.15</v>
      </c>
      <c r="B7844" s="14">
        <v>0.2813676</v>
      </c>
      <c r="C7844" s="15">
        <v>0.17438670000000001</v>
      </c>
    </row>
    <row r="7845" spans="1:3" x14ac:dyDescent="0.45">
      <c r="A7845" s="11">
        <v>95.16</v>
      </c>
      <c r="B7845" s="14">
        <v>0.28161570000000002</v>
      </c>
      <c r="C7845" s="15">
        <v>0.17457220000000001</v>
      </c>
    </row>
    <row r="7846" spans="1:3" x14ac:dyDescent="0.45">
      <c r="A7846" s="11">
        <v>95.17</v>
      </c>
      <c r="B7846" s="14">
        <v>0.2818639</v>
      </c>
      <c r="C7846" s="15">
        <v>0.17475769999999999</v>
      </c>
    </row>
    <row r="7847" spans="1:3" x14ac:dyDescent="0.45">
      <c r="A7847" s="11">
        <v>95.18</v>
      </c>
      <c r="B7847" s="14">
        <v>0.28211209999999998</v>
      </c>
      <c r="C7847" s="15">
        <v>0.17494319999999999</v>
      </c>
    </row>
    <row r="7848" spans="1:3" x14ac:dyDescent="0.45">
      <c r="A7848" s="11">
        <v>95.19</v>
      </c>
      <c r="B7848" s="14">
        <v>0.28236020000000001</v>
      </c>
      <c r="C7848" s="15">
        <v>0.1751287</v>
      </c>
    </row>
    <row r="7849" spans="1:3" x14ac:dyDescent="0.45">
      <c r="A7849" s="11">
        <v>95.2</v>
      </c>
      <c r="B7849" s="14">
        <v>0.28260839999999998</v>
      </c>
      <c r="C7849" s="15">
        <v>0.1753142</v>
      </c>
    </row>
    <row r="7850" spans="1:3" x14ac:dyDescent="0.45">
      <c r="A7850" s="11">
        <v>95.21</v>
      </c>
      <c r="B7850" s="14">
        <v>0.28285660000000001</v>
      </c>
      <c r="C7850" s="15">
        <v>0.17549970000000001</v>
      </c>
    </row>
    <row r="7851" spans="1:3" x14ac:dyDescent="0.45">
      <c r="A7851" s="11">
        <v>95.22</v>
      </c>
      <c r="B7851" s="14">
        <v>0.28310469999999999</v>
      </c>
      <c r="C7851" s="15">
        <v>0.17568520000000001</v>
      </c>
    </row>
    <row r="7852" spans="1:3" x14ac:dyDescent="0.45">
      <c r="A7852" s="11">
        <v>95.23</v>
      </c>
      <c r="B7852" s="14">
        <v>0.28335290000000002</v>
      </c>
      <c r="C7852" s="15">
        <v>0.17587069999999999</v>
      </c>
    </row>
    <row r="7853" spans="1:3" x14ac:dyDescent="0.45">
      <c r="A7853" s="11">
        <v>95.24</v>
      </c>
      <c r="B7853" s="14">
        <v>0.28360109999999999</v>
      </c>
      <c r="C7853" s="15">
        <v>0.1760562</v>
      </c>
    </row>
    <row r="7854" spans="1:3" x14ac:dyDescent="0.45">
      <c r="A7854" s="11">
        <v>95.25</v>
      </c>
      <c r="B7854" s="14">
        <v>0.28384930000000003</v>
      </c>
      <c r="C7854" s="15">
        <v>0.1762418</v>
      </c>
    </row>
    <row r="7855" spans="1:3" x14ac:dyDescent="0.45">
      <c r="A7855" s="11">
        <v>95.26</v>
      </c>
      <c r="B7855" s="14">
        <v>0.2840974</v>
      </c>
      <c r="C7855" s="15">
        <v>0.17642730000000001</v>
      </c>
    </row>
    <row r="7856" spans="1:3" x14ac:dyDescent="0.45">
      <c r="A7856" s="11">
        <v>95.27</v>
      </c>
      <c r="B7856" s="14">
        <v>0.28434559999999998</v>
      </c>
      <c r="C7856" s="15">
        <v>0.17661279999999999</v>
      </c>
    </row>
    <row r="7857" spans="1:3" x14ac:dyDescent="0.45">
      <c r="A7857" s="11">
        <v>95.28</v>
      </c>
      <c r="B7857" s="14">
        <v>0.28459380000000001</v>
      </c>
      <c r="C7857" s="15">
        <v>0.17679829999999999</v>
      </c>
    </row>
    <row r="7858" spans="1:3" x14ac:dyDescent="0.45">
      <c r="A7858" s="11">
        <v>95.29</v>
      </c>
      <c r="B7858" s="14">
        <v>0.28484189999999998</v>
      </c>
      <c r="C7858" s="15">
        <v>0.1769838</v>
      </c>
    </row>
    <row r="7859" spans="1:3" x14ac:dyDescent="0.45">
      <c r="A7859" s="11">
        <v>95.3</v>
      </c>
      <c r="B7859" s="14">
        <v>0.28509010000000001</v>
      </c>
      <c r="C7859" s="15">
        <v>0.1771693</v>
      </c>
    </row>
    <row r="7860" spans="1:3" x14ac:dyDescent="0.45">
      <c r="A7860" s="11">
        <v>95.31</v>
      </c>
      <c r="B7860" s="14">
        <v>0.28533829999999999</v>
      </c>
      <c r="C7860" s="15">
        <v>0.17735480000000001</v>
      </c>
    </row>
    <row r="7861" spans="1:3" x14ac:dyDescent="0.45">
      <c r="A7861" s="11">
        <v>95.32</v>
      </c>
      <c r="B7861" s="14">
        <v>0.28558640000000002</v>
      </c>
      <c r="C7861" s="15">
        <v>0.17754030000000001</v>
      </c>
    </row>
    <row r="7862" spans="1:3" x14ac:dyDescent="0.45">
      <c r="A7862" s="11">
        <v>95.33</v>
      </c>
      <c r="B7862" s="14">
        <v>0.28583459999999999</v>
      </c>
      <c r="C7862" s="15">
        <v>0.17772579999999999</v>
      </c>
    </row>
    <row r="7863" spans="1:3" x14ac:dyDescent="0.45">
      <c r="A7863" s="11">
        <v>95.34</v>
      </c>
      <c r="B7863" s="14">
        <v>0.28608280000000003</v>
      </c>
      <c r="C7863" s="15">
        <v>0.17791129999999999</v>
      </c>
    </row>
    <row r="7864" spans="1:3" x14ac:dyDescent="0.45">
      <c r="A7864" s="11">
        <v>95.35</v>
      </c>
      <c r="B7864" s="14">
        <v>0.2863309</v>
      </c>
      <c r="C7864" s="15">
        <v>0.1780968</v>
      </c>
    </row>
    <row r="7865" spans="1:3" x14ac:dyDescent="0.45">
      <c r="A7865" s="11">
        <v>95.36</v>
      </c>
      <c r="B7865" s="14">
        <v>0.28657909999999998</v>
      </c>
      <c r="C7865" s="15">
        <v>0.17828240000000001</v>
      </c>
    </row>
    <row r="7866" spans="1:3" x14ac:dyDescent="0.45">
      <c r="A7866" s="11">
        <v>95.37</v>
      </c>
      <c r="B7866" s="14">
        <v>0.28682730000000001</v>
      </c>
      <c r="C7866" s="15">
        <v>0.17846790000000001</v>
      </c>
    </row>
    <row r="7867" spans="1:3" x14ac:dyDescent="0.45">
      <c r="A7867" s="11">
        <v>95.38</v>
      </c>
      <c r="B7867" s="14">
        <v>0.28707549999999998</v>
      </c>
      <c r="C7867" s="15">
        <v>0.17865339999999999</v>
      </c>
    </row>
    <row r="7868" spans="1:3" x14ac:dyDescent="0.45">
      <c r="A7868" s="11">
        <v>95.39</v>
      </c>
      <c r="B7868" s="14">
        <v>0.28732360000000001</v>
      </c>
      <c r="C7868" s="15">
        <v>0.1788389</v>
      </c>
    </row>
    <row r="7869" spans="1:3" x14ac:dyDescent="0.45">
      <c r="A7869" s="11">
        <v>95.4</v>
      </c>
      <c r="B7869" s="14">
        <v>0.28757179999999999</v>
      </c>
      <c r="C7869" s="15">
        <v>0.1790244</v>
      </c>
    </row>
    <row r="7870" spans="1:3" x14ac:dyDescent="0.45">
      <c r="A7870" s="11">
        <v>95.41</v>
      </c>
      <c r="B7870" s="14">
        <v>0.28782000000000002</v>
      </c>
      <c r="C7870" s="15">
        <v>0.17920990000000001</v>
      </c>
    </row>
    <row r="7871" spans="1:3" x14ac:dyDescent="0.45">
      <c r="A7871" s="11">
        <v>95.42</v>
      </c>
      <c r="B7871" s="14">
        <v>0.28806809999999999</v>
      </c>
      <c r="C7871" s="15">
        <v>0.17939540000000001</v>
      </c>
    </row>
    <row r="7872" spans="1:3" x14ac:dyDescent="0.45">
      <c r="A7872" s="11">
        <v>95.43</v>
      </c>
      <c r="B7872" s="14">
        <v>0.28831630000000003</v>
      </c>
      <c r="C7872" s="15">
        <v>0.17958089999999999</v>
      </c>
    </row>
    <row r="7873" spans="1:3" x14ac:dyDescent="0.45">
      <c r="A7873" s="11">
        <v>95.44</v>
      </c>
      <c r="B7873" s="14">
        <v>0.2885645</v>
      </c>
      <c r="C7873" s="15">
        <v>0.17976639999999999</v>
      </c>
    </row>
    <row r="7874" spans="1:3" x14ac:dyDescent="0.45">
      <c r="A7874" s="11">
        <v>95.45</v>
      </c>
      <c r="B7874" s="14">
        <v>0.28881269999999998</v>
      </c>
      <c r="C7874" s="15">
        <v>0.179952</v>
      </c>
    </row>
    <row r="7875" spans="1:3" x14ac:dyDescent="0.45">
      <c r="A7875" s="11">
        <v>95.46</v>
      </c>
      <c r="B7875" s="14">
        <v>0.28906080000000001</v>
      </c>
      <c r="C7875" s="15">
        <v>0.18013750000000001</v>
      </c>
    </row>
    <row r="7876" spans="1:3" x14ac:dyDescent="0.45">
      <c r="A7876" s="11">
        <v>95.47</v>
      </c>
      <c r="B7876" s="14">
        <v>0.28930899999999998</v>
      </c>
      <c r="C7876" s="15">
        <v>0.18032300000000001</v>
      </c>
    </row>
    <row r="7877" spans="1:3" x14ac:dyDescent="0.45">
      <c r="A7877" s="11">
        <v>95.48</v>
      </c>
      <c r="B7877" s="14">
        <v>0.28955720000000001</v>
      </c>
      <c r="C7877" s="15">
        <v>0.18050849999999999</v>
      </c>
    </row>
    <row r="7878" spans="1:3" x14ac:dyDescent="0.45">
      <c r="A7878" s="11">
        <v>95.49</v>
      </c>
      <c r="B7878" s="14">
        <v>0.28980529999999999</v>
      </c>
      <c r="C7878" s="15">
        <v>0.18069399999999999</v>
      </c>
    </row>
    <row r="7879" spans="1:3" x14ac:dyDescent="0.45">
      <c r="A7879" s="11">
        <v>95.5</v>
      </c>
      <c r="B7879" s="14">
        <v>0.29005350000000002</v>
      </c>
      <c r="C7879" s="15">
        <v>0.1808795</v>
      </c>
    </row>
    <row r="7880" spans="1:3" x14ac:dyDescent="0.45">
      <c r="A7880" s="11">
        <v>95.51</v>
      </c>
      <c r="B7880" s="14">
        <v>0.2903017</v>
      </c>
      <c r="C7880" s="15">
        <v>0.181065</v>
      </c>
    </row>
    <row r="7881" spans="1:3" x14ac:dyDescent="0.45">
      <c r="A7881" s="11">
        <v>95.52</v>
      </c>
      <c r="B7881" s="14">
        <v>0.29054980000000002</v>
      </c>
      <c r="C7881" s="15">
        <v>0.18125050000000001</v>
      </c>
    </row>
    <row r="7882" spans="1:3" x14ac:dyDescent="0.45">
      <c r="A7882" s="11">
        <v>95.53</v>
      </c>
      <c r="B7882" s="14">
        <v>0.290798</v>
      </c>
      <c r="C7882" s="15">
        <v>0.18143599999999999</v>
      </c>
    </row>
    <row r="7883" spans="1:3" x14ac:dyDescent="0.45">
      <c r="A7883" s="11">
        <v>95.54</v>
      </c>
      <c r="B7883" s="14">
        <v>0.29104619999999998</v>
      </c>
      <c r="C7883" s="15">
        <v>0.18162149999999999</v>
      </c>
    </row>
    <row r="7884" spans="1:3" x14ac:dyDescent="0.45">
      <c r="A7884" s="11">
        <v>95.55</v>
      </c>
      <c r="B7884" s="14">
        <v>0.29129430000000001</v>
      </c>
      <c r="C7884" s="15">
        <v>0.181807</v>
      </c>
    </row>
    <row r="7885" spans="1:3" x14ac:dyDescent="0.45">
      <c r="A7885" s="11">
        <v>95.56</v>
      </c>
      <c r="B7885" s="14">
        <v>0.29154249999999998</v>
      </c>
      <c r="C7885" s="15">
        <v>0.1819926</v>
      </c>
    </row>
    <row r="7886" spans="1:3" x14ac:dyDescent="0.45">
      <c r="A7886" s="11">
        <v>95.57</v>
      </c>
      <c r="B7886" s="14">
        <v>0.29179070000000001</v>
      </c>
      <c r="C7886" s="15">
        <v>0.18217810000000001</v>
      </c>
    </row>
    <row r="7887" spans="1:3" x14ac:dyDescent="0.45">
      <c r="A7887" s="11">
        <v>95.58</v>
      </c>
      <c r="B7887" s="14">
        <v>0.29203889999999999</v>
      </c>
      <c r="C7887" s="15">
        <v>0.18236359999999999</v>
      </c>
    </row>
    <row r="7888" spans="1:3" x14ac:dyDescent="0.45">
      <c r="A7888" s="11">
        <v>95.59</v>
      </c>
      <c r="B7888" s="14">
        <v>0.29228700000000002</v>
      </c>
      <c r="C7888" s="15">
        <v>0.18254909999999999</v>
      </c>
    </row>
    <row r="7889" spans="1:3" x14ac:dyDescent="0.45">
      <c r="A7889" s="11">
        <v>95.6</v>
      </c>
      <c r="B7889" s="14">
        <v>0.2925352</v>
      </c>
      <c r="C7889" s="15">
        <v>0.1827346</v>
      </c>
    </row>
    <row r="7890" spans="1:3" x14ac:dyDescent="0.45">
      <c r="A7890" s="11">
        <v>95.61</v>
      </c>
      <c r="B7890" s="14">
        <v>0.29278340000000003</v>
      </c>
      <c r="C7890" s="15">
        <v>0.1829201</v>
      </c>
    </row>
    <row r="7891" spans="1:3" x14ac:dyDescent="0.45">
      <c r="A7891" s="11">
        <v>95.62</v>
      </c>
      <c r="B7891" s="14">
        <v>0.2930315</v>
      </c>
      <c r="C7891" s="15">
        <v>0.18310560000000001</v>
      </c>
    </row>
    <row r="7892" spans="1:3" x14ac:dyDescent="0.45">
      <c r="A7892" s="11">
        <v>95.63</v>
      </c>
      <c r="B7892" s="14">
        <v>0.29327969999999998</v>
      </c>
      <c r="C7892" s="15">
        <v>0.18329110000000001</v>
      </c>
    </row>
    <row r="7893" spans="1:3" x14ac:dyDescent="0.45">
      <c r="A7893" s="11">
        <v>95.64</v>
      </c>
      <c r="B7893" s="14">
        <v>0.29352790000000001</v>
      </c>
      <c r="C7893" s="15">
        <v>0.18347659999999999</v>
      </c>
    </row>
    <row r="7894" spans="1:3" x14ac:dyDescent="0.45">
      <c r="A7894" s="11">
        <v>95.65</v>
      </c>
      <c r="B7894" s="14">
        <v>0.29377609999999998</v>
      </c>
      <c r="C7894" s="15">
        <v>0.1836622</v>
      </c>
    </row>
    <row r="7895" spans="1:3" x14ac:dyDescent="0.45">
      <c r="A7895" s="11">
        <v>95.66</v>
      </c>
      <c r="B7895" s="14">
        <v>0.29402420000000001</v>
      </c>
      <c r="C7895" s="15">
        <v>0.1838477</v>
      </c>
    </row>
    <row r="7896" spans="1:3" x14ac:dyDescent="0.45">
      <c r="A7896" s="11">
        <v>95.67</v>
      </c>
      <c r="B7896" s="14">
        <v>0.29427239999999999</v>
      </c>
      <c r="C7896" s="15">
        <v>0.18403320000000001</v>
      </c>
    </row>
    <row r="7897" spans="1:3" x14ac:dyDescent="0.45">
      <c r="A7897" s="11">
        <v>95.68</v>
      </c>
      <c r="B7897" s="14">
        <v>0.29452060000000002</v>
      </c>
      <c r="C7897" s="15">
        <v>0.18421870000000001</v>
      </c>
    </row>
    <row r="7898" spans="1:3" x14ac:dyDescent="0.45">
      <c r="A7898" s="11">
        <v>95.69</v>
      </c>
      <c r="B7898" s="14">
        <v>0.29476869999999999</v>
      </c>
      <c r="C7898" s="15">
        <v>0.18440419999999999</v>
      </c>
    </row>
    <row r="7899" spans="1:3" x14ac:dyDescent="0.45">
      <c r="A7899" s="11">
        <v>95.7</v>
      </c>
      <c r="B7899" s="14">
        <v>0.29501690000000003</v>
      </c>
      <c r="C7899" s="15">
        <v>0.1845897</v>
      </c>
    </row>
    <row r="7900" spans="1:3" x14ac:dyDescent="0.45">
      <c r="A7900" s="11">
        <v>95.71</v>
      </c>
      <c r="B7900" s="14">
        <v>0.2952651</v>
      </c>
      <c r="C7900" s="15">
        <v>0.1847752</v>
      </c>
    </row>
    <row r="7901" spans="1:3" x14ac:dyDescent="0.45">
      <c r="A7901" s="11">
        <v>95.72</v>
      </c>
      <c r="B7901" s="14">
        <v>0.29551319999999998</v>
      </c>
      <c r="C7901" s="15">
        <v>0.18496070000000001</v>
      </c>
    </row>
    <row r="7902" spans="1:3" x14ac:dyDescent="0.45">
      <c r="A7902" s="11">
        <v>95.73</v>
      </c>
      <c r="B7902" s="14">
        <v>0.29576140000000001</v>
      </c>
      <c r="C7902" s="15">
        <v>0.18514620000000001</v>
      </c>
    </row>
    <row r="7903" spans="1:3" x14ac:dyDescent="0.45">
      <c r="A7903" s="11">
        <v>95.74</v>
      </c>
      <c r="B7903" s="14">
        <v>0.29600959999999998</v>
      </c>
      <c r="C7903" s="15">
        <v>0.18533169999999999</v>
      </c>
    </row>
    <row r="7904" spans="1:3" x14ac:dyDescent="0.45">
      <c r="A7904" s="11">
        <v>95.75</v>
      </c>
      <c r="B7904" s="14">
        <v>0.29625770000000001</v>
      </c>
      <c r="C7904" s="15">
        <v>0.18551719999999999</v>
      </c>
    </row>
    <row r="7905" spans="1:3" x14ac:dyDescent="0.45">
      <c r="A7905" s="11">
        <v>95.76</v>
      </c>
      <c r="B7905" s="14">
        <v>0.29650589999999999</v>
      </c>
      <c r="C7905" s="15">
        <v>0.1857028</v>
      </c>
    </row>
    <row r="7906" spans="1:3" x14ac:dyDescent="0.45">
      <c r="A7906" s="11">
        <v>95.77</v>
      </c>
      <c r="B7906" s="14">
        <v>0.29675410000000002</v>
      </c>
      <c r="C7906" s="15">
        <v>0.18588830000000001</v>
      </c>
    </row>
    <row r="7907" spans="1:3" x14ac:dyDescent="0.45">
      <c r="A7907" s="11">
        <v>95.78</v>
      </c>
      <c r="B7907" s="14">
        <v>0.2970023</v>
      </c>
      <c r="C7907" s="15">
        <v>0.18607380000000001</v>
      </c>
    </row>
    <row r="7908" spans="1:3" x14ac:dyDescent="0.45">
      <c r="A7908" s="11">
        <v>95.79</v>
      </c>
      <c r="B7908" s="14">
        <v>0.29725040000000003</v>
      </c>
      <c r="C7908" s="15">
        <v>0.18625929999999999</v>
      </c>
    </row>
    <row r="7909" spans="1:3" x14ac:dyDescent="0.45">
      <c r="A7909" s="11">
        <v>95.8</v>
      </c>
      <c r="B7909" s="14">
        <v>0.2974986</v>
      </c>
      <c r="C7909" s="15">
        <v>0.18644479999999999</v>
      </c>
    </row>
    <row r="7910" spans="1:3" x14ac:dyDescent="0.45">
      <c r="A7910" s="11">
        <v>95.81</v>
      </c>
      <c r="B7910" s="14">
        <v>0.29774679999999998</v>
      </c>
      <c r="C7910" s="15">
        <v>0.1866303</v>
      </c>
    </row>
    <row r="7911" spans="1:3" x14ac:dyDescent="0.45">
      <c r="A7911" s="11">
        <v>95.82</v>
      </c>
      <c r="B7911" s="14">
        <v>0.29799490000000001</v>
      </c>
      <c r="C7911" s="15">
        <v>0.1868158</v>
      </c>
    </row>
    <row r="7912" spans="1:3" x14ac:dyDescent="0.45">
      <c r="A7912" s="11">
        <v>95.83</v>
      </c>
      <c r="B7912" s="14">
        <v>0.29824309999999998</v>
      </c>
      <c r="C7912" s="15">
        <v>0.18700130000000001</v>
      </c>
    </row>
    <row r="7913" spans="1:3" x14ac:dyDescent="0.45">
      <c r="A7913" s="11">
        <v>95.84</v>
      </c>
      <c r="B7913" s="14">
        <v>0.29849130000000001</v>
      </c>
      <c r="C7913" s="15">
        <v>0.18718679999999999</v>
      </c>
    </row>
    <row r="7914" spans="1:3" x14ac:dyDescent="0.45">
      <c r="A7914" s="11">
        <v>95.85</v>
      </c>
      <c r="B7914" s="14">
        <v>0.29873939999999999</v>
      </c>
      <c r="C7914" s="15">
        <v>0.18737229999999999</v>
      </c>
    </row>
    <row r="7915" spans="1:3" x14ac:dyDescent="0.45">
      <c r="A7915" s="11">
        <v>95.86</v>
      </c>
      <c r="B7915" s="14">
        <v>0.29898760000000002</v>
      </c>
      <c r="C7915" s="15">
        <v>0.1875579</v>
      </c>
    </row>
    <row r="7916" spans="1:3" x14ac:dyDescent="0.45">
      <c r="A7916" s="11">
        <v>95.87</v>
      </c>
      <c r="B7916" s="14">
        <v>0.2992358</v>
      </c>
      <c r="C7916" s="15">
        <v>0.1877434</v>
      </c>
    </row>
    <row r="7917" spans="1:3" x14ac:dyDescent="0.45">
      <c r="A7917" s="11">
        <v>95.88</v>
      </c>
      <c r="B7917" s="14">
        <v>0.29948399999999997</v>
      </c>
      <c r="C7917" s="15">
        <v>0.18792890000000001</v>
      </c>
    </row>
    <row r="7918" spans="1:3" x14ac:dyDescent="0.45">
      <c r="A7918" s="11">
        <v>95.89</v>
      </c>
      <c r="B7918" s="14">
        <v>0.2997321</v>
      </c>
      <c r="C7918" s="15">
        <v>0.18811439999999999</v>
      </c>
    </row>
    <row r="7919" spans="1:3" x14ac:dyDescent="0.45">
      <c r="A7919" s="11">
        <v>95.9</v>
      </c>
      <c r="B7919" s="14">
        <v>0.29998029999999998</v>
      </c>
      <c r="C7919" s="15">
        <v>0.18829989999999999</v>
      </c>
    </row>
    <row r="7920" spans="1:3" x14ac:dyDescent="0.45">
      <c r="A7920" s="11">
        <v>95.91</v>
      </c>
      <c r="B7920" s="14">
        <v>0.30022850000000001</v>
      </c>
      <c r="C7920" s="15">
        <v>0.1884854</v>
      </c>
    </row>
    <row r="7921" spans="1:3" x14ac:dyDescent="0.45">
      <c r="A7921" s="11">
        <v>95.92</v>
      </c>
      <c r="B7921" s="14">
        <v>0.30047659999999998</v>
      </c>
      <c r="C7921" s="15">
        <v>0.1886709</v>
      </c>
    </row>
    <row r="7922" spans="1:3" x14ac:dyDescent="0.45">
      <c r="A7922" s="11">
        <v>95.93</v>
      </c>
      <c r="B7922" s="14">
        <v>0.30072480000000001</v>
      </c>
      <c r="C7922" s="15">
        <v>0.18885640000000001</v>
      </c>
    </row>
    <row r="7923" spans="1:3" x14ac:dyDescent="0.45">
      <c r="A7923" s="11">
        <v>95.94</v>
      </c>
      <c r="B7923" s="14">
        <v>0.30097299999999999</v>
      </c>
      <c r="C7923" s="15">
        <v>0.18904190000000001</v>
      </c>
    </row>
    <row r="7924" spans="1:3" x14ac:dyDescent="0.45">
      <c r="A7924" s="11">
        <v>95.95</v>
      </c>
      <c r="B7924" s="14">
        <v>0.30122120000000002</v>
      </c>
      <c r="C7924" s="15">
        <v>0.18922749999999999</v>
      </c>
    </row>
    <row r="7925" spans="1:3" x14ac:dyDescent="0.45">
      <c r="A7925" s="11">
        <v>95.96</v>
      </c>
      <c r="B7925" s="14">
        <v>0.3014693</v>
      </c>
      <c r="C7925" s="15">
        <v>0.189413</v>
      </c>
    </row>
    <row r="7926" spans="1:3" x14ac:dyDescent="0.45">
      <c r="A7926" s="11">
        <v>95.97</v>
      </c>
      <c r="B7926" s="14">
        <v>0.30171750000000003</v>
      </c>
      <c r="C7926" s="15">
        <v>0.1895985</v>
      </c>
    </row>
    <row r="7927" spans="1:3" x14ac:dyDescent="0.45">
      <c r="A7927" s="11">
        <v>95.98</v>
      </c>
      <c r="B7927" s="14">
        <v>0.3019657</v>
      </c>
      <c r="C7927" s="15">
        <v>0.18978400000000001</v>
      </c>
    </row>
    <row r="7928" spans="1:3" x14ac:dyDescent="0.45">
      <c r="A7928" s="11">
        <v>95.99</v>
      </c>
      <c r="B7928" s="14">
        <v>0.30221379999999998</v>
      </c>
      <c r="C7928" s="15">
        <v>0.18996950000000001</v>
      </c>
    </row>
    <row r="7929" spans="1:3" x14ac:dyDescent="0.45">
      <c r="A7929" s="11">
        <v>96</v>
      </c>
      <c r="B7929" s="14">
        <v>0.30246200000000001</v>
      </c>
      <c r="C7929" s="15">
        <v>0.19015499999999999</v>
      </c>
    </row>
    <row r="7930" spans="1:3" x14ac:dyDescent="0.45">
      <c r="A7930" s="11">
        <v>96.01</v>
      </c>
      <c r="B7930" s="14">
        <v>0.30272909999999997</v>
      </c>
      <c r="C7930" s="15">
        <v>0.19036059999999999</v>
      </c>
    </row>
    <row r="7931" spans="1:3" x14ac:dyDescent="0.45">
      <c r="A7931" s="11">
        <v>96.02</v>
      </c>
      <c r="B7931" s="14">
        <v>0.30299619999999999</v>
      </c>
      <c r="C7931" s="15">
        <v>0.19056619999999999</v>
      </c>
    </row>
    <row r="7932" spans="1:3" x14ac:dyDescent="0.45">
      <c r="A7932" s="11">
        <v>96.03</v>
      </c>
      <c r="B7932" s="14">
        <v>0.30326320000000001</v>
      </c>
      <c r="C7932" s="15">
        <v>0.19077169999999999</v>
      </c>
    </row>
    <row r="7933" spans="1:3" x14ac:dyDescent="0.45">
      <c r="A7933" s="11">
        <v>96.04</v>
      </c>
      <c r="B7933" s="14">
        <v>0.30353029999999998</v>
      </c>
      <c r="C7933" s="15">
        <v>0.19097729999999999</v>
      </c>
    </row>
    <row r="7934" spans="1:3" x14ac:dyDescent="0.45">
      <c r="A7934" s="11">
        <v>96.05</v>
      </c>
      <c r="B7934" s="14">
        <v>0.3037974</v>
      </c>
      <c r="C7934" s="15">
        <v>0.19118289999999999</v>
      </c>
    </row>
    <row r="7935" spans="1:3" x14ac:dyDescent="0.45">
      <c r="A7935" s="11">
        <v>96.06</v>
      </c>
      <c r="B7935" s="14">
        <v>0.30406450000000002</v>
      </c>
      <c r="C7935" s="15">
        <v>0.19138849999999999</v>
      </c>
    </row>
    <row r="7936" spans="1:3" x14ac:dyDescent="0.45">
      <c r="A7936" s="11">
        <v>96.07</v>
      </c>
      <c r="B7936" s="14">
        <v>0.30433159999999998</v>
      </c>
      <c r="C7936" s="15">
        <v>0.19159409999999999</v>
      </c>
    </row>
    <row r="7937" spans="1:3" x14ac:dyDescent="0.45">
      <c r="A7937" s="11">
        <v>96.08</v>
      </c>
      <c r="B7937" s="14">
        <v>0.3045986</v>
      </c>
      <c r="C7937" s="15">
        <v>0.19179959999999999</v>
      </c>
    </row>
    <row r="7938" spans="1:3" x14ac:dyDescent="0.45">
      <c r="A7938" s="11">
        <v>96.09</v>
      </c>
      <c r="B7938" s="14">
        <v>0.30486570000000002</v>
      </c>
      <c r="C7938" s="15">
        <v>0.19200519999999999</v>
      </c>
    </row>
    <row r="7939" spans="1:3" x14ac:dyDescent="0.45">
      <c r="A7939" s="11">
        <v>96.1</v>
      </c>
      <c r="B7939" s="14">
        <v>0.30513279999999998</v>
      </c>
      <c r="C7939" s="15">
        <v>0.19221079999999999</v>
      </c>
    </row>
    <row r="7940" spans="1:3" x14ac:dyDescent="0.45">
      <c r="A7940" s="11">
        <v>96.11</v>
      </c>
      <c r="B7940" s="14">
        <v>0.3053999</v>
      </c>
      <c r="C7940" s="15">
        <v>0.19241639999999999</v>
      </c>
    </row>
    <row r="7941" spans="1:3" x14ac:dyDescent="0.45">
      <c r="A7941" s="11">
        <v>96.12</v>
      </c>
      <c r="B7941" s="14">
        <v>0.30566700000000002</v>
      </c>
      <c r="C7941" s="15">
        <v>0.19262199999999999</v>
      </c>
    </row>
    <row r="7942" spans="1:3" x14ac:dyDescent="0.45">
      <c r="A7942" s="11">
        <v>96.13</v>
      </c>
      <c r="B7942" s="14">
        <v>0.30593399999999998</v>
      </c>
      <c r="C7942" s="15">
        <v>0.19282750000000001</v>
      </c>
    </row>
    <row r="7943" spans="1:3" x14ac:dyDescent="0.45">
      <c r="A7943" s="11">
        <v>96.14</v>
      </c>
      <c r="B7943" s="14">
        <v>0.3062011</v>
      </c>
      <c r="C7943" s="15">
        <v>0.19303310000000001</v>
      </c>
    </row>
    <row r="7944" spans="1:3" x14ac:dyDescent="0.45">
      <c r="A7944" s="11">
        <v>96.15</v>
      </c>
      <c r="B7944" s="14">
        <v>0.30646820000000002</v>
      </c>
      <c r="C7944" s="15">
        <v>0.19323870000000001</v>
      </c>
    </row>
    <row r="7945" spans="1:3" x14ac:dyDescent="0.45">
      <c r="A7945" s="11">
        <v>96.16</v>
      </c>
      <c r="B7945" s="14">
        <v>0.30673529999999999</v>
      </c>
      <c r="C7945" s="15">
        <v>0.19344430000000001</v>
      </c>
    </row>
    <row r="7946" spans="1:3" x14ac:dyDescent="0.45">
      <c r="A7946" s="11">
        <v>96.17</v>
      </c>
      <c r="B7946" s="14">
        <v>0.30700240000000001</v>
      </c>
      <c r="C7946" s="15">
        <v>0.19364990000000001</v>
      </c>
    </row>
    <row r="7947" spans="1:3" x14ac:dyDescent="0.45">
      <c r="A7947" s="11">
        <v>96.18</v>
      </c>
      <c r="B7947" s="14">
        <v>0.30726940000000003</v>
      </c>
      <c r="C7947" s="15">
        <v>0.19385540000000001</v>
      </c>
    </row>
    <row r="7948" spans="1:3" x14ac:dyDescent="0.45">
      <c r="A7948" s="11">
        <v>96.19</v>
      </c>
      <c r="B7948" s="14">
        <v>0.30753649999999999</v>
      </c>
      <c r="C7948" s="15">
        <v>0.19406100000000001</v>
      </c>
    </row>
    <row r="7949" spans="1:3" x14ac:dyDescent="0.45">
      <c r="A7949" s="11">
        <v>96.2</v>
      </c>
      <c r="B7949" s="14">
        <v>0.30780360000000001</v>
      </c>
      <c r="C7949" s="15">
        <v>0.19426660000000001</v>
      </c>
    </row>
    <row r="7950" spans="1:3" x14ac:dyDescent="0.45">
      <c r="A7950" s="11">
        <v>96.21</v>
      </c>
      <c r="B7950" s="14">
        <v>0.30807069999999998</v>
      </c>
      <c r="C7950" s="15">
        <v>0.19447220000000001</v>
      </c>
    </row>
    <row r="7951" spans="1:3" x14ac:dyDescent="0.45">
      <c r="A7951" s="11">
        <v>96.22</v>
      </c>
      <c r="B7951" s="14">
        <v>0.3083378</v>
      </c>
      <c r="C7951" s="15">
        <v>0.19467780000000001</v>
      </c>
    </row>
    <row r="7952" spans="1:3" x14ac:dyDescent="0.45">
      <c r="A7952" s="11">
        <v>96.23</v>
      </c>
      <c r="B7952" s="14">
        <v>0.30860480000000001</v>
      </c>
      <c r="C7952" s="15">
        <v>0.19488330000000001</v>
      </c>
    </row>
    <row r="7953" spans="1:3" x14ac:dyDescent="0.45">
      <c r="A7953" s="11">
        <v>96.24</v>
      </c>
      <c r="B7953" s="14">
        <v>0.30887189999999998</v>
      </c>
      <c r="C7953" s="15">
        <v>0.19508890000000001</v>
      </c>
    </row>
    <row r="7954" spans="1:3" x14ac:dyDescent="0.45">
      <c r="A7954" s="11">
        <v>96.25</v>
      </c>
      <c r="B7954" s="14">
        <v>0.309139</v>
      </c>
      <c r="C7954" s="15">
        <v>0.19529450000000001</v>
      </c>
    </row>
    <row r="7955" spans="1:3" x14ac:dyDescent="0.45">
      <c r="A7955" s="11">
        <v>96.26</v>
      </c>
      <c r="B7955" s="14">
        <v>0.30940610000000002</v>
      </c>
      <c r="C7955" s="15">
        <v>0.19550010000000001</v>
      </c>
    </row>
    <row r="7956" spans="1:3" x14ac:dyDescent="0.45">
      <c r="A7956" s="11">
        <v>96.27</v>
      </c>
      <c r="B7956" s="14">
        <v>0.30967319999999998</v>
      </c>
      <c r="C7956" s="15">
        <v>0.19570570000000001</v>
      </c>
    </row>
    <row r="7957" spans="1:3" x14ac:dyDescent="0.45">
      <c r="A7957" s="11">
        <v>96.28</v>
      </c>
      <c r="B7957" s="14">
        <v>0.3099402</v>
      </c>
      <c r="C7957" s="15">
        <v>0.19591120000000001</v>
      </c>
    </row>
    <row r="7958" spans="1:3" x14ac:dyDescent="0.45">
      <c r="A7958" s="11">
        <v>96.29</v>
      </c>
      <c r="B7958" s="14">
        <v>0.31020730000000002</v>
      </c>
      <c r="C7958" s="15">
        <v>0.19611680000000001</v>
      </c>
    </row>
    <row r="7959" spans="1:3" x14ac:dyDescent="0.45">
      <c r="A7959" s="11">
        <v>96.3</v>
      </c>
      <c r="B7959" s="14">
        <v>0.31047439999999998</v>
      </c>
      <c r="C7959" s="15">
        <v>0.19632240000000001</v>
      </c>
    </row>
    <row r="7960" spans="1:3" x14ac:dyDescent="0.45">
      <c r="A7960" s="11">
        <v>96.31</v>
      </c>
      <c r="B7960" s="14">
        <v>0.3107415</v>
      </c>
      <c r="C7960" s="15">
        <v>0.19652800000000001</v>
      </c>
    </row>
    <row r="7961" spans="1:3" x14ac:dyDescent="0.45">
      <c r="A7961" s="11">
        <v>96.32</v>
      </c>
      <c r="B7961" s="14">
        <v>0.31100860000000002</v>
      </c>
      <c r="C7961" s="15">
        <v>0.19673360000000001</v>
      </c>
    </row>
    <row r="7962" spans="1:3" x14ac:dyDescent="0.45">
      <c r="A7962" s="11">
        <v>96.33</v>
      </c>
      <c r="B7962" s="14">
        <v>0.31127559999999999</v>
      </c>
      <c r="C7962" s="15">
        <v>0.19693910000000001</v>
      </c>
    </row>
    <row r="7963" spans="1:3" x14ac:dyDescent="0.45">
      <c r="A7963" s="11">
        <v>96.34</v>
      </c>
      <c r="B7963" s="14">
        <v>0.31154270000000001</v>
      </c>
      <c r="C7963" s="15">
        <v>0.19714470000000001</v>
      </c>
    </row>
    <row r="7964" spans="1:3" x14ac:dyDescent="0.45">
      <c r="A7964" s="11">
        <v>96.35</v>
      </c>
      <c r="B7964" s="14">
        <v>0.31180980000000003</v>
      </c>
      <c r="C7964" s="15">
        <v>0.19735030000000001</v>
      </c>
    </row>
    <row r="7965" spans="1:3" x14ac:dyDescent="0.45">
      <c r="A7965" s="11">
        <v>96.36</v>
      </c>
      <c r="B7965" s="14">
        <v>0.31207689999999999</v>
      </c>
      <c r="C7965" s="15">
        <v>0.19755590000000001</v>
      </c>
    </row>
    <row r="7966" spans="1:3" x14ac:dyDescent="0.45">
      <c r="A7966" s="11">
        <v>96.37</v>
      </c>
      <c r="B7966" s="14">
        <v>0.31234400000000001</v>
      </c>
      <c r="C7966" s="15">
        <v>0.19776150000000001</v>
      </c>
    </row>
    <row r="7967" spans="1:3" x14ac:dyDescent="0.45">
      <c r="A7967" s="11">
        <v>96.38</v>
      </c>
      <c r="B7967" s="14">
        <v>0.31261100000000003</v>
      </c>
      <c r="C7967" s="15">
        <v>0.197967</v>
      </c>
    </row>
    <row r="7968" spans="1:3" x14ac:dyDescent="0.45">
      <c r="A7968" s="11">
        <v>96.39</v>
      </c>
      <c r="B7968" s="14">
        <v>0.31287809999999999</v>
      </c>
      <c r="C7968" s="15">
        <v>0.1981726</v>
      </c>
    </row>
    <row r="7969" spans="1:3" x14ac:dyDescent="0.45">
      <c r="A7969" s="11">
        <v>96.4</v>
      </c>
      <c r="B7969" s="14">
        <v>0.31314520000000001</v>
      </c>
      <c r="C7969" s="15">
        <v>0.1983782</v>
      </c>
    </row>
    <row r="7970" spans="1:3" x14ac:dyDescent="0.45">
      <c r="A7970" s="11">
        <v>96.41</v>
      </c>
      <c r="B7970" s="14">
        <v>0.31341229999999998</v>
      </c>
      <c r="C7970" s="15">
        <v>0.1985838</v>
      </c>
    </row>
    <row r="7971" spans="1:3" x14ac:dyDescent="0.45">
      <c r="A7971" s="11">
        <v>96.42</v>
      </c>
      <c r="B7971" s="14">
        <v>0.3136794</v>
      </c>
      <c r="C7971" s="15">
        <v>0.1987894</v>
      </c>
    </row>
    <row r="7972" spans="1:3" x14ac:dyDescent="0.45">
      <c r="A7972" s="11">
        <v>96.43</v>
      </c>
      <c r="B7972" s="14">
        <v>0.31394640000000001</v>
      </c>
      <c r="C7972" s="15">
        <v>0.1989949</v>
      </c>
    </row>
    <row r="7973" spans="1:3" x14ac:dyDescent="0.45">
      <c r="A7973" s="11">
        <v>96.44</v>
      </c>
      <c r="B7973" s="14">
        <v>0.31421349999999998</v>
      </c>
      <c r="C7973" s="15">
        <v>0.1992005</v>
      </c>
    </row>
    <row r="7974" spans="1:3" x14ac:dyDescent="0.45">
      <c r="A7974" s="11">
        <v>96.45</v>
      </c>
      <c r="B7974" s="14">
        <v>0.3144806</v>
      </c>
      <c r="C7974" s="15">
        <v>0.1994061</v>
      </c>
    </row>
    <row r="7975" spans="1:3" x14ac:dyDescent="0.45">
      <c r="A7975" s="11">
        <v>96.46</v>
      </c>
      <c r="B7975" s="14">
        <v>0.31474770000000002</v>
      </c>
      <c r="C7975" s="15">
        <v>0.1996117</v>
      </c>
    </row>
    <row r="7976" spans="1:3" x14ac:dyDescent="0.45">
      <c r="A7976" s="11">
        <v>96.47</v>
      </c>
      <c r="B7976" s="14">
        <v>0.31501479999999998</v>
      </c>
      <c r="C7976" s="15">
        <v>0.1998173</v>
      </c>
    </row>
    <row r="7977" spans="1:3" x14ac:dyDescent="0.45">
      <c r="A7977" s="11">
        <v>96.48</v>
      </c>
      <c r="B7977" s="14">
        <v>0.3152818</v>
      </c>
      <c r="C7977" s="15">
        <v>0.2000228</v>
      </c>
    </row>
    <row r="7978" spans="1:3" x14ac:dyDescent="0.45">
      <c r="A7978" s="11">
        <v>96.49</v>
      </c>
      <c r="B7978" s="14">
        <v>0.31554890000000002</v>
      </c>
      <c r="C7978" s="15">
        <v>0.2002284</v>
      </c>
    </row>
    <row r="7979" spans="1:3" x14ac:dyDescent="0.45">
      <c r="A7979" s="11">
        <v>96.5</v>
      </c>
      <c r="B7979" s="14">
        <v>0.31581599999999999</v>
      </c>
      <c r="C7979" s="15">
        <v>0.200434</v>
      </c>
    </row>
    <row r="7980" spans="1:3" x14ac:dyDescent="0.45">
      <c r="A7980" s="11">
        <v>96.51</v>
      </c>
      <c r="B7980" s="14">
        <v>0.31608310000000001</v>
      </c>
      <c r="C7980" s="15">
        <v>0.2006396</v>
      </c>
    </row>
    <row r="7981" spans="1:3" x14ac:dyDescent="0.45">
      <c r="A7981" s="11">
        <v>96.52</v>
      </c>
      <c r="B7981" s="14">
        <v>0.31635020000000003</v>
      </c>
      <c r="C7981" s="15">
        <v>0.2008452</v>
      </c>
    </row>
    <row r="7982" spans="1:3" x14ac:dyDescent="0.45">
      <c r="A7982" s="11">
        <v>96.53</v>
      </c>
      <c r="B7982" s="14">
        <v>0.31661719999999999</v>
      </c>
      <c r="C7982" s="15">
        <v>0.2010507</v>
      </c>
    </row>
    <row r="7983" spans="1:3" x14ac:dyDescent="0.45">
      <c r="A7983" s="11">
        <v>96.54</v>
      </c>
      <c r="B7983" s="14">
        <v>0.31688430000000001</v>
      </c>
      <c r="C7983" s="15">
        <v>0.2012563</v>
      </c>
    </row>
    <row r="7984" spans="1:3" x14ac:dyDescent="0.45">
      <c r="A7984" s="11">
        <v>96.55</v>
      </c>
      <c r="B7984" s="14">
        <v>0.31715140000000003</v>
      </c>
      <c r="C7984" s="15">
        <v>0.2014619</v>
      </c>
    </row>
    <row r="7985" spans="1:3" x14ac:dyDescent="0.45">
      <c r="A7985" s="11">
        <v>96.56</v>
      </c>
      <c r="B7985" s="14">
        <v>0.31741849999999999</v>
      </c>
      <c r="C7985" s="15">
        <v>0.2016675</v>
      </c>
    </row>
    <row r="7986" spans="1:3" x14ac:dyDescent="0.45">
      <c r="A7986" s="11">
        <v>96.57</v>
      </c>
      <c r="B7986" s="14">
        <v>0.31768560000000001</v>
      </c>
      <c r="C7986" s="15">
        <v>0.2018731</v>
      </c>
    </row>
    <row r="7987" spans="1:3" x14ac:dyDescent="0.45">
      <c r="A7987" s="11">
        <v>96.58</v>
      </c>
      <c r="B7987" s="14">
        <v>0.31795259999999997</v>
      </c>
      <c r="C7987" s="15">
        <v>0.2020786</v>
      </c>
    </row>
    <row r="7988" spans="1:3" x14ac:dyDescent="0.45">
      <c r="A7988" s="11">
        <v>96.59</v>
      </c>
      <c r="B7988" s="14">
        <v>0.31821969999999999</v>
      </c>
      <c r="C7988" s="15">
        <v>0.2022842</v>
      </c>
    </row>
    <row r="7989" spans="1:3" x14ac:dyDescent="0.45">
      <c r="A7989" s="11">
        <v>96.6</v>
      </c>
      <c r="B7989" s="14">
        <v>0.31848680000000001</v>
      </c>
      <c r="C7989" s="15">
        <v>0.2024898</v>
      </c>
    </row>
    <row r="7990" spans="1:3" x14ac:dyDescent="0.45">
      <c r="A7990" s="11">
        <v>96.61</v>
      </c>
      <c r="B7990" s="14">
        <v>0.31875389999999998</v>
      </c>
      <c r="C7990" s="15">
        <v>0.2026954</v>
      </c>
    </row>
    <row r="7991" spans="1:3" x14ac:dyDescent="0.45">
      <c r="A7991" s="11">
        <v>96.62</v>
      </c>
      <c r="B7991" s="14">
        <v>0.319021</v>
      </c>
      <c r="C7991" s="15">
        <v>0.202901</v>
      </c>
    </row>
    <row r="7992" spans="1:3" x14ac:dyDescent="0.45">
      <c r="A7992" s="11">
        <v>96.63</v>
      </c>
      <c r="B7992" s="14">
        <v>0.31928800000000002</v>
      </c>
      <c r="C7992" s="15">
        <v>0.2031065</v>
      </c>
    </row>
    <row r="7993" spans="1:3" x14ac:dyDescent="0.45">
      <c r="A7993" s="11">
        <v>96.64</v>
      </c>
      <c r="B7993" s="14">
        <v>0.31955509999999998</v>
      </c>
      <c r="C7993" s="15">
        <v>0.2033121</v>
      </c>
    </row>
    <row r="7994" spans="1:3" x14ac:dyDescent="0.45">
      <c r="A7994" s="11">
        <v>96.65</v>
      </c>
      <c r="B7994" s="14">
        <v>0.3198222</v>
      </c>
      <c r="C7994" s="15">
        <v>0.2035177</v>
      </c>
    </row>
    <row r="7995" spans="1:3" x14ac:dyDescent="0.45">
      <c r="A7995" s="11">
        <v>96.66</v>
      </c>
      <c r="B7995" s="14">
        <v>0.32008930000000002</v>
      </c>
      <c r="C7995" s="15">
        <v>0.2037233</v>
      </c>
    </row>
    <row r="7996" spans="1:3" x14ac:dyDescent="0.45">
      <c r="A7996" s="11">
        <v>96.67</v>
      </c>
      <c r="B7996" s="14">
        <v>0.32035639999999999</v>
      </c>
      <c r="C7996" s="15">
        <v>0.2039289</v>
      </c>
    </row>
    <row r="7997" spans="1:3" x14ac:dyDescent="0.45">
      <c r="A7997" s="11">
        <v>96.68</v>
      </c>
      <c r="B7997" s="14">
        <v>0.3206234</v>
      </c>
      <c r="C7997" s="15">
        <v>0.20413439999999999</v>
      </c>
    </row>
    <row r="7998" spans="1:3" x14ac:dyDescent="0.45">
      <c r="A7998" s="11">
        <v>96.69</v>
      </c>
      <c r="B7998" s="14">
        <v>0.32089050000000002</v>
      </c>
      <c r="C7998" s="15">
        <v>0.20433999999999999</v>
      </c>
    </row>
    <row r="7999" spans="1:3" x14ac:dyDescent="0.45">
      <c r="A7999" s="11">
        <v>96.7</v>
      </c>
      <c r="B7999" s="14">
        <v>0.32115759999999999</v>
      </c>
      <c r="C7999" s="15">
        <v>0.20454559999999999</v>
      </c>
    </row>
    <row r="8000" spans="1:3" x14ac:dyDescent="0.45">
      <c r="A8000" s="11">
        <v>96.71</v>
      </c>
      <c r="B8000" s="14">
        <v>0.32142470000000001</v>
      </c>
      <c r="C8000" s="15">
        <v>0.20475119999999999</v>
      </c>
    </row>
    <row r="8001" spans="1:3" x14ac:dyDescent="0.45">
      <c r="A8001" s="11">
        <v>96.72</v>
      </c>
      <c r="B8001" s="14">
        <v>0.32169180000000003</v>
      </c>
      <c r="C8001" s="15">
        <v>0.20495679999999999</v>
      </c>
    </row>
    <row r="8002" spans="1:3" x14ac:dyDescent="0.45">
      <c r="A8002" s="11">
        <v>96.73</v>
      </c>
      <c r="B8002" s="14">
        <v>0.32195879999999999</v>
      </c>
      <c r="C8002" s="15">
        <v>0.20516229999999999</v>
      </c>
    </row>
    <row r="8003" spans="1:3" x14ac:dyDescent="0.45">
      <c r="A8003" s="11">
        <v>96.74</v>
      </c>
      <c r="B8003" s="14">
        <v>0.32222590000000001</v>
      </c>
      <c r="C8003" s="15">
        <v>0.20536789999999999</v>
      </c>
    </row>
    <row r="8004" spans="1:3" x14ac:dyDescent="0.45">
      <c r="A8004" s="11">
        <v>96.75</v>
      </c>
      <c r="B8004" s="14">
        <v>0.32249299999999997</v>
      </c>
      <c r="C8004" s="15">
        <v>0.20557349999999999</v>
      </c>
    </row>
    <row r="8005" spans="1:3" x14ac:dyDescent="0.45">
      <c r="A8005" s="11">
        <v>96.76</v>
      </c>
      <c r="B8005" s="14">
        <v>0.32276009999999999</v>
      </c>
      <c r="C8005" s="15">
        <v>0.20577909999999999</v>
      </c>
    </row>
    <row r="8006" spans="1:3" x14ac:dyDescent="0.45">
      <c r="A8006" s="11">
        <v>96.77</v>
      </c>
      <c r="B8006" s="14">
        <v>0.32302720000000001</v>
      </c>
      <c r="C8006" s="15">
        <v>0.20598469999999999</v>
      </c>
    </row>
    <row r="8007" spans="1:3" x14ac:dyDescent="0.45">
      <c r="A8007" s="11">
        <v>96.78</v>
      </c>
      <c r="B8007" s="14">
        <v>0.32329419999999998</v>
      </c>
      <c r="C8007" s="15">
        <v>0.20619019999999999</v>
      </c>
    </row>
    <row r="8008" spans="1:3" x14ac:dyDescent="0.45">
      <c r="A8008" s="11">
        <v>96.79</v>
      </c>
      <c r="B8008" s="14">
        <v>0.3235613</v>
      </c>
      <c r="C8008" s="15">
        <v>0.20639579999999999</v>
      </c>
    </row>
    <row r="8009" spans="1:3" x14ac:dyDescent="0.45">
      <c r="A8009" s="11">
        <v>96.8</v>
      </c>
      <c r="B8009" s="14">
        <v>0.32382840000000002</v>
      </c>
      <c r="C8009" s="15">
        <v>0.20660139999999999</v>
      </c>
    </row>
    <row r="8010" spans="1:3" x14ac:dyDescent="0.45">
      <c r="A8010" s="11">
        <v>96.81</v>
      </c>
      <c r="B8010" s="14">
        <v>0.32409549999999998</v>
      </c>
      <c r="C8010" s="15">
        <v>0.20680699999999999</v>
      </c>
    </row>
    <row r="8011" spans="1:3" x14ac:dyDescent="0.45">
      <c r="A8011" s="11">
        <v>96.82</v>
      </c>
      <c r="B8011" s="14">
        <v>0.3243626</v>
      </c>
      <c r="C8011" s="15">
        <v>0.20701259999999999</v>
      </c>
    </row>
    <row r="8012" spans="1:3" x14ac:dyDescent="0.45">
      <c r="A8012" s="11">
        <v>96.83</v>
      </c>
      <c r="B8012" s="14">
        <v>0.32462960000000002</v>
      </c>
      <c r="C8012" s="15">
        <v>0.20721809999999999</v>
      </c>
    </row>
    <row r="8013" spans="1:3" x14ac:dyDescent="0.45">
      <c r="A8013" s="11">
        <v>96.84</v>
      </c>
      <c r="B8013" s="14">
        <v>0.32489669999999998</v>
      </c>
      <c r="C8013" s="15">
        <v>0.20742369999999999</v>
      </c>
    </row>
    <row r="8014" spans="1:3" x14ac:dyDescent="0.45">
      <c r="A8014" s="11">
        <v>96.85</v>
      </c>
      <c r="B8014" s="14">
        <v>0.3251638</v>
      </c>
      <c r="C8014" s="15">
        <v>0.20762929999999999</v>
      </c>
    </row>
    <row r="8015" spans="1:3" x14ac:dyDescent="0.45">
      <c r="A8015" s="11">
        <v>96.86</v>
      </c>
      <c r="B8015" s="14">
        <v>0.32543090000000002</v>
      </c>
      <c r="C8015" s="15">
        <v>0.20783489999999999</v>
      </c>
    </row>
    <row r="8016" spans="1:3" x14ac:dyDescent="0.45">
      <c r="A8016" s="11">
        <v>96.87</v>
      </c>
      <c r="B8016" s="14">
        <v>0.32569799999999999</v>
      </c>
      <c r="C8016" s="15">
        <v>0.20804049999999999</v>
      </c>
    </row>
    <row r="8017" spans="1:3" x14ac:dyDescent="0.45">
      <c r="A8017" s="11">
        <v>96.88</v>
      </c>
      <c r="B8017" s="14">
        <v>0.325965</v>
      </c>
      <c r="C8017" s="15">
        <v>0.20824599999999999</v>
      </c>
    </row>
    <row r="8018" spans="1:3" x14ac:dyDescent="0.45">
      <c r="A8018" s="11">
        <v>96.89</v>
      </c>
      <c r="B8018" s="14">
        <v>0.32623210000000002</v>
      </c>
      <c r="C8018" s="15">
        <v>0.20845159999999999</v>
      </c>
    </row>
    <row r="8019" spans="1:3" x14ac:dyDescent="0.45">
      <c r="A8019" s="11">
        <v>96.9</v>
      </c>
      <c r="B8019" s="14">
        <v>0.32649919999999999</v>
      </c>
      <c r="C8019" s="15">
        <v>0.20865719999999999</v>
      </c>
    </row>
    <row r="8020" spans="1:3" x14ac:dyDescent="0.45">
      <c r="A8020" s="11">
        <v>96.91</v>
      </c>
      <c r="B8020" s="14">
        <v>0.32676630000000001</v>
      </c>
      <c r="C8020" s="15">
        <v>0.20886279999999999</v>
      </c>
    </row>
    <row r="8021" spans="1:3" x14ac:dyDescent="0.45">
      <c r="A8021" s="11">
        <v>96.92</v>
      </c>
      <c r="B8021" s="14">
        <v>0.32703339999999997</v>
      </c>
      <c r="C8021" s="15">
        <v>0.20906839999999999</v>
      </c>
    </row>
    <row r="8022" spans="1:3" x14ac:dyDescent="0.45">
      <c r="A8022" s="11">
        <v>96.93</v>
      </c>
      <c r="B8022" s="14">
        <v>0.32730039999999999</v>
      </c>
      <c r="C8022" s="15">
        <v>0.20927390000000001</v>
      </c>
    </row>
    <row r="8023" spans="1:3" x14ac:dyDescent="0.45">
      <c r="A8023" s="11">
        <v>96.94</v>
      </c>
      <c r="B8023" s="14">
        <v>0.32756750000000001</v>
      </c>
      <c r="C8023" s="15">
        <v>0.20947950000000001</v>
      </c>
    </row>
    <row r="8024" spans="1:3" x14ac:dyDescent="0.45">
      <c r="A8024" s="11">
        <v>96.95</v>
      </c>
      <c r="B8024" s="14">
        <v>0.32783459999999998</v>
      </c>
      <c r="C8024" s="15">
        <v>0.20968510000000001</v>
      </c>
    </row>
    <row r="8025" spans="1:3" x14ac:dyDescent="0.45">
      <c r="A8025" s="11">
        <v>96.96</v>
      </c>
      <c r="B8025" s="14">
        <v>0.3281017</v>
      </c>
      <c r="C8025" s="15">
        <v>0.20989070000000001</v>
      </c>
    </row>
    <row r="8026" spans="1:3" x14ac:dyDescent="0.45">
      <c r="A8026" s="11">
        <v>96.97</v>
      </c>
      <c r="B8026" s="14">
        <v>0.32836880000000002</v>
      </c>
      <c r="C8026" s="15">
        <v>0.21009630000000001</v>
      </c>
    </row>
    <row r="8027" spans="1:3" x14ac:dyDescent="0.45">
      <c r="A8027" s="11">
        <v>96.98</v>
      </c>
      <c r="B8027" s="14">
        <v>0.32863579999999998</v>
      </c>
      <c r="C8027" s="15">
        <v>0.21030180000000001</v>
      </c>
    </row>
    <row r="8028" spans="1:3" x14ac:dyDescent="0.45">
      <c r="A8028" s="11">
        <v>96.99</v>
      </c>
      <c r="B8028" s="14">
        <v>0.3289029</v>
      </c>
      <c r="C8028" s="15">
        <v>0.21050740000000001</v>
      </c>
    </row>
    <row r="8029" spans="1:3" x14ac:dyDescent="0.45">
      <c r="A8029" s="11">
        <v>97</v>
      </c>
      <c r="B8029" s="14">
        <v>0.32917000000000002</v>
      </c>
      <c r="C8029" s="15">
        <v>0.21071300000000001</v>
      </c>
    </row>
    <row r="8030" spans="1:3" x14ac:dyDescent="0.45">
      <c r="A8030" s="11">
        <v>97.01</v>
      </c>
      <c r="B8030" s="14">
        <v>0.3294571</v>
      </c>
      <c r="C8030" s="15">
        <v>0.21094080000000001</v>
      </c>
    </row>
    <row r="8031" spans="1:3" x14ac:dyDescent="0.45">
      <c r="A8031" s="11">
        <v>97.02</v>
      </c>
      <c r="B8031" s="14">
        <v>0.32974419999999999</v>
      </c>
      <c r="C8031" s="15">
        <v>0.21116860000000001</v>
      </c>
    </row>
    <row r="8032" spans="1:3" x14ac:dyDescent="0.45">
      <c r="A8032" s="11">
        <v>97.03</v>
      </c>
      <c r="B8032" s="14">
        <v>0.33003139999999997</v>
      </c>
      <c r="C8032" s="15">
        <v>0.21139649999999999</v>
      </c>
    </row>
    <row r="8033" spans="1:3" x14ac:dyDescent="0.45">
      <c r="A8033" s="11">
        <v>97.04</v>
      </c>
      <c r="B8033" s="14">
        <v>0.33031850000000001</v>
      </c>
      <c r="C8033" s="15">
        <v>0.21162429999999999</v>
      </c>
    </row>
    <row r="8034" spans="1:3" x14ac:dyDescent="0.45">
      <c r="A8034" s="11">
        <v>97.05</v>
      </c>
      <c r="B8034" s="14">
        <v>0.3306056</v>
      </c>
      <c r="C8034" s="15">
        <v>0.21185209999999999</v>
      </c>
    </row>
    <row r="8035" spans="1:3" x14ac:dyDescent="0.45">
      <c r="A8035" s="11">
        <v>97.06</v>
      </c>
      <c r="B8035" s="14">
        <v>0.33089269999999998</v>
      </c>
      <c r="C8035" s="15">
        <v>0.21207989999999999</v>
      </c>
    </row>
    <row r="8036" spans="1:3" x14ac:dyDescent="0.45">
      <c r="A8036" s="11">
        <v>97.07</v>
      </c>
      <c r="B8036" s="14">
        <v>0.33117980000000002</v>
      </c>
      <c r="C8036" s="15">
        <v>0.21230769999999999</v>
      </c>
    </row>
    <row r="8037" spans="1:3" x14ac:dyDescent="0.45">
      <c r="A8037" s="11">
        <v>97.08</v>
      </c>
      <c r="B8037" s="14">
        <v>0.33146700000000001</v>
      </c>
      <c r="C8037" s="15">
        <v>0.21253559999999999</v>
      </c>
    </row>
    <row r="8038" spans="1:3" x14ac:dyDescent="0.45">
      <c r="A8038" s="11">
        <v>97.09</v>
      </c>
      <c r="B8038" s="14">
        <v>0.3317541</v>
      </c>
      <c r="C8038" s="15">
        <v>0.21276339999999999</v>
      </c>
    </row>
    <row r="8039" spans="1:3" x14ac:dyDescent="0.45">
      <c r="A8039" s="11">
        <v>97.1</v>
      </c>
      <c r="B8039" s="14">
        <v>0.33204119999999998</v>
      </c>
      <c r="C8039" s="15">
        <v>0.21299119999999999</v>
      </c>
    </row>
    <row r="8040" spans="1:3" x14ac:dyDescent="0.45">
      <c r="A8040" s="11">
        <v>97.11</v>
      </c>
      <c r="B8040" s="14">
        <v>0.33232830000000002</v>
      </c>
      <c r="C8040" s="15">
        <v>0.21321899999999999</v>
      </c>
    </row>
    <row r="8041" spans="1:3" x14ac:dyDescent="0.45">
      <c r="A8041" s="11">
        <v>97.12</v>
      </c>
      <c r="B8041" s="14">
        <v>0.33261540000000001</v>
      </c>
      <c r="C8041" s="15">
        <v>0.21344679999999999</v>
      </c>
    </row>
    <row r="8042" spans="1:3" x14ac:dyDescent="0.45">
      <c r="A8042" s="11">
        <v>97.13</v>
      </c>
      <c r="B8042" s="14">
        <v>0.33290259999999999</v>
      </c>
      <c r="C8042" s="15">
        <v>0.2136747</v>
      </c>
    </row>
    <row r="8043" spans="1:3" x14ac:dyDescent="0.45">
      <c r="A8043" s="11">
        <v>97.14</v>
      </c>
      <c r="B8043" s="14">
        <v>0.33318969999999998</v>
      </c>
      <c r="C8043" s="15">
        <v>0.2139025</v>
      </c>
    </row>
    <row r="8044" spans="1:3" x14ac:dyDescent="0.45">
      <c r="A8044" s="11">
        <v>97.15</v>
      </c>
      <c r="B8044" s="14">
        <v>0.33347680000000002</v>
      </c>
      <c r="C8044" s="15">
        <v>0.2141303</v>
      </c>
    </row>
    <row r="8045" spans="1:3" x14ac:dyDescent="0.45">
      <c r="A8045" s="11">
        <v>97.16</v>
      </c>
      <c r="B8045" s="14">
        <v>0.3337639</v>
      </c>
      <c r="C8045" s="15">
        <v>0.2143581</v>
      </c>
    </row>
    <row r="8046" spans="1:3" x14ac:dyDescent="0.45">
      <c r="A8046" s="11">
        <v>97.17</v>
      </c>
      <c r="B8046" s="14">
        <v>0.33405099999999999</v>
      </c>
      <c r="C8046" s="15">
        <v>0.2145859</v>
      </c>
    </row>
    <row r="8047" spans="1:3" x14ac:dyDescent="0.45">
      <c r="A8047" s="11">
        <v>97.18</v>
      </c>
      <c r="B8047" s="14">
        <v>0.33433819999999997</v>
      </c>
      <c r="C8047" s="15">
        <v>0.2148138</v>
      </c>
    </row>
    <row r="8048" spans="1:3" x14ac:dyDescent="0.45">
      <c r="A8048" s="11">
        <v>97.19</v>
      </c>
      <c r="B8048" s="14">
        <v>0.33462530000000001</v>
      </c>
      <c r="C8048" s="15">
        <v>0.2150416</v>
      </c>
    </row>
    <row r="8049" spans="1:3" x14ac:dyDescent="0.45">
      <c r="A8049" s="11">
        <v>97.2</v>
      </c>
      <c r="B8049" s="14">
        <v>0.3349124</v>
      </c>
      <c r="C8049" s="15">
        <v>0.2152694</v>
      </c>
    </row>
    <row r="8050" spans="1:3" x14ac:dyDescent="0.45">
      <c r="A8050" s="11">
        <v>97.21</v>
      </c>
      <c r="B8050" s="14">
        <v>0.33519949999999998</v>
      </c>
      <c r="C8050" s="15">
        <v>0.2154972</v>
      </c>
    </row>
    <row r="8051" spans="1:3" x14ac:dyDescent="0.45">
      <c r="A8051" s="11">
        <v>97.22</v>
      </c>
      <c r="B8051" s="14">
        <v>0.33548660000000002</v>
      </c>
      <c r="C8051" s="15">
        <v>0.215725</v>
      </c>
    </row>
    <row r="8052" spans="1:3" x14ac:dyDescent="0.45">
      <c r="A8052" s="11">
        <v>97.23</v>
      </c>
      <c r="B8052" s="14">
        <v>0.33577380000000001</v>
      </c>
      <c r="C8052" s="15">
        <v>0.2159529</v>
      </c>
    </row>
    <row r="8053" spans="1:3" x14ac:dyDescent="0.45">
      <c r="A8053" s="11">
        <v>97.24</v>
      </c>
      <c r="B8053" s="14">
        <v>0.3360609</v>
      </c>
      <c r="C8053" s="15">
        <v>0.2161807</v>
      </c>
    </row>
    <row r="8054" spans="1:3" x14ac:dyDescent="0.45">
      <c r="A8054" s="11">
        <v>97.25</v>
      </c>
      <c r="B8054" s="14">
        <v>0.33634799999999998</v>
      </c>
      <c r="C8054" s="15">
        <v>0.2164085</v>
      </c>
    </row>
    <row r="8055" spans="1:3" x14ac:dyDescent="0.45">
      <c r="A8055" s="11">
        <v>97.26</v>
      </c>
      <c r="B8055" s="14">
        <v>0.33663510000000002</v>
      </c>
      <c r="C8055" s="15">
        <v>0.2166363</v>
      </c>
    </row>
    <row r="8056" spans="1:3" x14ac:dyDescent="0.45">
      <c r="A8056" s="11">
        <v>97.27</v>
      </c>
      <c r="B8056" s="14">
        <v>0.33692220000000001</v>
      </c>
      <c r="C8056" s="15">
        <v>0.2168641</v>
      </c>
    </row>
    <row r="8057" spans="1:3" x14ac:dyDescent="0.45">
      <c r="A8057" s="11">
        <v>97.28</v>
      </c>
      <c r="B8057" s="14">
        <v>0.33720939999999999</v>
      </c>
      <c r="C8057" s="15">
        <v>0.21709200000000001</v>
      </c>
    </row>
    <row r="8058" spans="1:3" x14ac:dyDescent="0.45">
      <c r="A8058" s="11">
        <v>97.29</v>
      </c>
      <c r="B8058" s="14">
        <v>0.33749649999999998</v>
      </c>
      <c r="C8058" s="15">
        <v>0.21731980000000001</v>
      </c>
    </row>
    <row r="8059" spans="1:3" x14ac:dyDescent="0.45">
      <c r="A8059" s="11">
        <v>97.3</v>
      </c>
      <c r="B8059" s="14">
        <v>0.33778360000000002</v>
      </c>
      <c r="C8059" s="15">
        <v>0.21754760000000001</v>
      </c>
    </row>
    <row r="8060" spans="1:3" x14ac:dyDescent="0.45">
      <c r="A8060" s="11">
        <v>97.31</v>
      </c>
      <c r="B8060" s="14">
        <v>0.3380707</v>
      </c>
      <c r="C8060" s="15">
        <v>0.21777540000000001</v>
      </c>
    </row>
    <row r="8061" spans="1:3" x14ac:dyDescent="0.45">
      <c r="A8061" s="11">
        <v>97.32</v>
      </c>
      <c r="B8061" s="14">
        <v>0.33835779999999999</v>
      </c>
      <c r="C8061" s="15">
        <v>0.21800320000000001</v>
      </c>
    </row>
    <row r="8062" spans="1:3" x14ac:dyDescent="0.45">
      <c r="A8062" s="11">
        <v>97.33</v>
      </c>
      <c r="B8062" s="14">
        <v>0.33864499999999997</v>
      </c>
      <c r="C8062" s="15">
        <v>0.21823110000000001</v>
      </c>
    </row>
    <row r="8063" spans="1:3" x14ac:dyDescent="0.45">
      <c r="A8063" s="11">
        <v>97.34</v>
      </c>
      <c r="B8063" s="14">
        <v>0.33893210000000001</v>
      </c>
      <c r="C8063" s="15">
        <v>0.21845890000000001</v>
      </c>
    </row>
    <row r="8064" spans="1:3" x14ac:dyDescent="0.45">
      <c r="A8064" s="11">
        <v>97.35</v>
      </c>
      <c r="B8064" s="14">
        <v>0.3392192</v>
      </c>
      <c r="C8064" s="15">
        <v>0.21868670000000001</v>
      </c>
    </row>
    <row r="8065" spans="1:3" x14ac:dyDescent="0.45">
      <c r="A8065" s="11">
        <v>97.36</v>
      </c>
      <c r="B8065" s="14">
        <v>0.33950629999999998</v>
      </c>
      <c r="C8065" s="15">
        <v>0.21891450000000001</v>
      </c>
    </row>
    <row r="8066" spans="1:3" x14ac:dyDescent="0.45">
      <c r="A8066" s="11">
        <v>97.37</v>
      </c>
      <c r="B8066" s="14">
        <v>0.33979340000000002</v>
      </c>
      <c r="C8066" s="15">
        <v>0.21914230000000001</v>
      </c>
    </row>
    <row r="8067" spans="1:3" x14ac:dyDescent="0.45">
      <c r="A8067" s="11">
        <v>97.38</v>
      </c>
      <c r="B8067" s="14">
        <v>0.34008060000000001</v>
      </c>
      <c r="C8067" s="15">
        <v>0.21937019999999999</v>
      </c>
    </row>
    <row r="8068" spans="1:3" x14ac:dyDescent="0.45">
      <c r="A8068" s="11">
        <v>97.39</v>
      </c>
      <c r="B8068" s="14">
        <v>0.3403677</v>
      </c>
      <c r="C8068" s="15">
        <v>0.21959799999999999</v>
      </c>
    </row>
    <row r="8069" spans="1:3" x14ac:dyDescent="0.45">
      <c r="A8069" s="11">
        <v>97.4</v>
      </c>
      <c r="B8069" s="14">
        <v>0.34065479999999998</v>
      </c>
      <c r="C8069" s="15">
        <v>0.21982579999999999</v>
      </c>
    </row>
    <row r="8070" spans="1:3" x14ac:dyDescent="0.45">
      <c r="A8070" s="11">
        <v>97.41</v>
      </c>
      <c r="B8070" s="14">
        <v>0.34094190000000002</v>
      </c>
      <c r="C8070" s="15">
        <v>0.22005359999999999</v>
      </c>
    </row>
    <row r="8071" spans="1:3" x14ac:dyDescent="0.45">
      <c r="A8071" s="11">
        <v>97.42</v>
      </c>
      <c r="B8071" s="14">
        <v>0.341229</v>
      </c>
      <c r="C8071" s="15">
        <v>0.22028139999999999</v>
      </c>
    </row>
    <row r="8072" spans="1:3" x14ac:dyDescent="0.45">
      <c r="A8072" s="11">
        <v>97.43</v>
      </c>
      <c r="B8072" s="14">
        <v>0.34151619999999999</v>
      </c>
      <c r="C8072" s="15">
        <v>0.22050929999999999</v>
      </c>
    </row>
    <row r="8073" spans="1:3" x14ac:dyDescent="0.45">
      <c r="A8073" s="11">
        <v>97.44</v>
      </c>
      <c r="B8073" s="14">
        <v>0.34180329999999998</v>
      </c>
      <c r="C8073" s="15">
        <v>0.22073709999999999</v>
      </c>
    </row>
    <row r="8074" spans="1:3" x14ac:dyDescent="0.45">
      <c r="A8074" s="11">
        <v>97.45</v>
      </c>
      <c r="B8074" s="14">
        <v>0.34209040000000002</v>
      </c>
      <c r="C8074" s="15">
        <v>0.22096489999999999</v>
      </c>
    </row>
    <row r="8075" spans="1:3" x14ac:dyDescent="0.45">
      <c r="A8075" s="11">
        <v>97.46</v>
      </c>
      <c r="B8075" s="14">
        <v>0.3423775</v>
      </c>
      <c r="C8075" s="15">
        <v>0.22119269999999999</v>
      </c>
    </row>
    <row r="8076" spans="1:3" x14ac:dyDescent="0.45">
      <c r="A8076" s="11">
        <v>97.47</v>
      </c>
      <c r="B8076" s="14">
        <v>0.34266459999999999</v>
      </c>
      <c r="C8076" s="15">
        <v>0.22142049999999999</v>
      </c>
    </row>
    <row r="8077" spans="1:3" x14ac:dyDescent="0.45">
      <c r="A8077" s="11">
        <v>97.48</v>
      </c>
      <c r="B8077" s="14">
        <v>0.34295179999999997</v>
      </c>
      <c r="C8077" s="15">
        <v>0.2216484</v>
      </c>
    </row>
    <row r="8078" spans="1:3" x14ac:dyDescent="0.45">
      <c r="A8078" s="11">
        <v>97.49</v>
      </c>
      <c r="B8078" s="14">
        <v>0.34323890000000001</v>
      </c>
      <c r="C8078" s="15">
        <v>0.2218762</v>
      </c>
    </row>
    <row r="8079" spans="1:3" x14ac:dyDescent="0.45">
      <c r="A8079" s="11">
        <v>97.5</v>
      </c>
      <c r="B8079" s="14">
        <v>0.343526</v>
      </c>
      <c r="C8079" s="15">
        <v>0.222104</v>
      </c>
    </row>
    <row r="8080" spans="1:3" x14ac:dyDescent="0.45">
      <c r="A8080" s="11">
        <v>97.51</v>
      </c>
      <c r="B8080" s="14">
        <v>0.34381309999999998</v>
      </c>
      <c r="C8080" s="15">
        <v>0.2223318</v>
      </c>
    </row>
    <row r="8081" spans="1:3" x14ac:dyDescent="0.45">
      <c r="A8081" s="11">
        <v>97.52</v>
      </c>
      <c r="B8081" s="14">
        <v>0.34410020000000002</v>
      </c>
      <c r="C8081" s="15">
        <v>0.2225596</v>
      </c>
    </row>
    <row r="8082" spans="1:3" x14ac:dyDescent="0.45">
      <c r="A8082" s="11">
        <v>97.53</v>
      </c>
      <c r="B8082" s="14">
        <v>0.34438740000000001</v>
      </c>
      <c r="C8082" s="15">
        <v>0.2227875</v>
      </c>
    </row>
    <row r="8083" spans="1:3" x14ac:dyDescent="0.45">
      <c r="A8083" s="11">
        <v>97.54</v>
      </c>
      <c r="B8083" s="14">
        <v>0.34467449999999999</v>
      </c>
      <c r="C8083" s="15">
        <v>0.2230153</v>
      </c>
    </row>
    <row r="8084" spans="1:3" x14ac:dyDescent="0.45">
      <c r="A8084" s="11">
        <v>97.55</v>
      </c>
      <c r="B8084" s="14">
        <v>0.34496159999999998</v>
      </c>
      <c r="C8084" s="15">
        <v>0.2232431</v>
      </c>
    </row>
    <row r="8085" spans="1:3" x14ac:dyDescent="0.45">
      <c r="A8085" s="11">
        <v>97.56</v>
      </c>
      <c r="B8085" s="14">
        <v>0.34524870000000002</v>
      </c>
      <c r="C8085" s="15">
        <v>0.2234709</v>
      </c>
    </row>
    <row r="8086" spans="1:3" x14ac:dyDescent="0.45">
      <c r="A8086" s="11">
        <v>97.57</v>
      </c>
      <c r="B8086" s="14">
        <v>0.3455358</v>
      </c>
      <c r="C8086" s="15">
        <v>0.2236987</v>
      </c>
    </row>
    <row r="8087" spans="1:3" x14ac:dyDescent="0.45">
      <c r="A8087" s="11">
        <v>97.58</v>
      </c>
      <c r="B8087" s="14">
        <v>0.34582299999999999</v>
      </c>
      <c r="C8087" s="15">
        <v>0.2239266</v>
      </c>
    </row>
    <row r="8088" spans="1:3" x14ac:dyDescent="0.45">
      <c r="A8088" s="11">
        <v>97.59</v>
      </c>
      <c r="B8088" s="14">
        <v>0.34611009999999998</v>
      </c>
      <c r="C8088" s="15">
        <v>0.2241544</v>
      </c>
    </row>
    <row r="8089" spans="1:3" x14ac:dyDescent="0.45">
      <c r="A8089" s="11">
        <v>97.6</v>
      </c>
      <c r="B8089" s="14">
        <v>0.34639720000000002</v>
      </c>
      <c r="C8089" s="15">
        <v>0.2243822</v>
      </c>
    </row>
    <row r="8090" spans="1:3" x14ac:dyDescent="0.45">
      <c r="A8090" s="11">
        <v>97.61</v>
      </c>
      <c r="B8090" s="14">
        <v>0.3466843</v>
      </c>
      <c r="C8090" s="15">
        <v>0.22461</v>
      </c>
    </row>
    <row r="8091" spans="1:3" x14ac:dyDescent="0.45">
      <c r="A8091" s="11">
        <v>97.62</v>
      </c>
      <c r="B8091" s="14">
        <v>0.34697139999999999</v>
      </c>
      <c r="C8091" s="15">
        <v>0.2248378</v>
      </c>
    </row>
    <row r="8092" spans="1:3" x14ac:dyDescent="0.45">
      <c r="A8092" s="11">
        <v>97.63</v>
      </c>
      <c r="B8092" s="14">
        <v>0.34725859999999997</v>
      </c>
      <c r="C8092" s="15">
        <v>0.22506570000000001</v>
      </c>
    </row>
    <row r="8093" spans="1:3" x14ac:dyDescent="0.45">
      <c r="A8093" s="11">
        <v>97.64</v>
      </c>
      <c r="B8093" s="14">
        <v>0.34754570000000001</v>
      </c>
      <c r="C8093" s="15">
        <v>0.22529350000000001</v>
      </c>
    </row>
    <row r="8094" spans="1:3" x14ac:dyDescent="0.45">
      <c r="A8094" s="11">
        <v>97.65</v>
      </c>
      <c r="B8094" s="14">
        <v>0.3478328</v>
      </c>
      <c r="C8094" s="15">
        <v>0.22552130000000001</v>
      </c>
    </row>
    <row r="8095" spans="1:3" x14ac:dyDescent="0.45">
      <c r="A8095" s="11">
        <v>97.66</v>
      </c>
      <c r="B8095" s="14">
        <v>0.34811989999999998</v>
      </c>
      <c r="C8095" s="15">
        <v>0.22574910000000001</v>
      </c>
    </row>
    <row r="8096" spans="1:3" x14ac:dyDescent="0.45">
      <c r="A8096" s="11">
        <v>97.67</v>
      </c>
      <c r="B8096" s="14">
        <v>0.34840700000000002</v>
      </c>
      <c r="C8096" s="15">
        <v>0.22597690000000001</v>
      </c>
    </row>
    <row r="8097" spans="1:3" x14ac:dyDescent="0.45">
      <c r="A8097" s="11">
        <v>97.68</v>
      </c>
      <c r="B8097" s="14">
        <v>0.34869420000000001</v>
      </c>
      <c r="C8097" s="15">
        <v>0.22620480000000001</v>
      </c>
    </row>
    <row r="8098" spans="1:3" x14ac:dyDescent="0.45">
      <c r="A8098" s="11">
        <v>97.69</v>
      </c>
      <c r="B8098" s="14">
        <v>0.34898129999999999</v>
      </c>
      <c r="C8098" s="15">
        <v>0.22643260000000001</v>
      </c>
    </row>
    <row r="8099" spans="1:3" x14ac:dyDescent="0.45">
      <c r="A8099" s="11">
        <v>97.7</v>
      </c>
      <c r="B8099" s="14">
        <v>0.34926839999999998</v>
      </c>
      <c r="C8099" s="15">
        <v>0.22666040000000001</v>
      </c>
    </row>
    <row r="8100" spans="1:3" x14ac:dyDescent="0.45">
      <c r="A8100" s="11">
        <v>97.71</v>
      </c>
      <c r="B8100" s="14">
        <v>0.34955550000000002</v>
      </c>
      <c r="C8100" s="15">
        <v>0.22688820000000001</v>
      </c>
    </row>
    <row r="8101" spans="1:3" x14ac:dyDescent="0.45">
      <c r="A8101" s="11">
        <v>97.72</v>
      </c>
      <c r="B8101" s="14">
        <v>0.3498426</v>
      </c>
      <c r="C8101" s="15">
        <v>0.22711600000000001</v>
      </c>
    </row>
    <row r="8102" spans="1:3" x14ac:dyDescent="0.45">
      <c r="A8102" s="11">
        <v>97.73</v>
      </c>
      <c r="B8102" s="14">
        <v>0.35012979999999999</v>
      </c>
      <c r="C8102" s="15">
        <v>0.22734389999999999</v>
      </c>
    </row>
    <row r="8103" spans="1:3" x14ac:dyDescent="0.45">
      <c r="A8103" s="11">
        <v>97.74</v>
      </c>
      <c r="B8103" s="14">
        <v>0.35041689999999998</v>
      </c>
      <c r="C8103" s="15">
        <v>0.22757169999999999</v>
      </c>
    </row>
    <row r="8104" spans="1:3" x14ac:dyDescent="0.45">
      <c r="A8104" s="11">
        <v>97.75</v>
      </c>
      <c r="B8104" s="14">
        <v>0.35070400000000002</v>
      </c>
      <c r="C8104" s="15">
        <v>0.22779949999999999</v>
      </c>
    </row>
    <row r="8105" spans="1:3" x14ac:dyDescent="0.45">
      <c r="A8105" s="11">
        <v>97.76</v>
      </c>
      <c r="B8105" s="14">
        <v>0.3509911</v>
      </c>
      <c r="C8105" s="15">
        <v>0.22802729999999999</v>
      </c>
    </row>
    <row r="8106" spans="1:3" x14ac:dyDescent="0.45">
      <c r="A8106" s="11">
        <v>97.77</v>
      </c>
      <c r="B8106" s="14">
        <v>0.35127819999999998</v>
      </c>
      <c r="C8106" s="15">
        <v>0.22825509999999999</v>
      </c>
    </row>
    <row r="8107" spans="1:3" x14ac:dyDescent="0.45">
      <c r="A8107" s="11">
        <v>97.78</v>
      </c>
      <c r="B8107" s="14">
        <v>0.35156539999999997</v>
      </c>
      <c r="C8107" s="15">
        <v>0.22848299999999999</v>
      </c>
    </row>
    <row r="8108" spans="1:3" x14ac:dyDescent="0.45">
      <c r="A8108" s="11">
        <v>97.79</v>
      </c>
      <c r="B8108" s="14">
        <v>0.35185250000000001</v>
      </c>
      <c r="C8108" s="15">
        <v>0.22871079999999999</v>
      </c>
    </row>
    <row r="8109" spans="1:3" x14ac:dyDescent="0.45">
      <c r="A8109" s="11">
        <v>97.8</v>
      </c>
      <c r="B8109" s="14">
        <v>0.3521396</v>
      </c>
      <c r="C8109" s="15">
        <v>0.22893859999999999</v>
      </c>
    </row>
    <row r="8110" spans="1:3" x14ac:dyDescent="0.45">
      <c r="A8110" s="11">
        <v>97.81</v>
      </c>
      <c r="B8110" s="14">
        <v>0.35242669999999998</v>
      </c>
      <c r="C8110" s="15">
        <v>0.22916639999999999</v>
      </c>
    </row>
    <row r="8111" spans="1:3" x14ac:dyDescent="0.45">
      <c r="A8111" s="11">
        <v>97.82</v>
      </c>
      <c r="B8111" s="14">
        <v>0.35271380000000002</v>
      </c>
      <c r="C8111" s="15">
        <v>0.22939419999999999</v>
      </c>
    </row>
    <row r="8112" spans="1:3" x14ac:dyDescent="0.45">
      <c r="A8112" s="11">
        <v>97.83</v>
      </c>
      <c r="B8112" s="14">
        <v>0.35300100000000001</v>
      </c>
      <c r="C8112" s="15">
        <v>0.2296221</v>
      </c>
    </row>
    <row r="8113" spans="1:3" x14ac:dyDescent="0.45">
      <c r="A8113" s="11">
        <v>97.84</v>
      </c>
      <c r="B8113" s="14">
        <v>0.35328809999999999</v>
      </c>
      <c r="C8113" s="15">
        <v>0.2298499</v>
      </c>
    </row>
    <row r="8114" spans="1:3" x14ac:dyDescent="0.45">
      <c r="A8114" s="11">
        <v>97.85</v>
      </c>
      <c r="B8114" s="14">
        <v>0.35357519999999998</v>
      </c>
      <c r="C8114" s="15">
        <v>0.2300777</v>
      </c>
    </row>
    <row r="8115" spans="1:3" x14ac:dyDescent="0.45">
      <c r="A8115" s="11">
        <v>97.86</v>
      </c>
      <c r="B8115" s="14">
        <v>0.35386230000000002</v>
      </c>
      <c r="C8115" s="15">
        <v>0.2303055</v>
      </c>
    </row>
    <row r="8116" spans="1:3" x14ac:dyDescent="0.45">
      <c r="A8116" s="11">
        <v>97.87</v>
      </c>
      <c r="B8116" s="14">
        <v>0.3541494</v>
      </c>
      <c r="C8116" s="15">
        <v>0.2305333</v>
      </c>
    </row>
    <row r="8117" spans="1:3" x14ac:dyDescent="0.45">
      <c r="A8117" s="11">
        <v>97.88</v>
      </c>
      <c r="B8117" s="14">
        <v>0.35443659999999999</v>
      </c>
      <c r="C8117" s="15">
        <v>0.2307612</v>
      </c>
    </row>
    <row r="8118" spans="1:3" x14ac:dyDescent="0.45">
      <c r="A8118" s="11">
        <v>97.89</v>
      </c>
      <c r="B8118" s="14">
        <v>0.35472369999999998</v>
      </c>
      <c r="C8118" s="15">
        <v>0.230989</v>
      </c>
    </row>
    <row r="8119" spans="1:3" x14ac:dyDescent="0.45">
      <c r="A8119" s="11">
        <v>97.9</v>
      </c>
      <c r="B8119" s="14">
        <v>0.35501080000000002</v>
      </c>
      <c r="C8119" s="15">
        <v>0.2312168</v>
      </c>
    </row>
    <row r="8120" spans="1:3" x14ac:dyDescent="0.45">
      <c r="A8120" s="11">
        <v>97.91</v>
      </c>
      <c r="B8120" s="14">
        <v>0.3552979</v>
      </c>
      <c r="C8120" s="15">
        <v>0.2314446</v>
      </c>
    </row>
    <row r="8121" spans="1:3" x14ac:dyDescent="0.45">
      <c r="A8121" s="11">
        <v>97.92</v>
      </c>
      <c r="B8121" s="14">
        <v>0.35558499999999998</v>
      </c>
      <c r="C8121" s="15">
        <v>0.2316724</v>
      </c>
    </row>
    <row r="8122" spans="1:3" x14ac:dyDescent="0.45">
      <c r="A8122" s="11">
        <v>97.93</v>
      </c>
      <c r="B8122" s="14">
        <v>0.35587220000000003</v>
      </c>
      <c r="C8122" s="15">
        <v>0.2319003</v>
      </c>
    </row>
    <row r="8123" spans="1:3" x14ac:dyDescent="0.45">
      <c r="A8123" s="11">
        <v>97.94</v>
      </c>
      <c r="B8123" s="14">
        <v>0.35615930000000001</v>
      </c>
      <c r="C8123" s="15">
        <v>0.2321281</v>
      </c>
    </row>
    <row r="8124" spans="1:3" x14ac:dyDescent="0.45">
      <c r="A8124" s="11">
        <v>97.95</v>
      </c>
      <c r="B8124" s="14">
        <v>0.3564464</v>
      </c>
      <c r="C8124" s="15">
        <v>0.2323559</v>
      </c>
    </row>
    <row r="8125" spans="1:3" x14ac:dyDescent="0.45">
      <c r="A8125" s="11">
        <v>97.96</v>
      </c>
      <c r="B8125" s="14">
        <v>0.35673349999999998</v>
      </c>
      <c r="C8125" s="15">
        <v>0.2325837</v>
      </c>
    </row>
    <row r="8126" spans="1:3" x14ac:dyDescent="0.45">
      <c r="A8126" s="11">
        <v>97.97</v>
      </c>
      <c r="B8126" s="14">
        <v>0.35702060000000002</v>
      </c>
      <c r="C8126" s="15">
        <v>0.2328115</v>
      </c>
    </row>
    <row r="8127" spans="1:3" x14ac:dyDescent="0.45">
      <c r="A8127" s="11">
        <v>97.98</v>
      </c>
      <c r="B8127" s="14">
        <v>0.35730780000000001</v>
      </c>
      <c r="C8127" s="15">
        <v>0.23303940000000001</v>
      </c>
    </row>
    <row r="8128" spans="1:3" x14ac:dyDescent="0.45">
      <c r="A8128" s="11">
        <v>97.99</v>
      </c>
      <c r="B8128" s="14">
        <v>0.35759489999999999</v>
      </c>
      <c r="C8128" s="15">
        <v>0.23326720000000001</v>
      </c>
    </row>
    <row r="8129" spans="1:3" x14ac:dyDescent="0.45">
      <c r="A8129" s="11">
        <v>98</v>
      </c>
      <c r="B8129" s="14">
        <v>0.35788199999999998</v>
      </c>
      <c r="C8129" s="15">
        <v>0.23349500000000001</v>
      </c>
    </row>
    <row r="8130" spans="1:3" x14ac:dyDescent="0.45">
      <c r="A8130" s="11">
        <v>98.01</v>
      </c>
      <c r="B8130" s="14">
        <v>0.35819030000000002</v>
      </c>
      <c r="C8130" s="15">
        <v>0.2337475</v>
      </c>
    </row>
    <row r="8131" spans="1:3" x14ac:dyDescent="0.45">
      <c r="A8131" s="11">
        <v>98.02</v>
      </c>
      <c r="B8131" s="14">
        <v>0.3584986</v>
      </c>
      <c r="C8131" s="15">
        <v>0.23399990000000001</v>
      </c>
    </row>
    <row r="8132" spans="1:3" x14ac:dyDescent="0.45">
      <c r="A8132" s="11">
        <v>98.03</v>
      </c>
      <c r="B8132" s="14">
        <v>0.35880689999999998</v>
      </c>
      <c r="C8132" s="15">
        <v>0.2342524</v>
      </c>
    </row>
    <row r="8133" spans="1:3" x14ac:dyDescent="0.45">
      <c r="A8133" s="11">
        <v>98.04</v>
      </c>
      <c r="B8133" s="14">
        <v>0.35911520000000002</v>
      </c>
      <c r="C8133" s="15">
        <v>0.23450480000000001</v>
      </c>
    </row>
    <row r="8134" spans="1:3" x14ac:dyDescent="0.45">
      <c r="A8134" s="11">
        <v>98.05</v>
      </c>
      <c r="B8134" s="14">
        <v>0.3594234</v>
      </c>
      <c r="C8134" s="15">
        <v>0.2347573</v>
      </c>
    </row>
    <row r="8135" spans="1:3" x14ac:dyDescent="0.45">
      <c r="A8135" s="11">
        <v>98.06</v>
      </c>
      <c r="B8135" s="14">
        <v>0.35973169999999999</v>
      </c>
      <c r="C8135" s="15">
        <v>0.23500979999999999</v>
      </c>
    </row>
    <row r="8136" spans="1:3" x14ac:dyDescent="0.45">
      <c r="A8136" s="11">
        <v>98.07</v>
      </c>
      <c r="B8136" s="14">
        <v>0.36004000000000003</v>
      </c>
      <c r="C8136" s="15">
        <v>0.2352622</v>
      </c>
    </row>
    <row r="8137" spans="1:3" x14ac:dyDescent="0.45">
      <c r="A8137" s="11">
        <v>98.08</v>
      </c>
      <c r="B8137" s="14">
        <v>0.36034830000000001</v>
      </c>
      <c r="C8137" s="15">
        <v>0.23551469999999999</v>
      </c>
    </row>
    <row r="8138" spans="1:3" x14ac:dyDescent="0.45">
      <c r="A8138" s="11">
        <v>98.09</v>
      </c>
      <c r="B8138" s="14">
        <v>0.36065659999999999</v>
      </c>
      <c r="C8138" s="15">
        <v>0.23576710000000001</v>
      </c>
    </row>
    <row r="8139" spans="1:3" x14ac:dyDescent="0.45">
      <c r="A8139" s="11">
        <v>98.1</v>
      </c>
      <c r="B8139" s="14">
        <v>0.36096489999999998</v>
      </c>
      <c r="C8139" s="15">
        <v>0.2360196</v>
      </c>
    </row>
    <row r="8140" spans="1:3" x14ac:dyDescent="0.45">
      <c r="A8140" s="11">
        <v>98.11</v>
      </c>
      <c r="B8140" s="14">
        <v>0.36127320000000002</v>
      </c>
      <c r="C8140" s="15">
        <v>0.23627210000000001</v>
      </c>
    </row>
    <row r="8141" spans="1:3" x14ac:dyDescent="0.45">
      <c r="A8141" s="11">
        <v>98.12</v>
      </c>
      <c r="B8141" s="14">
        <v>0.3615815</v>
      </c>
      <c r="C8141" s="15">
        <v>0.2365245</v>
      </c>
    </row>
    <row r="8142" spans="1:3" x14ac:dyDescent="0.45">
      <c r="A8142" s="11">
        <v>98.13</v>
      </c>
      <c r="B8142" s="14">
        <v>0.36188979999999998</v>
      </c>
      <c r="C8142" s="15">
        <v>0.23677699999999999</v>
      </c>
    </row>
    <row r="8143" spans="1:3" x14ac:dyDescent="0.45">
      <c r="A8143" s="11">
        <v>98.14</v>
      </c>
      <c r="B8143" s="14">
        <v>0.36219810000000002</v>
      </c>
      <c r="C8143" s="15">
        <v>0.2370294</v>
      </c>
    </row>
    <row r="8144" spans="1:3" x14ac:dyDescent="0.45">
      <c r="A8144" s="11">
        <v>98.15</v>
      </c>
      <c r="B8144" s="14">
        <v>0.36250640000000001</v>
      </c>
      <c r="C8144" s="15">
        <v>0.23728189999999999</v>
      </c>
    </row>
    <row r="8145" spans="1:3" x14ac:dyDescent="0.45">
      <c r="A8145" s="11">
        <v>98.16</v>
      </c>
      <c r="B8145" s="14">
        <v>0.36281459999999999</v>
      </c>
      <c r="C8145" s="15">
        <v>0.23753440000000001</v>
      </c>
    </row>
    <row r="8146" spans="1:3" x14ac:dyDescent="0.45">
      <c r="A8146" s="11">
        <v>98.17</v>
      </c>
      <c r="B8146" s="14">
        <v>0.36312290000000003</v>
      </c>
      <c r="C8146" s="15">
        <v>0.23778679999999999</v>
      </c>
    </row>
    <row r="8147" spans="1:3" x14ac:dyDescent="0.45">
      <c r="A8147" s="11">
        <v>98.18</v>
      </c>
      <c r="B8147" s="14">
        <v>0.36343120000000001</v>
      </c>
      <c r="C8147" s="15">
        <v>0.23803930000000001</v>
      </c>
    </row>
    <row r="8148" spans="1:3" x14ac:dyDescent="0.45">
      <c r="A8148" s="11">
        <v>98.19</v>
      </c>
      <c r="B8148" s="14">
        <v>0.36373949999999999</v>
      </c>
      <c r="C8148" s="15">
        <v>0.2382917</v>
      </c>
    </row>
    <row r="8149" spans="1:3" x14ac:dyDescent="0.45">
      <c r="A8149" s="11">
        <v>98.2</v>
      </c>
      <c r="B8149" s="14">
        <v>0.36404779999999998</v>
      </c>
      <c r="C8149" s="15">
        <v>0.23854420000000001</v>
      </c>
    </row>
    <row r="8150" spans="1:3" x14ac:dyDescent="0.45">
      <c r="A8150" s="11">
        <v>98.21</v>
      </c>
      <c r="B8150" s="14">
        <v>0.36435610000000002</v>
      </c>
      <c r="C8150" s="15">
        <v>0.2387967</v>
      </c>
    </row>
    <row r="8151" spans="1:3" x14ac:dyDescent="0.45">
      <c r="A8151" s="11">
        <v>98.22</v>
      </c>
      <c r="B8151" s="14">
        <v>0.3646644</v>
      </c>
      <c r="C8151" s="15">
        <v>0.23904909999999999</v>
      </c>
    </row>
    <row r="8152" spans="1:3" x14ac:dyDescent="0.45">
      <c r="A8152" s="11">
        <v>98.23</v>
      </c>
      <c r="B8152" s="14">
        <v>0.36497269999999998</v>
      </c>
      <c r="C8152" s="15">
        <v>0.2393016</v>
      </c>
    </row>
    <row r="8153" spans="1:3" x14ac:dyDescent="0.45">
      <c r="A8153" s="11">
        <v>98.24</v>
      </c>
      <c r="B8153" s="14">
        <v>0.36528100000000002</v>
      </c>
      <c r="C8153" s="15">
        <v>0.23955399999999999</v>
      </c>
    </row>
    <row r="8154" spans="1:3" x14ac:dyDescent="0.45">
      <c r="A8154" s="11">
        <v>98.25</v>
      </c>
      <c r="B8154" s="14">
        <v>0.3655892</v>
      </c>
      <c r="C8154" s="15">
        <v>0.23980650000000001</v>
      </c>
    </row>
    <row r="8155" spans="1:3" x14ac:dyDescent="0.45">
      <c r="A8155" s="11">
        <v>98.26</v>
      </c>
      <c r="B8155" s="14">
        <v>0.36589749999999999</v>
      </c>
      <c r="C8155" s="15">
        <v>0.24005899999999999</v>
      </c>
    </row>
    <row r="8156" spans="1:3" x14ac:dyDescent="0.45">
      <c r="A8156" s="11">
        <v>98.27</v>
      </c>
      <c r="B8156" s="14">
        <v>0.36620580000000003</v>
      </c>
      <c r="C8156" s="15">
        <v>0.24031140000000001</v>
      </c>
    </row>
    <row r="8157" spans="1:3" x14ac:dyDescent="0.45">
      <c r="A8157" s="11">
        <v>98.28</v>
      </c>
      <c r="B8157" s="14">
        <v>0.36651410000000001</v>
      </c>
      <c r="C8157" s="15">
        <v>0.2405639</v>
      </c>
    </row>
    <row r="8158" spans="1:3" x14ac:dyDescent="0.45">
      <c r="A8158" s="11">
        <v>98.29</v>
      </c>
      <c r="B8158" s="14">
        <v>0.36682239999999999</v>
      </c>
      <c r="C8158" s="15">
        <v>0.24081630000000001</v>
      </c>
    </row>
    <row r="8159" spans="1:3" x14ac:dyDescent="0.45">
      <c r="A8159" s="11">
        <v>98.3</v>
      </c>
      <c r="B8159" s="14">
        <v>0.36713069999999998</v>
      </c>
      <c r="C8159" s="15">
        <v>0.2410688</v>
      </c>
    </row>
    <row r="8160" spans="1:3" x14ac:dyDescent="0.45">
      <c r="A8160" s="11">
        <v>98.31</v>
      </c>
      <c r="B8160" s="14">
        <v>0.36743900000000002</v>
      </c>
      <c r="C8160" s="15">
        <v>0.24132129999999999</v>
      </c>
    </row>
    <row r="8161" spans="1:3" x14ac:dyDescent="0.45">
      <c r="A8161" s="11">
        <v>98.32</v>
      </c>
      <c r="B8161" s="14">
        <v>0.3677473</v>
      </c>
      <c r="C8161" s="15">
        <v>0.2415737</v>
      </c>
    </row>
    <row r="8162" spans="1:3" x14ac:dyDescent="0.45">
      <c r="A8162" s="11">
        <v>98.33</v>
      </c>
      <c r="B8162" s="14">
        <v>0.36805559999999998</v>
      </c>
      <c r="C8162" s="15">
        <v>0.24182619999999999</v>
      </c>
    </row>
    <row r="8163" spans="1:3" x14ac:dyDescent="0.45">
      <c r="A8163" s="11">
        <v>98.34</v>
      </c>
      <c r="B8163" s="14">
        <v>0.36836390000000002</v>
      </c>
      <c r="C8163" s="15">
        <v>0.2420786</v>
      </c>
    </row>
    <row r="8164" spans="1:3" x14ac:dyDescent="0.45">
      <c r="A8164" s="11">
        <v>98.35</v>
      </c>
      <c r="B8164" s="14">
        <v>0.3686721</v>
      </c>
      <c r="C8164" s="15">
        <v>0.24233109999999999</v>
      </c>
    </row>
    <row r="8165" spans="1:3" x14ac:dyDescent="0.45">
      <c r="A8165" s="11">
        <v>98.36</v>
      </c>
      <c r="B8165" s="14">
        <v>0.36898039999999999</v>
      </c>
      <c r="C8165" s="15">
        <v>0.24258360000000001</v>
      </c>
    </row>
    <row r="8166" spans="1:3" x14ac:dyDescent="0.45">
      <c r="A8166" s="11">
        <v>98.37</v>
      </c>
      <c r="B8166" s="14">
        <v>0.36928870000000003</v>
      </c>
      <c r="C8166" s="15">
        <v>0.242836</v>
      </c>
    </row>
    <row r="8167" spans="1:3" x14ac:dyDescent="0.45">
      <c r="A8167" s="11">
        <v>98.38</v>
      </c>
      <c r="B8167" s="14">
        <v>0.36959700000000001</v>
      </c>
      <c r="C8167" s="15">
        <v>0.24308850000000001</v>
      </c>
    </row>
    <row r="8168" spans="1:3" x14ac:dyDescent="0.45">
      <c r="A8168" s="11">
        <v>98.39</v>
      </c>
      <c r="B8168" s="14">
        <v>0.36990529999999999</v>
      </c>
      <c r="C8168" s="15">
        <v>0.2433409</v>
      </c>
    </row>
    <row r="8169" spans="1:3" x14ac:dyDescent="0.45">
      <c r="A8169" s="11">
        <v>98.4</v>
      </c>
      <c r="B8169" s="14">
        <v>0.37021359999999998</v>
      </c>
      <c r="C8169" s="15">
        <v>0.24359339999999999</v>
      </c>
    </row>
    <row r="8170" spans="1:3" x14ac:dyDescent="0.45">
      <c r="A8170" s="11">
        <v>98.41</v>
      </c>
      <c r="B8170" s="14">
        <v>0.37052190000000002</v>
      </c>
      <c r="C8170" s="15">
        <v>0.2438459</v>
      </c>
    </row>
    <row r="8171" spans="1:3" x14ac:dyDescent="0.45">
      <c r="A8171" s="11">
        <v>98.42</v>
      </c>
      <c r="B8171" s="14">
        <v>0.3708302</v>
      </c>
      <c r="C8171" s="15">
        <v>0.24409829999999999</v>
      </c>
    </row>
    <row r="8172" spans="1:3" x14ac:dyDescent="0.45">
      <c r="A8172" s="11">
        <v>98.43</v>
      </c>
      <c r="B8172" s="14">
        <v>0.37113849999999998</v>
      </c>
      <c r="C8172" s="15">
        <v>0.24435080000000001</v>
      </c>
    </row>
    <row r="8173" spans="1:3" x14ac:dyDescent="0.45">
      <c r="A8173" s="11">
        <v>98.44</v>
      </c>
      <c r="B8173" s="14">
        <v>0.37144680000000002</v>
      </c>
      <c r="C8173" s="15">
        <v>0.24460319999999999</v>
      </c>
    </row>
    <row r="8174" spans="1:3" x14ac:dyDescent="0.45">
      <c r="A8174" s="11">
        <v>98.45</v>
      </c>
      <c r="B8174" s="14">
        <v>0.3717551</v>
      </c>
      <c r="C8174" s="15">
        <v>0.24485570000000001</v>
      </c>
    </row>
    <row r="8175" spans="1:3" x14ac:dyDescent="0.45">
      <c r="A8175" s="11">
        <v>98.46</v>
      </c>
      <c r="B8175" s="14">
        <v>0.37206329999999999</v>
      </c>
      <c r="C8175" s="15">
        <v>0.2451082</v>
      </c>
    </row>
    <row r="8176" spans="1:3" x14ac:dyDescent="0.45">
      <c r="A8176" s="11">
        <v>98.47</v>
      </c>
      <c r="B8176" s="14">
        <v>0.37237160000000002</v>
      </c>
      <c r="C8176" s="15">
        <v>0.24536060000000001</v>
      </c>
    </row>
    <row r="8177" spans="1:3" x14ac:dyDescent="0.45">
      <c r="A8177" s="11">
        <v>98.48</v>
      </c>
      <c r="B8177" s="14">
        <v>0.37267990000000001</v>
      </c>
      <c r="C8177" s="15">
        <v>0.2456131</v>
      </c>
    </row>
    <row r="8178" spans="1:3" x14ac:dyDescent="0.45">
      <c r="A8178" s="11">
        <v>98.49</v>
      </c>
      <c r="B8178" s="14">
        <v>0.37298819999999999</v>
      </c>
      <c r="C8178" s="15">
        <v>0.24586549999999999</v>
      </c>
    </row>
    <row r="8179" spans="1:3" x14ac:dyDescent="0.45">
      <c r="A8179" s="11">
        <v>98.5</v>
      </c>
      <c r="B8179" s="14">
        <v>0.37329649999999998</v>
      </c>
      <c r="C8179" s="15">
        <v>0.246118</v>
      </c>
    </row>
    <row r="8180" spans="1:3" x14ac:dyDescent="0.45">
      <c r="A8180" s="11">
        <v>98.51</v>
      </c>
      <c r="B8180" s="14">
        <v>0.37360480000000001</v>
      </c>
      <c r="C8180" s="15">
        <v>0.24637049999999999</v>
      </c>
    </row>
    <row r="8181" spans="1:3" x14ac:dyDescent="0.45">
      <c r="A8181" s="11">
        <v>98.52</v>
      </c>
      <c r="B8181" s="14">
        <v>0.3739131</v>
      </c>
      <c r="C8181" s="15">
        <v>0.24662290000000001</v>
      </c>
    </row>
    <row r="8182" spans="1:3" x14ac:dyDescent="0.45">
      <c r="A8182" s="11">
        <v>98.53</v>
      </c>
      <c r="B8182" s="14">
        <v>0.37422139999999998</v>
      </c>
      <c r="C8182" s="15">
        <v>0.24687539999999999</v>
      </c>
    </row>
    <row r="8183" spans="1:3" x14ac:dyDescent="0.45">
      <c r="A8183" s="11">
        <v>98.54</v>
      </c>
      <c r="B8183" s="14">
        <v>0.37452970000000002</v>
      </c>
      <c r="C8183" s="15">
        <v>0.24712780000000001</v>
      </c>
    </row>
    <row r="8184" spans="1:3" x14ac:dyDescent="0.45">
      <c r="A8184" s="11">
        <v>98.55</v>
      </c>
      <c r="B8184" s="14">
        <v>0.3748379</v>
      </c>
      <c r="C8184" s="15">
        <v>0.2473803</v>
      </c>
    </row>
    <row r="8185" spans="1:3" x14ac:dyDescent="0.45">
      <c r="A8185" s="11">
        <v>98.56</v>
      </c>
      <c r="B8185" s="14">
        <v>0.37514619999999999</v>
      </c>
      <c r="C8185" s="15">
        <v>0.24763279999999999</v>
      </c>
    </row>
    <row r="8186" spans="1:3" x14ac:dyDescent="0.45">
      <c r="A8186" s="11">
        <v>98.57</v>
      </c>
      <c r="B8186" s="14">
        <v>0.37545450000000002</v>
      </c>
      <c r="C8186" s="15">
        <v>0.2478852</v>
      </c>
    </row>
    <row r="8187" spans="1:3" x14ac:dyDescent="0.45">
      <c r="A8187" s="11">
        <v>98.58</v>
      </c>
      <c r="B8187" s="14">
        <v>0.37576280000000001</v>
      </c>
      <c r="C8187" s="15">
        <v>0.24813769999999999</v>
      </c>
    </row>
    <row r="8188" spans="1:3" x14ac:dyDescent="0.45">
      <c r="A8188" s="11">
        <v>98.59</v>
      </c>
      <c r="B8188" s="14">
        <v>0.37607109999999999</v>
      </c>
      <c r="C8188" s="15">
        <v>0.2483901</v>
      </c>
    </row>
    <row r="8189" spans="1:3" x14ac:dyDescent="0.45">
      <c r="A8189" s="11">
        <v>98.6</v>
      </c>
      <c r="B8189" s="14">
        <v>0.37637939999999998</v>
      </c>
      <c r="C8189" s="15">
        <v>0.24864259999999999</v>
      </c>
    </row>
    <row r="8190" spans="1:3" x14ac:dyDescent="0.45">
      <c r="A8190" s="11">
        <v>98.61</v>
      </c>
      <c r="B8190" s="14">
        <v>0.37668770000000001</v>
      </c>
      <c r="C8190" s="15">
        <v>0.24889510000000001</v>
      </c>
    </row>
    <row r="8191" spans="1:3" x14ac:dyDescent="0.45">
      <c r="A8191" s="11">
        <v>98.62</v>
      </c>
      <c r="B8191" s="14">
        <v>0.376996</v>
      </c>
      <c r="C8191" s="15">
        <v>0.24914749999999999</v>
      </c>
    </row>
    <row r="8192" spans="1:3" x14ac:dyDescent="0.45">
      <c r="A8192" s="11">
        <v>98.63</v>
      </c>
      <c r="B8192" s="14">
        <v>0.37730429999999998</v>
      </c>
      <c r="C8192" s="15">
        <v>0.24940000000000001</v>
      </c>
    </row>
    <row r="8193" spans="1:3" x14ac:dyDescent="0.45">
      <c r="A8193" s="11">
        <v>98.64</v>
      </c>
      <c r="B8193" s="14">
        <v>0.37761260000000002</v>
      </c>
      <c r="C8193" s="15">
        <v>0.2496524</v>
      </c>
    </row>
    <row r="8194" spans="1:3" x14ac:dyDescent="0.45">
      <c r="A8194" s="11">
        <v>98.65</v>
      </c>
      <c r="B8194" s="14">
        <v>0.3779209</v>
      </c>
      <c r="C8194" s="15">
        <v>0.24990490000000001</v>
      </c>
    </row>
    <row r="8195" spans="1:3" x14ac:dyDescent="0.45">
      <c r="A8195" s="11">
        <v>98.66</v>
      </c>
      <c r="B8195" s="14">
        <v>0.37822909999999998</v>
      </c>
      <c r="C8195" s="15">
        <v>0.25015739999999997</v>
      </c>
    </row>
    <row r="8196" spans="1:3" x14ac:dyDescent="0.45">
      <c r="A8196" s="11">
        <v>98.67</v>
      </c>
      <c r="B8196" s="14">
        <v>0.37853740000000002</v>
      </c>
      <c r="C8196" s="15">
        <v>0.25040980000000002</v>
      </c>
    </row>
    <row r="8197" spans="1:3" x14ac:dyDescent="0.45">
      <c r="A8197" s="11">
        <v>98.68</v>
      </c>
      <c r="B8197" s="14">
        <v>0.37884570000000001</v>
      </c>
      <c r="C8197" s="15">
        <v>0.2506623</v>
      </c>
    </row>
    <row r="8198" spans="1:3" x14ac:dyDescent="0.45">
      <c r="A8198" s="11">
        <v>98.69</v>
      </c>
      <c r="B8198" s="14">
        <v>0.37915399999999999</v>
      </c>
      <c r="C8198" s="15">
        <v>0.25091469999999999</v>
      </c>
    </row>
    <row r="8199" spans="1:3" x14ac:dyDescent="0.45">
      <c r="A8199" s="11">
        <v>98.7</v>
      </c>
      <c r="B8199" s="14">
        <v>0.37946229999999997</v>
      </c>
      <c r="C8199" s="15">
        <v>0.25116719999999998</v>
      </c>
    </row>
    <row r="8200" spans="1:3" x14ac:dyDescent="0.45">
      <c r="A8200" s="11">
        <v>98.71</v>
      </c>
      <c r="B8200" s="14">
        <v>0.37977060000000001</v>
      </c>
      <c r="C8200" s="15">
        <v>0.25141970000000002</v>
      </c>
    </row>
    <row r="8201" spans="1:3" x14ac:dyDescent="0.45">
      <c r="A8201" s="11">
        <v>98.72</v>
      </c>
      <c r="B8201" s="14">
        <v>0.3800789</v>
      </c>
      <c r="C8201" s="15">
        <v>0.25167210000000001</v>
      </c>
    </row>
    <row r="8202" spans="1:3" x14ac:dyDescent="0.45">
      <c r="A8202" s="11">
        <v>98.73</v>
      </c>
      <c r="B8202" s="14">
        <v>0.38038719999999998</v>
      </c>
      <c r="C8202" s="15">
        <v>0.2519246</v>
      </c>
    </row>
    <row r="8203" spans="1:3" x14ac:dyDescent="0.45">
      <c r="A8203" s="11">
        <v>98.74</v>
      </c>
      <c r="B8203" s="14">
        <v>0.38069550000000002</v>
      </c>
      <c r="C8203" s="15">
        <v>0.25217699999999998</v>
      </c>
    </row>
    <row r="8204" spans="1:3" x14ac:dyDescent="0.45">
      <c r="A8204" s="11">
        <v>98.75</v>
      </c>
      <c r="B8204" s="14">
        <v>0.3810037</v>
      </c>
      <c r="C8204" s="15">
        <v>0.25242949999999997</v>
      </c>
    </row>
    <row r="8205" spans="1:3" x14ac:dyDescent="0.45">
      <c r="A8205" s="11">
        <v>98.76</v>
      </c>
      <c r="B8205" s="14">
        <v>0.38131199999999998</v>
      </c>
      <c r="C8205" s="15">
        <v>0.25268200000000002</v>
      </c>
    </row>
    <row r="8206" spans="1:3" x14ac:dyDescent="0.45">
      <c r="A8206" s="11">
        <v>98.77</v>
      </c>
      <c r="B8206" s="14">
        <v>0.38162030000000002</v>
      </c>
      <c r="C8206" s="15">
        <v>0.2529344</v>
      </c>
    </row>
    <row r="8207" spans="1:3" x14ac:dyDescent="0.45">
      <c r="A8207" s="11">
        <v>98.78</v>
      </c>
      <c r="B8207" s="14">
        <v>0.38192860000000001</v>
      </c>
      <c r="C8207" s="15">
        <v>0.25318689999999999</v>
      </c>
    </row>
    <row r="8208" spans="1:3" x14ac:dyDescent="0.45">
      <c r="A8208" s="11">
        <v>98.79</v>
      </c>
      <c r="B8208" s="14">
        <v>0.38223689999999999</v>
      </c>
      <c r="C8208" s="15">
        <v>0.25343929999999998</v>
      </c>
    </row>
    <row r="8209" spans="1:3" x14ac:dyDescent="0.45">
      <c r="A8209" s="11">
        <v>98.8</v>
      </c>
      <c r="B8209" s="14">
        <v>0.38254519999999997</v>
      </c>
      <c r="C8209" s="15">
        <v>0.25369180000000002</v>
      </c>
    </row>
    <row r="8210" spans="1:3" x14ac:dyDescent="0.45">
      <c r="A8210" s="11">
        <v>98.81</v>
      </c>
      <c r="B8210" s="14">
        <v>0.38285350000000001</v>
      </c>
      <c r="C8210" s="15">
        <v>0.25394430000000001</v>
      </c>
    </row>
    <row r="8211" spans="1:3" x14ac:dyDescent="0.45">
      <c r="A8211" s="11">
        <v>98.82</v>
      </c>
      <c r="B8211" s="14">
        <v>0.3831618</v>
      </c>
      <c r="C8211" s="15">
        <v>0.2541967</v>
      </c>
    </row>
    <row r="8212" spans="1:3" x14ac:dyDescent="0.45">
      <c r="A8212" s="11">
        <v>98.83</v>
      </c>
      <c r="B8212" s="14">
        <v>0.38347009999999998</v>
      </c>
      <c r="C8212" s="15">
        <v>0.25444919999999999</v>
      </c>
    </row>
    <row r="8213" spans="1:3" x14ac:dyDescent="0.45">
      <c r="A8213" s="11">
        <v>98.84</v>
      </c>
      <c r="B8213" s="14">
        <v>0.38377840000000002</v>
      </c>
      <c r="C8213" s="15">
        <v>0.25470159999999997</v>
      </c>
    </row>
    <row r="8214" spans="1:3" x14ac:dyDescent="0.45">
      <c r="A8214" s="11">
        <v>98.85</v>
      </c>
      <c r="B8214" s="14">
        <v>0.3840866</v>
      </c>
      <c r="C8214" s="15">
        <v>0.25495410000000002</v>
      </c>
    </row>
    <row r="8215" spans="1:3" x14ac:dyDescent="0.45">
      <c r="A8215" s="11">
        <v>98.86</v>
      </c>
      <c r="B8215" s="14">
        <v>0.38439489999999998</v>
      </c>
      <c r="C8215" s="15">
        <v>0.25520660000000001</v>
      </c>
    </row>
    <row r="8216" spans="1:3" x14ac:dyDescent="0.45">
      <c r="A8216" s="11">
        <v>98.87</v>
      </c>
      <c r="B8216" s="14">
        <v>0.38470320000000002</v>
      </c>
      <c r="C8216" s="15">
        <v>0.25545899999999999</v>
      </c>
    </row>
    <row r="8217" spans="1:3" x14ac:dyDescent="0.45">
      <c r="A8217" s="11">
        <v>98.88</v>
      </c>
      <c r="B8217" s="14">
        <v>0.38501150000000001</v>
      </c>
      <c r="C8217" s="15">
        <v>0.25571149999999998</v>
      </c>
    </row>
    <row r="8218" spans="1:3" x14ac:dyDescent="0.45">
      <c r="A8218" s="11">
        <v>98.89</v>
      </c>
      <c r="B8218" s="14">
        <v>0.38531979999999999</v>
      </c>
      <c r="C8218" s="15">
        <v>0.25596390000000002</v>
      </c>
    </row>
    <row r="8219" spans="1:3" x14ac:dyDescent="0.45">
      <c r="A8219" s="11">
        <v>98.9</v>
      </c>
      <c r="B8219" s="14">
        <v>0.38562809999999997</v>
      </c>
      <c r="C8219" s="15">
        <v>0.25621640000000001</v>
      </c>
    </row>
    <row r="8220" spans="1:3" x14ac:dyDescent="0.45">
      <c r="A8220" s="11">
        <v>98.91</v>
      </c>
      <c r="B8220" s="14">
        <v>0.38593640000000001</v>
      </c>
      <c r="C8220" s="15">
        <v>0.2564689</v>
      </c>
    </row>
    <row r="8221" spans="1:3" x14ac:dyDescent="0.45">
      <c r="A8221" s="11">
        <v>98.92</v>
      </c>
      <c r="B8221" s="14">
        <v>0.3862447</v>
      </c>
      <c r="C8221" s="15">
        <v>0.25672129999999999</v>
      </c>
    </row>
    <row r="8222" spans="1:3" x14ac:dyDescent="0.45">
      <c r="A8222" s="11">
        <v>98.93</v>
      </c>
      <c r="B8222" s="14">
        <v>0.38655299999999998</v>
      </c>
      <c r="C8222" s="15">
        <v>0.25697379999999997</v>
      </c>
    </row>
    <row r="8223" spans="1:3" x14ac:dyDescent="0.45">
      <c r="A8223" s="11">
        <v>98.94</v>
      </c>
      <c r="B8223" s="14">
        <v>0.38686130000000002</v>
      </c>
      <c r="C8223" s="15">
        <v>0.25722620000000002</v>
      </c>
    </row>
    <row r="8224" spans="1:3" x14ac:dyDescent="0.45">
      <c r="A8224" s="11">
        <v>98.95</v>
      </c>
      <c r="B8224" s="14">
        <v>0.3871696</v>
      </c>
      <c r="C8224" s="15">
        <v>0.2574787</v>
      </c>
    </row>
    <row r="8225" spans="1:3" x14ac:dyDescent="0.45">
      <c r="A8225" s="11">
        <v>98.96</v>
      </c>
      <c r="B8225" s="14">
        <v>0.38747779999999998</v>
      </c>
      <c r="C8225" s="15">
        <v>0.25773119999999999</v>
      </c>
    </row>
    <row r="8226" spans="1:3" x14ac:dyDescent="0.45">
      <c r="A8226" s="11">
        <v>98.97</v>
      </c>
      <c r="B8226" s="14">
        <v>0.38778610000000002</v>
      </c>
      <c r="C8226" s="15">
        <v>0.25798359999999998</v>
      </c>
    </row>
    <row r="8227" spans="1:3" x14ac:dyDescent="0.45">
      <c r="A8227" s="11">
        <v>98.98</v>
      </c>
      <c r="B8227" s="14">
        <v>0.38809440000000001</v>
      </c>
      <c r="C8227" s="15">
        <v>0.25823610000000002</v>
      </c>
    </row>
    <row r="8228" spans="1:3" x14ac:dyDescent="0.45">
      <c r="A8228" s="11">
        <v>98.99</v>
      </c>
      <c r="B8228" s="14">
        <v>0.38840269999999999</v>
      </c>
      <c r="C8228" s="15">
        <v>0.25848850000000001</v>
      </c>
    </row>
    <row r="8229" spans="1:3" x14ac:dyDescent="0.45">
      <c r="A8229" s="11">
        <v>99</v>
      </c>
      <c r="B8229" s="14">
        <v>0.38871099999999997</v>
      </c>
      <c r="C8229" s="15">
        <v>0.258741</v>
      </c>
    </row>
    <row r="8230" spans="1:3" x14ac:dyDescent="0.45">
      <c r="A8230" s="11">
        <v>99.01</v>
      </c>
      <c r="B8230" s="14">
        <v>0.38904169999999999</v>
      </c>
      <c r="C8230" s="15">
        <v>0.2590208</v>
      </c>
    </row>
    <row r="8231" spans="1:3" x14ac:dyDescent="0.45">
      <c r="A8231" s="11">
        <v>99.02</v>
      </c>
      <c r="B8231" s="14">
        <v>0.3893723</v>
      </c>
      <c r="C8231" s="15">
        <v>0.25930059999999999</v>
      </c>
    </row>
    <row r="8232" spans="1:3" x14ac:dyDescent="0.45">
      <c r="A8232" s="11">
        <v>99.03</v>
      </c>
      <c r="B8232" s="14">
        <v>0.38970300000000002</v>
      </c>
      <c r="C8232" s="15">
        <v>0.25958029999999999</v>
      </c>
    </row>
    <row r="8233" spans="1:3" x14ac:dyDescent="0.45">
      <c r="A8233" s="11">
        <v>99.04</v>
      </c>
      <c r="B8233" s="14">
        <v>0.39003359999999998</v>
      </c>
      <c r="C8233" s="15">
        <v>0.25986009999999998</v>
      </c>
    </row>
    <row r="8234" spans="1:3" x14ac:dyDescent="0.45">
      <c r="A8234" s="11">
        <v>99.05</v>
      </c>
      <c r="B8234" s="14">
        <v>0.3903643</v>
      </c>
      <c r="C8234" s="15">
        <v>0.26013989999999998</v>
      </c>
    </row>
    <row r="8235" spans="1:3" x14ac:dyDescent="0.45">
      <c r="A8235" s="11">
        <v>99.06</v>
      </c>
      <c r="B8235" s="14">
        <v>0.39069500000000001</v>
      </c>
      <c r="C8235" s="15">
        <v>0.26041969999999998</v>
      </c>
    </row>
    <row r="8236" spans="1:3" x14ac:dyDescent="0.45">
      <c r="A8236" s="11">
        <v>99.07</v>
      </c>
      <c r="B8236" s="14">
        <v>0.39102559999999997</v>
      </c>
      <c r="C8236" s="15">
        <v>0.26069949999999997</v>
      </c>
    </row>
    <row r="8237" spans="1:3" x14ac:dyDescent="0.45">
      <c r="A8237" s="11">
        <v>99.08</v>
      </c>
      <c r="B8237" s="14">
        <v>0.39135629999999999</v>
      </c>
      <c r="C8237" s="15">
        <v>0.26097920000000002</v>
      </c>
    </row>
    <row r="8238" spans="1:3" x14ac:dyDescent="0.45">
      <c r="A8238" s="11">
        <v>99.09</v>
      </c>
      <c r="B8238" s="14">
        <v>0.3916869</v>
      </c>
      <c r="C8238" s="15">
        <v>0.26125900000000002</v>
      </c>
    </row>
    <row r="8239" spans="1:3" x14ac:dyDescent="0.45">
      <c r="A8239" s="11">
        <v>99.1</v>
      </c>
      <c r="B8239" s="14">
        <v>0.39201760000000002</v>
      </c>
      <c r="C8239" s="15">
        <v>0.26153880000000002</v>
      </c>
    </row>
    <row r="8240" spans="1:3" x14ac:dyDescent="0.45">
      <c r="A8240" s="11">
        <v>99.11</v>
      </c>
      <c r="B8240" s="14">
        <v>0.39234829999999998</v>
      </c>
      <c r="C8240" s="15">
        <v>0.26181860000000001</v>
      </c>
    </row>
    <row r="8241" spans="1:3" x14ac:dyDescent="0.45">
      <c r="A8241" s="11">
        <v>99.12</v>
      </c>
      <c r="B8241" s="14">
        <v>0.3926789</v>
      </c>
      <c r="C8241" s="15">
        <v>0.26209840000000001</v>
      </c>
    </row>
    <row r="8242" spans="1:3" x14ac:dyDescent="0.45">
      <c r="A8242" s="11">
        <v>99.13</v>
      </c>
      <c r="B8242" s="14">
        <v>0.39300960000000001</v>
      </c>
      <c r="C8242" s="15">
        <v>0.2623781</v>
      </c>
    </row>
    <row r="8243" spans="1:3" x14ac:dyDescent="0.45">
      <c r="A8243" s="11">
        <v>99.14</v>
      </c>
      <c r="B8243" s="14">
        <v>0.39334019999999997</v>
      </c>
      <c r="C8243" s="15">
        <v>0.2626579</v>
      </c>
    </row>
    <row r="8244" spans="1:3" x14ac:dyDescent="0.45">
      <c r="A8244" s="11">
        <v>99.15</v>
      </c>
      <c r="B8244" s="14">
        <v>0.39367089999999999</v>
      </c>
      <c r="C8244" s="15">
        <v>0.2629377</v>
      </c>
    </row>
    <row r="8245" spans="1:3" x14ac:dyDescent="0.45">
      <c r="A8245" s="11">
        <v>99.16</v>
      </c>
      <c r="B8245" s="14">
        <v>0.39400160000000001</v>
      </c>
      <c r="C8245" s="15">
        <v>0.26321749999999999</v>
      </c>
    </row>
    <row r="8246" spans="1:3" x14ac:dyDescent="0.45">
      <c r="A8246" s="11">
        <v>99.17</v>
      </c>
      <c r="B8246" s="14">
        <v>0.39433220000000002</v>
      </c>
      <c r="C8246" s="15">
        <v>0.26349729999999999</v>
      </c>
    </row>
    <row r="8247" spans="1:3" x14ac:dyDescent="0.45">
      <c r="A8247" s="11">
        <v>99.18</v>
      </c>
      <c r="B8247" s="14">
        <v>0.39466289999999998</v>
      </c>
      <c r="C8247" s="15">
        <v>0.26377699999999998</v>
      </c>
    </row>
    <row r="8248" spans="1:3" x14ac:dyDescent="0.45">
      <c r="A8248" s="11">
        <v>99.19</v>
      </c>
      <c r="B8248" s="14">
        <v>0.3949935</v>
      </c>
      <c r="C8248" s="15">
        <v>0.26405679999999998</v>
      </c>
    </row>
    <row r="8249" spans="1:3" x14ac:dyDescent="0.45">
      <c r="A8249" s="11">
        <v>99.2</v>
      </c>
      <c r="B8249" s="14">
        <v>0.39532420000000001</v>
      </c>
      <c r="C8249" s="15">
        <v>0.26433659999999998</v>
      </c>
    </row>
    <row r="8250" spans="1:3" x14ac:dyDescent="0.45">
      <c r="A8250" s="11">
        <v>99.21</v>
      </c>
      <c r="B8250" s="14">
        <v>0.39565489999999998</v>
      </c>
      <c r="C8250" s="15">
        <v>0.26461639999999997</v>
      </c>
    </row>
    <row r="8251" spans="1:3" x14ac:dyDescent="0.45">
      <c r="A8251" s="11">
        <v>99.22</v>
      </c>
      <c r="B8251" s="14">
        <v>0.39598549999999999</v>
      </c>
      <c r="C8251" s="15">
        <v>0.26489620000000003</v>
      </c>
    </row>
    <row r="8252" spans="1:3" x14ac:dyDescent="0.45">
      <c r="A8252" s="11">
        <v>99.23</v>
      </c>
      <c r="B8252" s="14">
        <v>0.39631620000000001</v>
      </c>
      <c r="C8252" s="15">
        <v>0.26517590000000002</v>
      </c>
    </row>
    <row r="8253" spans="1:3" x14ac:dyDescent="0.45">
      <c r="A8253" s="11">
        <v>99.24</v>
      </c>
      <c r="B8253" s="14">
        <v>0.39664680000000002</v>
      </c>
      <c r="C8253" s="15">
        <v>0.26545570000000002</v>
      </c>
    </row>
    <row r="8254" spans="1:3" x14ac:dyDescent="0.45">
      <c r="A8254" s="11">
        <v>99.25</v>
      </c>
      <c r="B8254" s="14">
        <v>0.39697749999999998</v>
      </c>
      <c r="C8254" s="15">
        <v>0.26573550000000001</v>
      </c>
    </row>
    <row r="8255" spans="1:3" x14ac:dyDescent="0.45">
      <c r="A8255" s="11">
        <v>99.26</v>
      </c>
      <c r="B8255" s="14">
        <v>0.3973082</v>
      </c>
      <c r="C8255" s="15">
        <v>0.26601530000000001</v>
      </c>
    </row>
    <row r="8256" spans="1:3" x14ac:dyDescent="0.45">
      <c r="A8256" s="11">
        <v>99.27</v>
      </c>
      <c r="B8256" s="14">
        <v>0.39763880000000001</v>
      </c>
      <c r="C8256" s="15">
        <v>0.26629510000000001</v>
      </c>
    </row>
    <row r="8257" spans="1:3" x14ac:dyDescent="0.45">
      <c r="A8257" s="11">
        <v>99.28</v>
      </c>
      <c r="B8257" s="14">
        <v>0.39796949999999998</v>
      </c>
      <c r="C8257" s="15">
        <v>0.2665748</v>
      </c>
    </row>
    <row r="8258" spans="1:3" x14ac:dyDescent="0.45">
      <c r="A8258" s="11">
        <v>99.29</v>
      </c>
      <c r="B8258" s="14">
        <v>0.39830009999999999</v>
      </c>
      <c r="C8258" s="15">
        <v>0.2668546</v>
      </c>
    </row>
    <row r="8259" spans="1:3" x14ac:dyDescent="0.45">
      <c r="A8259" s="11">
        <v>99.3</v>
      </c>
      <c r="B8259" s="14">
        <v>0.39863080000000001</v>
      </c>
      <c r="C8259" s="15">
        <v>0.26713439999999999</v>
      </c>
    </row>
    <row r="8260" spans="1:3" x14ac:dyDescent="0.45">
      <c r="A8260" s="11">
        <v>99.31</v>
      </c>
      <c r="B8260" s="14">
        <v>0.39896150000000002</v>
      </c>
      <c r="C8260" s="15">
        <v>0.26741419999999999</v>
      </c>
    </row>
    <row r="8261" spans="1:3" x14ac:dyDescent="0.45">
      <c r="A8261" s="11">
        <v>99.32</v>
      </c>
      <c r="B8261" s="14">
        <v>0.39929209999999998</v>
      </c>
      <c r="C8261" s="15">
        <v>0.26769399999999999</v>
      </c>
    </row>
    <row r="8262" spans="1:3" x14ac:dyDescent="0.45">
      <c r="A8262" s="11">
        <v>99.33</v>
      </c>
      <c r="B8262" s="14">
        <v>0.3996228</v>
      </c>
      <c r="C8262" s="15">
        <v>0.26797369999999998</v>
      </c>
    </row>
    <row r="8263" spans="1:3" x14ac:dyDescent="0.45">
      <c r="A8263" s="11">
        <v>99.34</v>
      </c>
      <c r="B8263" s="14">
        <v>0.39995340000000001</v>
      </c>
      <c r="C8263" s="15">
        <v>0.26825349999999998</v>
      </c>
    </row>
    <row r="8264" spans="1:3" x14ac:dyDescent="0.45">
      <c r="A8264" s="11">
        <v>99.35</v>
      </c>
      <c r="B8264" s="14">
        <v>0.40028409999999998</v>
      </c>
      <c r="C8264" s="15">
        <v>0.26853329999999997</v>
      </c>
    </row>
    <row r="8265" spans="1:3" x14ac:dyDescent="0.45">
      <c r="A8265" s="11">
        <v>99.36</v>
      </c>
      <c r="B8265" s="14">
        <v>0.40061479999999999</v>
      </c>
      <c r="C8265" s="15">
        <v>0.26881310000000003</v>
      </c>
    </row>
    <row r="8266" spans="1:3" x14ac:dyDescent="0.45">
      <c r="A8266" s="11">
        <v>99.37</v>
      </c>
      <c r="B8266" s="14">
        <v>0.40094540000000001</v>
      </c>
      <c r="C8266" s="15">
        <v>0.26909290000000002</v>
      </c>
    </row>
    <row r="8267" spans="1:3" x14ac:dyDescent="0.45">
      <c r="A8267" s="11">
        <v>99.38</v>
      </c>
      <c r="B8267" s="14">
        <v>0.40127610000000002</v>
      </c>
      <c r="C8267" s="15">
        <v>0.26937260000000002</v>
      </c>
    </row>
    <row r="8268" spans="1:3" x14ac:dyDescent="0.45">
      <c r="A8268" s="11">
        <v>99.39</v>
      </c>
      <c r="B8268" s="14">
        <v>0.40160669999999998</v>
      </c>
      <c r="C8268" s="15">
        <v>0.26965240000000001</v>
      </c>
    </row>
    <row r="8269" spans="1:3" x14ac:dyDescent="0.45">
      <c r="A8269" s="11">
        <v>99.4</v>
      </c>
      <c r="B8269" s="14">
        <v>0.4019374</v>
      </c>
      <c r="C8269" s="15">
        <v>0.26993220000000001</v>
      </c>
    </row>
    <row r="8270" spans="1:3" x14ac:dyDescent="0.45">
      <c r="A8270" s="11">
        <v>99.41</v>
      </c>
      <c r="B8270" s="14">
        <v>0.40226810000000002</v>
      </c>
      <c r="C8270" s="15">
        <v>0.27021200000000001</v>
      </c>
    </row>
    <row r="8271" spans="1:3" x14ac:dyDescent="0.45">
      <c r="A8271" s="11">
        <v>99.42</v>
      </c>
      <c r="B8271" s="14">
        <v>0.40259869999999998</v>
      </c>
      <c r="C8271" s="15">
        <v>0.2704918</v>
      </c>
    </row>
    <row r="8272" spans="1:3" x14ac:dyDescent="0.45">
      <c r="A8272" s="11">
        <v>99.43</v>
      </c>
      <c r="B8272" s="14">
        <v>0.40292939999999999</v>
      </c>
      <c r="C8272" s="15">
        <v>0.2707715</v>
      </c>
    </row>
    <row r="8273" spans="1:3" x14ac:dyDescent="0.45">
      <c r="A8273" s="11">
        <v>99.44</v>
      </c>
      <c r="B8273" s="14">
        <v>0.40326000000000001</v>
      </c>
      <c r="C8273" s="15">
        <v>0.2710513</v>
      </c>
    </row>
    <row r="8274" spans="1:3" x14ac:dyDescent="0.45">
      <c r="A8274" s="11">
        <v>99.45</v>
      </c>
      <c r="B8274" s="14">
        <v>0.40359070000000002</v>
      </c>
      <c r="C8274" s="15">
        <v>0.27133109999999999</v>
      </c>
    </row>
    <row r="8275" spans="1:3" x14ac:dyDescent="0.45">
      <c r="A8275" s="11">
        <v>99.46</v>
      </c>
      <c r="B8275" s="14">
        <v>0.40392139999999999</v>
      </c>
      <c r="C8275" s="15">
        <v>0.27161089999999999</v>
      </c>
    </row>
    <row r="8276" spans="1:3" x14ac:dyDescent="0.45">
      <c r="A8276" s="11">
        <v>99.47</v>
      </c>
      <c r="B8276" s="14">
        <v>0.404252</v>
      </c>
      <c r="C8276" s="15">
        <v>0.27189069999999999</v>
      </c>
    </row>
    <row r="8277" spans="1:3" x14ac:dyDescent="0.45">
      <c r="A8277" s="11">
        <v>99.48</v>
      </c>
      <c r="B8277" s="14">
        <v>0.40458270000000002</v>
      </c>
      <c r="C8277" s="15">
        <v>0.27217039999999998</v>
      </c>
    </row>
    <row r="8278" spans="1:3" x14ac:dyDescent="0.45">
      <c r="A8278" s="11">
        <v>99.49</v>
      </c>
      <c r="B8278" s="14">
        <v>0.40491329999999998</v>
      </c>
      <c r="C8278" s="15">
        <v>0.27245019999999998</v>
      </c>
    </row>
    <row r="8279" spans="1:3" x14ac:dyDescent="0.45">
      <c r="A8279" s="11">
        <v>99.5</v>
      </c>
      <c r="B8279" s="14">
        <v>0.40524399999999999</v>
      </c>
      <c r="C8279" s="15">
        <v>0.27272999999999997</v>
      </c>
    </row>
    <row r="8280" spans="1:3" x14ac:dyDescent="0.45">
      <c r="A8280" s="11">
        <v>99.51</v>
      </c>
      <c r="B8280" s="14">
        <v>0.40557470000000001</v>
      </c>
      <c r="C8280" s="15">
        <v>0.27300980000000002</v>
      </c>
    </row>
    <row r="8281" spans="1:3" x14ac:dyDescent="0.45">
      <c r="A8281" s="11">
        <v>99.52</v>
      </c>
      <c r="B8281" s="14">
        <v>0.40590530000000002</v>
      </c>
      <c r="C8281" s="15">
        <v>0.27328960000000002</v>
      </c>
    </row>
    <row r="8282" spans="1:3" x14ac:dyDescent="0.45">
      <c r="A8282" s="11">
        <v>99.53</v>
      </c>
      <c r="B8282" s="14">
        <v>0.40623599999999999</v>
      </c>
      <c r="C8282" s="15">
        <v>0.27356930000000002</v>
      </c>
    </row>
    <row r="8283" spans="1:3" x14ac:dyDescent="0.45">
      <c r="A8283" s="11">
        <v>99.54</v>
      </c>
      <c r="B8283" s="14">
        <v>0.4065666</v>
      </c>
      <c r="C8283" s="15">
        <v>0.27384910000000001</v>
      </c>
    </row>
    <row r="8284" spans="1:3" x14ac:dyDescent="0.45">
      <c r="A8284" s="11">
        <v>99.55</v>
      </c>
      <c r="B8284" s="14">
        <v>0.40689730000000002</v>
      </c>
      <c r="C8284" s="15">
        <v>0.27412890000000001</v>
      </c>
    </row>
    <row r="8285" spans="1:3" x14ac:dyDescent="0.45">
      <c r="A8285" s="11">
        <v>99.56</v>
      </c>
      <c r="B8285" s="14">
        <v>0.40722799999999998</v>
      </c>
      <c r="C8285" s="15">
        <v>0.27440870000000001</v>
      </c>
    </row>
    <row r="8286" spans="1:3" x14ac:dyDescent="0.45">
      <c r="A8286" s="11">
        <v>99.57</v>
      </c>
      <c r="B8286" s="14">
        <v>0.40755859999999999</v>
      </c>
      <c r="C8286" s="15">
        <v>0.2746885</v>
      </c>
    </row>
    <row r="8287" spans="1:3" x14ac:dyDescent="0.45">
      <c r="A8287" s="11">
        <v>99.58</v>
      </c>
      <c r="B8287" s="14">
        <v>0.40788930000000001</v>
      </c>
      <c r="C8287" s="15">
        <v>0.2749682</v>
      </c>
    </row>
    <row r="8288" spans="1:3" x14ac:dyDescent="0.45">
      <c r="A8288" s="11">
        <v>99.59</v>
      </c>
      <c r="B8288" s="14">
        <v>0.40821990000000002</v>
      </c>
      <c r="C8288" s="15">
        <v>0.27524799999999999</v>
      </c>
    </row>
    <row r="8289" spans="1:3" x14ac:dyDescent="0.45">
      <c r="A8289" s="11">
        <v>99.6</v>
      </c>
      <c r="B8289" s="14">
        <v>0.40855059999999999</v>
      </c>
      <c r="C8289" s="15">
        <v>0.27552779999999999</v>
      </c>
    </row>
    <row r="8290" spans="1:3" x14ac:dyDescent="0.45">
      <c r="A8290" s="11">
        <v>99.61</v>
      </c>
      <c r="B8290" s="14">
        <v>0.4088813</v>
      </c>
      <c r="C8290" s="15">
        <v>0.27580759999999999</v>
      </c>
    </row>
    <row r="8291" spans="1:3" x14ac:dyDescent="0.45">
      <c r="A8291" s="11">
        <v>99.62</v>
      </c>
      <c r="B8291" s="14">
        <v>0.40921190000000002</v>
      </c>
      <c r="C8291" s="15">
        <v>0.27608739999999998</v>
      </c>
    </row>
    <row r="8292" spans="1:3" x14ac:dyDescent="0.45">
      <c r="A8292" s="11">
        <v>99.63</v>
      </c>
      <c r="B8292" s="14">
        <v>0.40954259999999998</v>
      </c>
      <c r="C8292" s="15">
        <v>0.27636709999999998</v>
      </c>
    </row>
    <row r="8293" spans="1:3" x14ac:dyDescent="0.45">
      <c r="A8293" s="11">
        <v>99.64</v>
      </c>
      <c r="B8293" s="14">
        <v>0.40987319999999999</v>
      </c>
      <c r="C8293" s="15">
        <v>0.27664689999999997</v>
      </c>
    </row>
    <row r="8294" spans="1:3" x14ac:dyDescent="0.45">
      <c r="A8294" s="11">
        <v>99.65</v>
      </c>
      <c r="B8294" s="14">
        <v>0.41020390000000001</v>
      </c>
      <c r="C8294" s="15">
        <v>0.27692670000000003</v>
      </c>
    </row>
    <row r="8295" spans="1:3" x14ac:dyDescent="0.45">
      <c r="A8295" s="11">
        <v>99.66</v>
      </c>
      <c r="B8295" s="14">
        <v>0.41053460000000003</v>
      </c>
      <c r="C8295" s="15">
        <v>0.27720650000000002</v>
      </c>
    </row>
    <row r="8296" spans="1:3" x14ac:dyDescent="0.45">
      <c r="A8296" s="11">
        <v>99.67</v>
      </c>
      <c r="B8296" s="14">
        <v>0.41086519999999999</v>
      </c>
      <c r="C8296" s="15">
        <v>0.27748630000000002</v>
      </c>
    </row>
    <row r="8297" spans="1:3" x14ac:dyDescent="0.45">
      <c r="A8297" s="11">
        <v>99.68</v>
      </c>
      <c r="B8297" s="14">
        <v>0.4111959</v>
      </c>
      <c r="C8297" s="15">
        <v>0.27776600000000001</v>
      </c>
    </row>
    <row r="8298" spans="1:3" x14ac:dyDescent="0.45">
      <c r="A8298" s="11">
        <v>99.69</v>
      </c>
      <c r="B8298" s="14">
        <v>0.41152650000000002</v>
      </c>
      <c r="C8298" s="15">
        <v>0.27804580000000001</v>
      </c>
    </row>
    <row r="8299" spans="1:3" x14ac:dyDescent="0.45">
      <c r="A8299" s="11">
        <v>99.7</v>
      </c>
      <c r="B8299" s="14">
        <v>0.41185719999999998</v>
      </c>
      <c r="C8299" s="15">
        <v>0.27832560000000001</v>
      </c>
    </row>
    <row r="8300" spans="1:3" x14ac:dyDescent="0.45">
      <c r="A8300" s="11">
        <v>99.71</v>
      </c>
      <c r="B8300" s="14">
        <v>0.4121879</v>
      </c>
      <c r="C8300" s="15">
        <v>0.2786054</v>
      </c>
    </row>
    <row r="8301" spans="1:3" x14ac:dyDescent="0.45">
      <c r="A8301" s="11">
        <v>99.72</v>
      </c>
      <c r="B8301" s="14">
        <v>0.41251850000000001</v>
      </c>
      <c r="C8301" s="15">
        <v>0.2788852</v>
      </c>
    </row>
    <row r="8302" spans="1:3" x14ac:dyDescent="0.45">
      <c r="A8302" s="11">
        <v>99.73</v>
      </c>
      <c r="B8302" s="14">
        <v>0.41284920000000003</v>
      </c>
      <c r="C8302" s="15">
        <v>0.27916489999999999</v>
      </c>
    </row>
    <row r="8303" spans="1:3" x14ac:dyDescent="0.45">
      <c r="A8303" s="11">
        <v>99.74</v>
      </c>
      <c r="B8303" s="14">
        <v>0.41317979999999999</v>
      </c>
      <c r="C8303" s="15">
        <v>0.27944469999999999</v>
      </c>
    </row>
    <row r="8304" spans="1:3" x14ac:dyDescent="0.45">
      <c r="A8304" s="11">
        <v>99.75</v>
      </c>
      <c r="B8304" s="14">
        <v>0.4135105</v>
      </c>
      <c r="C8304" s="15">
        <v>0.27972449999999999</v>
      </c>
    </row>
    <row r="8305" spans="1:3" x14ac:dyDescent="0.45">
      <c r="A8305" s="11">
        <v>99.76</v>
      </c>
      <c r="B8305" s="14">
        <v>0.41384120000000002</v>
      </c>
      <c r="C8305" s="15">
        <v>0.28000429999999998</v>
      </c>
    </row>
    <row r="8306" spans="1:3" x14ac:dyDescent="0.45">
      <c r="A8306" s="11">
        <v>99.77</v>
      </c>
      <c r="B8306" s="14">
        <v>0.41417179999999998</v>
      </c>
      <c r="C8306" s="15">
        <v>0.28028409999999998</v>
      </c>
    </row>
    <row r="8307" spans="1:3" x14ac:dyDescent="0.45">
      <c r="A8307" s="11">
        <v>99.78</v>
      </c>
      <c r="B8307" s="14">
        <v>0.4145025</v>
      </c>
      <c r="C8307" s="15">
        <v>0.28056379999999997</v>
      </c>
    </row>
    <row r="8308" spans="1:3" x14ac:dyDescent="0.45">
      <c r="A8308" s="11">
        <v>99.79</v>
      </c>
      <c r="B8308" s="14">
        <v>0.41483310000000001</v>
      </c>
      <c r="C8308" s="15">
        <v>0.28084360000000003</v>
      </c>
    </row>
    <row r="8309" spans="1:3" x14ac:dyDescent="0.45">
      <c r="A8309" s="11">
        <v>99.8</v>
      </c>
      <c r="B8309" s="14">
        <v>0.41516380000000003</v>
      </c>
      <c r="C8309" s="15">
        <v>0.28112340000000002</v>
      </c>
    </row>
    <row r="8310" spans="1:3" x14ac:dyDescent="0.45">
      <c r="A8310" s="11">
        <v>99.81</v>
      </c>
      <c r="B8310" s="14">
        <v>0.41549449999999999</v>
      </c>
      <c r="C8310" s="15">
        <v>0.28140320000000002</v>
      </c>
    </row>
    <row r="8311" spans="1:3" x14ac:dyDescent="0.45">
      <c r="A8311" s="11">
        <v>99.82</v>
      </c>
      <c r="B8311" s="14">
        <v>0.4158251</v>
      </c>
      <c r="C8311" s="15">
        <v>0.28168300000000002</v>
      </c>
    </row>
    <row r="8312" spans="1:3" x14ac:dyDescent="0.45">
      <c r="A8312" s="11">
        <v>99.83</v>
      </c>
      <c r="B8312" s="14">
        <v>0.41615580000000002</v>
      </c>
      <c r="C8312" s="15">
        <v>0.28196270000000001</v>
      </c>
    </row>
    <row r="8313" spans="1:3" x14ac:dyDescent="0.45">
      <c r="A8313" s="11">
        <v>99.84</v>
      </c>
      <c r="B8313" s="14">
        <v>0.41648639999999998</v>
      </c>
      <c r="C8313" s="15">
        <v>0.28224250000000001</v>
      </c>
    </row>
    <row r="8314" spans="1:3" x14ac:dyDescent="0.45">
      <c r="A8314" s="11">
        <v>99.85</v>
      </c>
      <c r="B8314" s="14">
        <v>0.4168171</v>
      </c>
      <c r="C8314" s="15">
        <v>0.2825223</v>
      </c>
    </row>
    <row r="8315" spans="1:3" x14ac:dyDescent="0.45">
      <c r="A8315" s="11">
        <v>99.86</v>
      </c>
      <c r="B8315" s="14">
        <v>0.41714780000000001</v>
      </c>
      <c r="C8315" s="15">
        <v>0.2828021</v>
      </c>
    </row>
    <row r="8316" spans="1:3" x14ac:dyDescent="0.45">
      <c r="A8316" s="11">
        <v>99.87</v>
      </c>
      <c r="B8316" s="14">
        <v>0.41747840000000003</v>
      </c>
      <c r="C8316" s="15">
        <v>0.2830819</v>
      </c>
    </row>
    <row r="8317" spans="1:3" x14ac:dyDescent="0.45">
      <c r="A8317" s="11">
        <v>99.88</v>
      </c>
      <c r="B8317" s="14">
        <v>0.41780909999999999</v>
      </c>
      <c r="C8317" s="15">
        <v>0.28336159999999999</v>
      </c>
    </row>
    <row r="8318" spans="1:3" x14ac:dyDescent="0.45">
      <c r="A8318" s="11">
        <v>99.89</v>
      </c>
      <c r="B8318" s="14">
        <v>0.4181397</v>
      </c>
      <c r="C8318" s="15">
        <v>0.28364139999999999</v>
      </c>
    </row>
    <row r="8319" spans="1:3" x14ac:dyDescent="0.45">
      <c r="A8319" s="11">
        <v>99.9</v>
      </c>
      <c r="B8319" s="14">
        <v>0.41847040000000002</v>
      </c>
      <c r="C8319" s="15">
        <v>0.28392119999999998</v>
      </c>
    </row>
    <row r="8320" spans="1:3" x14ac:dyDescent="0.45">
      <c r="A8320" s="11">
        <v>99.91</v>
      </c>
      <c r="B8320" s="14">
        <v>0.41880109999999998</v>
      </c>
      <c r="C8320" s="15">
        <v>0.28420099999999998</v>
      </c>
    </row>
    <row r="8321" spans="1:3" x14ac:dyDescent="0.45">
      <c r="A8321" s="11">
        <v>99.92</v>
      </c>
      <c r="B8321" s="14">
        <v>0.4191317</v>
      </c>
      <c r="C8321" s="15">
        <v>0.28448079999999998</v>
      </c>
    </row>
    <row r="8322" spans="1:3" x14ac:dyDescent="0.45">
      <c r="A8322" s="11">
        <v>99.93</v>
      </c>
      <c r="B8322" s="14">
        <v>0.41946240000000001</v>
      </c>
      <c r="C8322" s="15">
        <v>0.28476050000000003</v>
      </c>
    </row>
    <row r="8323" spans="1:3" x14ac:dyDescent="0.45">
      <c r="A8323" s="11">
        <v>99.94</v>
      </c>
      <c r="B8323" s="14">
        <v>0.41979300000000003</v>
      </c>
      <c r="C8323" s="15">
        <v>0.28504030000000002</v>
      </c>
    </row>
    <row r="8324" spans="1:3" x14ac:dyDescent="0.45">
      <c r="A8324" s="11">
        <v>99.95</v>
      </c>
      <c r="B8324" s="14">
        <v>0.42012369999999999</v>
      </c>
      <c r="C8324" s="15">
        <v>0.28532010000000002</v>
      </c>
    </row>
    <row r="8325" spans="1:3" x14ac:dyDescent="0.45">
      <c r="A8325" s="11">
        <v>99.96</v>
      </c>
      <c r="B8325" s="14">
        <v>0.42045440000000001</v>
      </c>
      <c r="C8325" s="15">
        <v>0.28559990000000002</v>
      </c>
    </row>
    <row r="8326" spans="1:3" x14ac:dyDescent="0.45">
      <c r="A8326" s="11">
        <v>99.97</v>
      </c>
      <c r="B8326" s="14">
        <v>0.42078500000000002</v>
      </c>
      <c r="C8326" s="15">
        <v>0.28587970000000001</v>
      </c>
    </row>
    <row r="8327" spans="1:3" x14ac:dyDescent="0.45">
      <c r="A8327" s="11">
        <v>99.98</v>
      </c>
      <c r="B8327" s="14">
        <v>0.42111569999999998</v>
      </c>
      <c r="C8327" s="15">
        <v>0.28615940000000001</v>
      </c>
    </row>
    <row r="8328" spans="1:3" x14ac:dyDescent="0.45">
      <c r="A8328" s="11">
        <v>99.99</v>
      </c>
      <c r="B8328" s="14">
        <v>0.4214463</v>
      </c>
      <c r="C8328" s="15">
        <v>0.2864392</v>
      </c>
    </row>
    <row r="8329" spans="1:3" x14ac:dyDescent="0.45">
      <c r="A8329" s="11">
        <v>100</v>
      </c>
      <c r="B8329" s="14">
        <v>0.42177700000000001</v>
      </c>
      <c r="C8329" s="15">
        <v>0.286719</v>
      </c>
    </row>
    <row r="8330" spans="1:3" x14ac:dyDescent="0.45">
      <c r="A8330" s="11">
        <v>100.01</v>
      </c>
      <c r="B8330" s="14">
        <v>0.42213129999999999</v>
      </c>
      <c r="C8330" s="15">
        <v>0.28702909999999998</v>
      </c>
    </row>
    <row r="8331" spans="1:3" x14ac:dyDescent="0.45">
      <c r="A8331" s="11">
        <v>100.02</v>
      </c>
      <c r="B8331" s="14">
        <v>0.42248550000000001</v>
      </c>
      <c r="C8331" s="15">
        <v>0.28733910000000001</v>
      </c>
    </row>
    <row r="8332" spans="1:3" x14ac:dyDescent="0.45">
      <c r="A8332" s="11">
        <v>100.03</v>
      </c>
      <c r="B8332" s="14">
        <v>0.42283979999999999</v>
      </c>
      <c r="C8332" s="15">
        <v>0.28764919999999999</v>
      </c>
    </row>
    <row r="8333" spans="1:3" x14ac:dyDescent="0.45">
      <c r="A8333" s="11">
        <v>100.04</v>
      </c>
      <c r="B8333" s="14">
        <v>0.42319400000000001</v>
      </c>
      <c r="C8333" s="15">
        <v>0.28795920000000003</v>
      </c>
    </row>
    <row r="8334" spans="1:3" x14ac:dyDescent="0.45">
      <c r="A8334" s="11">
        <v>100.05</v>
      </c>
      <c r="B8334" s="14">
        <v>0.42354819999999999</v>
      </c>
      <c r="C8334" s="15">
        <v>0.2882692</v>
      </c>
    </row>
    <row r="8335" spans="1:3" x14ac:dyDescent="0.45">
      <c r="A8335" s="11">
        <v>100.06</v>
      </c>
      <c r="B8335" s="14">
        <v>0.42390250000000002</v>
      </c>
      <c r="C8335" s="15">
        <v>0.28857929999999998</v>
      </c>
    </row>
    <row r="8336" spans="1:3" x14ac:dyDescent="0.45">
      <c r="A8336" s="11">
        <v>100.07</v>
      </c>
      <c r="B8336" s="14">
        <v>0.42425669999999999</v>
      </c>
      <c r="C8336" s="15">
        <v>0.28888930000000002</v>
      </c>
    </row>
    <row r="8337" spans="1:3" x14ac:dyDescent="0.45">
      <c r="A8337" s="11">
        <v>100.08</v>
      </c>
      <c r="B8337" s="14">
        <v>0.42461100000000002</v>
      </c>
      <c r="C8337" s="15">
        <v>0.2891994</v>
      </c>
    </row>
    <row r="8338" spans="1:3" x14ac:dyDescent="0.45">
      <c r="A8338" s="11">
        <v>100.09</v>
      </c>
      <c r="B8338" s="14">
        <v>0.42496529999999999</v>
      </c>
      <c r="C8338" s="15">
        <v>0.28950949999999998</v>
      </c>
    </row>
    <row r="8339" spans="1:3" x14ac:dyDescent="0.45">
      <c r="A8339" s="11">
        <v>100.1</v>
      </c>
      <c r="B8339" s="14">
        <v>0.42531950000000002</v>
      </c>
      <c r="C8339" s="15">
        <v>0.28981950000000001</v>
      </c>
    </row>
    <row r="8340" spans="1:3" x14ac:dyDescent="0.45">
      <c r="A8340" s="11">
        <v>100.11</v>
      </c>
      <c r="B8340" s="14">
        <v>0.42567369999999999</v>
      </c>
      <c r="C8340" s="15">
        <v>0.29012959999999999</v>
      </c>
    </row>
    <row r="8341" spans="1:3" x14ac:dyDescent="0.45">
      <c r="A8341" s="11">
        <v>100.12</v>
      </c>
      <c r="B8341" s="14">
        <v>0.42602800000000002</v>
      </c>
      <c r="C8341" s="15">
        <v>0.29043960000000002</v>
      </c>
    </row>
    <row r="8342" spans="1:3" x14ac:dyDescent="0.45">
      <c r="A8342" s="11">
        <v>100.13</v>
      </c>
      <c r="B8342" s="14">
        <v>0.42638219999999999</v>
      </c>
      <c r="C8342" s="15">
        <v>0.2907496</v>
      </c>
    </row>
    <row r="8343" spans="1:3" x14ac:dyDescent="0.45">
      <c r="A8343" s="11">
        <v>100.14</v>
      </c>
      <c r="B8343" s="14">
        <v>0.42673650000000002</v>
      </c>
      <c r="C8343" s="15">
        <v>0.29105969999999998</v>
      </c>
    </row>
    <row r="8344" spans="1:3" x14ac:dyDescent="0.45">
      <c r="A8344" s="11">
        <v>100.15</v>
      </c>
      <c r="B8344" s="14">
        <v>0.42709079999999999</v>
      </c>
      <c r="C8344" s="15">
        <v>0.29136980000000001</v>
      </c>
    </row>
    <row r="8345" spans="1:3" x14ac:dyDescent="0.45">
      <c r="A8345" s="11">
        <v>100.16</v>
      </c>
      <c r="B8345" s="14">
        <v>0.42744500000000002</v>
      </c>
      <c r="C8345" s="15">
        <v>0.29167979999999999</v>
      </c>
    </row>
    <row r="8346" spans="1:3" x14ac:dyDescent="0.45">
      <c r="A8346" s="11">
        <v>100.17</v>
      </c>
      <c r="B8346" s="14">
        <v>0.42779929999999999</v>
      </c>
      <c r="C8346" s="15">
        <v>0.29198990000000002</v>
      </c>
    </row>
    <row r="8347" spans="1:3" x14ac:dyDescent="0.45">
      <c r="A8347" s="11">
        <v>100.18</v>
      </c>
      <c r="B8347" s="14">
        <v>0.42815350000000002</v>
      </c>
      <c r="C8347" s="15">
        <v>0.2922999</v>
      </c>
    </row>
    <row r="8348" spans="1:3" x14ac:dyDescent="0.45">
      <c r="A8348" s="11">
        <v>100.19</v>
      </c>
      <c r="B8348" s="14">
        <v>0.42850769999999999</v>
      </c>
      <c r="C8348" s="15">
        <v>0.29260989999999998</v>
      </c>
    </row>
    <row r="8349" spans="1:3" x14ac:dyDescent="0.45">
      <c r="A8349" s="11">
        <v>100.2</v>
      </c>
      <c r="B8349" s="14">
        <v>0.42886200000000002</v>
      </c>
      <c r="C8349" s="15">
        <v>0.29292000000000001</v>
      </c>
    </row>
    <row r="8350" spans="1:3" x14ac:dyDescent="0.45">
      <c r="A8350" s="11">
        <v>100.21</v>
      </c>
      <c r="B8350" s="14">
        <v>0.42921619999999999</v>
      </c>
      <c r="C8350" s="15">
        <v>0.29322999999999999</v>
      </c>
    </row>
    <row r="8351" spans="1:3" x14ac:dyDescent="0.45">
      <c r="A8351" s="11">
        <v>100.22</v>
      </c>
      <c r="B8351" s="14">
        <v>0.42957050000000002</v>
      </c>
      <c r="C8351" s="15">
        <v>0.29354010000000003</v>
      </c>
    </row>
    <row r="8352" spans="1:3" x14ac:dyDescent="0.45">
      <c r="A8352" s="11">
        <v>100.23</v>
      </c>
      <c r="B8352" s="14">
        <v>0.4299248</v>
      </c>
      <c r="C8352" s="15">
        <v>0.29385020000000001</v>
      </c>
    </row>
    <row r="8353" spans="1:3" x14ac:dyDescent="0.45">
      <c r="A8353" s="11">
        <v>100.24</v>
      </c>
      <c r="B8353" s="14">
        <v>0.43027900000000002</v>
      </c>
      <c r="C8353" s="15">
        <v>0.29416019999999998</v>
      </c>
    </row>
    <row r="8354" spans="1:3" x14ac:dyDescent="0.45">
      <c r="A8354" s="11">
        <v>100.25</v>
      </c>
      <c r="B8354" s="14">
        <v>0.43063319999999999</v>
      </c>
      <c r="C8354" s="15">
        <v>0.29447030000000002</v>
      </c>
    </row>
    <row r="8355" spans="1:3" x14ac:dyDescent="0.45">
      <c r="A8355" s="11">
        <v>100.26</v>
      </c>
      <c r="B8355" s="14">
        <v>0.43098750000000002</v>
      </c>
      <c r="C8355" s="15">
        <v>0.2947803</v>
      </c>
    </row>
    <row r="8356" spans="1:3" x14ac:dyDescent="0.45">
      <c r="A8356" s="11">
        <v>100.27</v>
      </c>
      <c r="B8356" s="14">
        <v>0.43134169999999999</v>
      </c>
      <c r="C8356" s="15">
        <v>0.29509030000000003</v>
      </c>
    </row>
    <row r="8357" spans="1:3" x14ac:dyDescent="0.45">
      <c r="A8357" s="11">
        <v>100.28</v>
      </c>
      <c r="B8357" s="14">
        <v>0.43169600000000002</v>
      </c>
      <c r="C8357" s="15">
        <v>0.29540040000000001</v>
      </c>
    </row>
    <row r="8358" spans="1:3" x14ac:dyDescent="0.45">
      <c r="A8358" s="11">
        <v>100.29</v>
      </c>
      <c r="B8358" s="14">
        <v>0.4320503</v>
      </c>
      <c r="C8358" s="15">
        <v>0.29571049999999999</v>
      </c>
    </row>
    <row r="8359" spans="1:3" x14ac:dyDescent="0.45">
      <c r="A8359" s="11">
        <v>100.3</v>
      </c>
      <c r="B8359" s="14">
        <v>0.43240450000000002</v>
      </c>
      <c r="C8359" s="15">
        <v>0.29602050000000002</v>
      </c>
    </row>
    <row r="8360" spans="1:3" x14ac:dyDescent="0.45">
      <c r="A8360" s="11">
        <v>100.31</v>
      </c>
      <c r="B8360" s="14">
        <v>0.4327588</v>
      </c>
      <c r="C8360" s="15">
        <v>0.2963306</v>
      </c>
    </row>
    <row r="8361" spans="1:3" x14ac:dyDescent="0.45">
      <c r="A8361" s="11">
        <v>100.32</v>
      </c>
      <c r="B8361" s="14">
        <v>0.43311300000000003</v>
      </c>
      <c r="C8361" s="15">
        <v>0.29664059999999998</v>
      </c>
    </row>
    <row r="8362" spans="1:3" x14ac:dyDescent="0.45">
      <c r="A8362" s="11">
        <v>100.33</v>
      </c>
      <c r="B8362" s="14">
        <v>0.4334672</v>
      </c>
      <c r="C8362" s="15">
        <v>0.29695060000000001</v>
      </c>
    </row>
    <row r="8363" spans="1:3" x14ac:dyDescent="0.45">
      <c r="A8363" s="11">
        <v>100.34</v>
      </c>
      <c r="B8363" s="14">
        <v>0.43382150000000003</v>
      </c>
      <c r="C8363" s="15">
        <v>0.29726069999999999</v>
      </c>
    </row>
    <row r="8364" spans="1:3" x14ac:dyDescent="0.45">
      <c r="A8364" s="11">
        <v>100.35</v>
      </c>
      <c r="B8364" s="14">
        <v>0.4341757</v>
      </c>
      <c r="C8364" s="15">
        <v>0.29757070000000002</v>
      </c>
    </row>
    <row r="8365" spans="1:3" x14ac:dyDescent="0.45">
      <c r="A8365" s="11">
        <v>100.36</v>
      </c>
      <c r="B8365" s="14">
        <v>0.43453000000000003</v>
      </c>
      <c r="C8365" s="15">
        <v>0.2978808</v>
      </c>
    </row>
    <row r="8366" spans="1:3" x14ac:dyDescent="0.45">
      <c r="A8366" s="11">
        <v>100.37</v>
      </c>
      <c r="B8366" s="14">
        <v>0.4348843</v>
      </c>
      <c r="C8366" s="15">
        <v>0.29819089999999998</v>
      </c>
    </row>
    <row r="8367" spans="1:3" x14ac:dyDescent="0.45">
      <c r="A8367" s="11">
        <v>100.38</v>
      </c>
      <c r="B8367" s="14">
        <v>0.43523849999999997</v>
      </c>
      <c r="C8367" s="15">
        <v>0.29850090000000001</v>
      </c>
    </row>
    <row r="8368" spans="1:3" x14ac:dyDescent="0.45">
      <c r="A8368" s="11">
        <v>100.39</v>
      </c>
      <c r="B8368" s="14">
        <v>0.4355927</v>
      </c>
      <c r="C8368" s="15">
        <v>0.29881099999999999</v>
      </c>
    </row>
    <row r="8369" spans="1:3" x14ac:dyDescent="0.45">
      <c r="A8369" s="11">
        <v>100.4</v>
      </c>
      <c r="B8369" s="14">
        <v>0.43594699999999997</v>
      </c>
      <c r="C8369" s="15">
        <v>0.29912100000000003</v>
      </c>
    </row>
    <row r="8370" spans="1:3" x14ac:dyDescent="0.45">
      <c r="A8370" s="11">
        <v>100.41</v>
      </c>
      <c r="B8370" s="14">
        <v>0.4363012</v>
      </c>
      <c r="C8370" s="15">
        <v>0.299431</v>
      </c>
    </row>
    <row r="8371" spans="1:3" x14ac:dyDescent="0.45">
      <c r="A8371" s="11">
        <v>100.42</v>
      </c>
      <c r="B8371" s="14">
        <v>0.43665549999999997</v>
      </c>
      <c r="C8371" s="15">
        <v>0.29974109999999998</v>
      </c>
    </row>
    <row r="8372" spans="1:3" x14ac:dyDescent="0.45">
      <c r="A8372" s="11">
        <v>100.43</v>
      </c>
      <c r="B8372" s="14">
        <v>0.4370098</v>
      </c>
      <c r="C8372" s="15">
        <v>0.30005120000000002</v>
      </c>
    </row>
    <row r="8373" spans="1:3" x14ac:dyDescent="0.45">
      <c r="A8373" s="11">
        <v>100.44</v>
      </c>
      <c r="B8373" s="14">
        <v>0.43736399999999998</v>
      </c>
      <c r="C8373" s="15">
        <v>0.30036119999999999</v>
      </c>
    </row>
    <row r="8374" spans="1:3" x14ac:dyDescent="0.45">
      <c r="A8374" s="11">
        <v>100.45</v>
      </c>
      <c r="B8374" s="14">
        <v>0.4377183</v>
      </c>
      <c r="C8374" s="15">
        <v>0.30067129999999997</v>
      </c>
    </row>
    <row r="8375" spans="1:3" x14ac:dyDescent="0.45">
      <c r="A8375" s="11">
        <v>100.46</v>
      </c>
      <c r="B8375" s="14">
        <v>0.43807249999999998</v>
      </c>
      <c r="C8375" s="15">
        <v>0.30098130000000001</v>
      </c>
    </row>
    <row r="8376" spans="1:3" x14ac:dyDescent="0.45">
      <c r="A8376" s="11">
        <v>100.47</v>
      </c>
      <c r="B8376" s="14">
        <v>0.4384267</v>
      </c>
      <c r="C8376" s="15">
        <v>0.30129129999999998</v>
      </c>
    </row>
    <row r="8377" spans="1:3" x14ac:dyDescent="0.45">
      <c r="A8377" s="11">
        <v>100.48</v>
      </c>
      <c r="B8377" s="14">
        <v>0.43878099999999998</v>
      </c>
      <c r="C8377" s="15">
        <v>0.30160140000000002</v>
      </c>
    </row>
    <row r="8378" spans="1:3" x14ac:dyDescent="0.45">
      <c r="A8378" s="11">
        <v>100.49</v>
      </c>
      <c r="B8378" s="14">
        <v>0.4391352</v>
      </c>
      <c r="C8378" s="15">
        <v>0.3019114</v>
      </c>
    </row>
    <row r="8379" spans="1:3" x14ac:dyDescent="0.45">
      <c r="A8379" s="11">
        <v>100.5</v>
      </c>
      <c r="B8379" s="14">
        <v>0.43948949999999998</v>
      </c>
      <c r="C8379" s="15">
        <v>0.30222149999999998</v>
      </c>
    </row>
    <row r="8380" spans="1:3" x14ac:dyDescent="0.45">
      <c r="A8380" s="11">
        <v>100.51</v>
      </c>
      <c r="B8380" s="14">
        <v>0.43984380000000001</v>
      </c>
      <c r="C8380" s="15">
        <v>0.30253160000000001</v>
      </c>
    </row>
    <row r="8381" spans="1:3" x14ac:dyDescent="0.45">
      <c r="A8381" s="11">
        <v>100.52</v>
      </c>
      <c r="B8381" s="14">
        <v>0.44019799999999998</v>
      </c>
      <c r="C8381" s="15">
        <v>0.30284159999999999</v>
      </c>
    </row>
    <row r="8382" spans="1:3" x14ac:dyDescent="0.45">
      <c r="A8382" s="11">
        <v>100.53</v>
      </c>
      <c r="B8382" s="14">
        <v>0.44055230000000001</v>
      </c>
      <c r="C8382" s="15">
        <v>0.30315160000000002</v>
      </c>
    </row>
    <row r="8383" spans="1:3" x14ac:dyDescent="0.45">
      <c r="A8383" s="11">
        <v>100.54</v>
      </c>
      <c r="B8383" s="14">
        <v>0.44090649999999998</v>
      </c>
      <c r="C8383" s="15">
        <v>0.3034617</v>
      </c>
    </row>
    <row r="8384" spans="1:3" x14ac:dyDescent="0.45">
      <c r="A8384" s="11">
        <v>100.55</v>
      </c>
      <c r="B8384" s="14">
        <v>0.44126070000000001</v>
      </c>
      <c r="C8384" s="15">
        <v>0.30377169999999998</v>
      </c>
    </row>
    <row r="8385" spans="1:3" x14ac:dyDescent="0.45">
      <c r="A8385" s="11">
        <v>100.56</v>
      </c>
      <c r="B8385" s="14">
        <v>0.44161499999999998</v>
      </c>
      <c r="C8385" s="15">
        <v>0.30408180000000001</v>
      </c>
    </row>
    <row r="8386" spans="1:3" x14ac:dyDescent="0.45">
      <c r="A8386" s="11">
        <v>100.57</v>
      </c>
      <c r="B8386" s="14">
        <v>0.44196920000000001</v>
      </c>
      <c r="C8386" s="15">
        <v>0.30439179999999999</v>
      </c>
    </row>
    <row r="8387" spans="1:3" x14ac:dyDescent="0.45">
      <c r="A8387" s="11">
        <v>100.58</v>
      </c>
      <c r="B8387" s="14">
        <v>0.44232349999999998</v>
      </c>
      <c r="C8387" s="15">
        <v>0.30470190000000003</v>
      </c>
    </row>
    <row r="8388" spans="1:3" x14ac:dyDescent="0.45">
      <c r="A8388" s="11">
        <v>100.59</v>
      </c>
      <c r="B8388" s="14">
        <v>0.44267780000000001</v>
      </c>
      <c r="C8388" s="15">
        <v>0.30501200000000001</v>
      </c>
    </row>
    <row r="8389" spans="1:3" x14ac:dyDescent="0.45">
      <c r="A8389" s="11">
        <v>100.6</v>
      </c>
      <c r="B8389" s="14">
        <v>0.44303199999999998</v>
      </c>
      <c r="C8389" s="15">
        <v>0.30532199999999998</v>
      </c>
    </row>
    <row r="8390" spans="1:3" x14ac:dyDescent="0.45">
      <c r="A8390" s="11">
        <v>100.61</v>
      </c>
      <c r="B8390" s="14">
        <v>0.44338620000000001</v>
      </c>
      <c r="C8390" s="15">
        <v>0.30563200000000001</v>
      </c>
    </row>
    <row r="8391" spans="1:3" x14ac:dyDescent="0.45">
      <c r="A8391" s="11">
        <v>100.62</v>
      </c>
      <c r="B8391" s="14">
        <v>0.44374049999999998</v>
      </c>
      <c r="C8391" s="15">
        <v>0.30594209999999999</v>
      </c>
    </row>
    <row r="8392" spans="1:3" x14ac:dyDescent="0.45">
      <c r="A8392" s="11">
        <v>100.63</v>
      </c>
      <c r="B8392" s="14">
        <v>0.44409470000000001</v>
      </c>
      <c r="C8392" s="15">
        <v>0.30625210000000003</v>
      </c>
    </row>
    <row r="8393" spans="1:3" x14ac:dyDescent="0.45">
      <c r="A8393" s="11">
        <v>100.64</v>
      </c>
      <c r="B8393" s="14">
        <v>0.44444899999999998</v>
      </c>
      <c r="C8393" s="15">
        <v>0.30656220000000001</v>
      </c>
    </row>
    <row r="8394" spans="1:3" x14ac:dyDescent="0.45">
      <c r="A8394" s="11">
        <v>100.65</v>
      </c>
      <c r="B8394" s="14">
        <v>0.44480330000000001</v>
      </c>
      <c r="C8394" s="15">
        <v>0.30687229999999999</v>
      </c>
    </row>
    <row r="8395" spans="1:3" x14ac:dyDescent="0.45">
      <c r="A8395" s="11">
        <v>100.66</v>
      </c>
      <c r="B8395" s="14">
        <v>0.44515749999999998</v>
      </c>
      <c r="C8395" s="15">
        <v>0.30718230000000002</v>
      </c>
    </row>
    <row r="8396" spans="1:3" x14ac:dyDescent="0.45">
      <c r="A8396" s="11">
        <v>100.67</v>
      </c>
      <c r="B8396" s="14">
        <v>0.44551180000000001</v>
      </c>
      <c r="C8396" s="15">
        <v>0.3074924</v>
      </c>
    </row>
    <row r="8397" spans="1:3" x14ac:dyDescent="0.45">
      <c r="A8397" s="11">
        <v>100.68</v>
      </c>
      <c r="B8397" s="14">
        <v>0.44586599999999998</v>
      </c>
      <c r="C8397" s="15">
        <v>0.30780239999999998</v>
      </c>
    </row>
    <row r="8398" spans="1:3" x14ac:dyDescent="0.45">
      <c r="A8398" s="11">
        <v>100.69</v>
      </c>
      <c r="B8398" s="14">
        <v>0.44622020000000001</v>
      </c>
      <c r="C8398" s="15">
        <v>0.30811240000000001</v>
      </c>
    </row>
    <row r="8399" spans="1:3" x14ac:dyDescent="0.45">
      <c r="A8399" s="11">
        <v>100.7</v>
      </c>
      <c r="B8399" s="14">
        <v>0.44657449999999999</v>
      </c>
      <c r="C8399" s="15">
        <v>0.30842249999999999</v>
      </c>
    </row>
    <row r="8400" spans="1:3" x14ac:dyDescent="0.45">
      <c r="A8400" s="11">
        <v>100.71</v>
      </c>
      <c r="B8400" s="14">
        <v>0.44692870000000001</v>
      </c>
      <c r="C8400" s="15">
        <v>0.30873250000000002</v>
      </c>
    </row>
    <row r="8401" spans="1:3" x14ac:dyDescent="0.45">
      <c r="A8401" s="11">
        <v>100.72</v>
      </c>
      <c r="B8401" s="14">
        <v>0.44728299999999999</v>
      </c>
      <c r="C8401" s="15">
        <v>0.3090426</v>
      </c>
    </row>
    <row r="8402" spans="1:3" x14ac:dyDescent="0.45">
      <c r="A8402" s="11">
        <v>100.73</v>
      </c>
      <c r="B8402" s="14">
        <v>0.44763730000000002</v>
      </c>
      <c r="C8402" s="15">
        <v>0.30935269999999998</v>
      </c>
    </row>
    <row r="8403" spans="1:3" x14ac:dyDescent="0.45">
      <c r="A8403" s="11">
        <v>100.74</v>
      </c>
      <c r="B8403" s="14">
        <v>0.44799149999999999</v>
      </c>
      <c r="C8403" s="15">
        <v>0.30966270000000001</v>
      </c>
    </row>
    <row r="8404" spans="1:3" x14ac:dyDescent="0.45">
      <c r="A8404" s="11">
        <v>100.75</v>
      </c>
      <c r="B8404" s="14">
        <v>0.44834570000000001</v>
      </c>
      <c r="C8404" s="15">
        <v>0.30997279999999999</v>
      </c>
    </row>
    <row r="8405" spans="1:3" x14ac:dyDescent="0.45">
      <c r="A8405" s="11">
        <v>100.76</v>
      </c>
      <c r="B8405" s="14">
        <v>0.44869999999999999</v>
      </c>
      <c r="C8405" s="15">
        <v>0.31028280000000003</v>
      </c>
    </row>
    <row r="8406" spans="1:3" x14ac:dyDescent="0.45">
      <c r="A8406" s="11">
        <v>100.77</v>
      </c>
      <c r="B8406" s="14">
        <v>0.44905420000000001</v>
      </c>
      <c r="C8406" s="15">
        <v>0.3105928</v>
      </c>
    </row>
    <row r="8407" spans="1:3" x14ac:dyDescent="0.45">
      <c r="A8407" s="11">
        <v>100.78</v>
      </c>
      <c r="B8407" s="14">
        <v>0.44940849999999999</v>
      </c>
      <c r="C8407" s="15">
        <v>0.31090289999999998</v>
      </c>
    </row>
    <row r="8408" spans="1:3" x14ac:dyDescent="0.45">
      <c r="A8408" s="11">
        <v>100.79</v>
      </c>
      <c r="B8408" s="14">
        <v>0.44976280000000002</v>
      </c>
      <c r="C8408" s="15">
        <v>0.31121300000000002</v>
      </c>
    </row>
    <row r="8409" spans="1:3" x14ac:dyDescent="0.45">
      <c r="A8409" s="11">
        <v>100.8</v>
      </c>
      <c r="B8409" s="14">
        <v>0.45011699999999999</v>
      </c>
      <c r="C8409" s="15">
        <v>0.31152299999999999</v>
      </c>
    </row>
    <row r="8410" spans="1:3" x14ac:dyDescent="0.45">
      <c r="A8410" s="11">
        <v>100.81</v>
      </c>
      <c r="B8410" s="14">
        <v>0.45047130000000002</v>
      </c>
      <c r="C8410" s="15">
        <v>0.31183309999999997</v>
      </c>
    </row>
    <row r="8411" spans="1:3" x14ac:dyDescent="0.45">
      <c r="A8411" s="11">
        <v>100.82</v>
      </c>
      <c r="B8411" s="14">
        <v>0.45082549999999999</v>
      </c>
      <c r="C8411" s="15">
        <v>0.31214310000000001</v>
      </c>
    </row>
    <row r="8412" spans="1:3" x14ac:dyDescent="0.45">
      <c r="A8412" s="11">
        <v>100.83</v>
      </c>
      <c r="B8412" s="14">
        <v>0.45117970000000002</v>
      </c>
      <c r="C8412" s="15">
        <v>0.31245309999999998</v>
      </c>
    </row>
    <row r="8413" spans="1:3" x14ac:dyDescent="0.45">
      <c r="A8413" s="11">
        <v>100.84</v>
      </c>
      <c r="B8413" s="14">
        <v>0.45153399999999999</v>
      </c>
      <c r="C8413" s="15">
        <v>0.31276320000000002</v>
      </c>
    </row>
    <row r="8414" spans="1:3" x14ac:dyDescent="0.45">
      <c r="A8414" s="11">
        <v>100.85</v>
      </c>
      <c r="B8414" s="14">
        <v>0.45188820000000002</v>
      </c>
      <c r="C8414" s="15">
        <v>0.3130732</v>
      </c>
    </row>
    <row r="8415" spans="1:3" x14ac:dyDescent="0.45">
      <c r="A8415" s="11">
        <v>100.86</v>
      </c>
      <c r="B8415" s="14">
        <v>0.45224249999999999</v>
      </c>
      <c r="C8415" s="15">
        <v>0.31338329999999998</v>
      </c>
    </row>
    <row r="8416" spans="1:3" x14ac:dyDescent="0.45">
      <c r="A8416" s="11">
        <v>100.87</v>
      </c>
      <c r="B8416" s="14">
        <v>0.45259680000000002</v>
      </c>
      <c r="C8416" s="15">
        <v>0.31369340000000001</v>
      </c>
    </row>
    <row r="8417" spans="1:3" x14ac:dyDescent="0.45">
      <c r="A8417" s="11">
        <v>100.88</v>
      </c>
      <c r="B8417" s="14">
        <v>0.45295099999999999</v>
      </c>
      <c r="C8417" s="15">
        <v>0.31400339999999999</v>
      </c>
    </row>
    <row r="8418" spans="1:3" x14ac:dyDescent="0.45">
      <c r="A8418" s="11">
        <v>100.89</v>
      </c>
      <c r="B8418" s="14">
        <v>0.45330530000000002</v>
      </c>
      <c r="C8418" s="15">
        <v>0.31431340000000002</v>
      </c>
    </row>
    <row r="8419" spans="1:3" x14ac:dyDescent="0.45">
      <c r="A8419" s="11">
        <v>100.9</v>
      </c>
      <c r="B8419" s="14">
        <v>0.45365949999999999</v>
      </c>
      <c r="C8419" s="15">
        <v>0.3146235</v>
      </c>
    </row>
    <row r="8420" spans="1:3" x14ac:dyDescent="0.45">
      <c r="A8420" s="11">
        <v>100.91</v>
      </c>
      <c r="B8420" s="14">
        <v>0.45401370000000002</v>
      </c>
      <c r="C8420" s="15">
        <v>0.31493349999999998</v>
      </c>
    </row>
    <row r="8421" spans="1:3" x14ac:dyDescent="0.45">
      <c r="A8421" s="11">
        <v>100.92</v>
      </c>
      <c r="B8421" s="14">
        <v>0.45436799999999999</v>
      </c>
      <c r="C8421" s="15">
        <v>0.31524360000000001</v>
      </c>
    </row>
    <row r="8422" spans="1:3" x14ac:dyDescent="0.45">
      <c r="A8422" s="11">
        <v>100.93</v>
      </c>
      <c r="B8422" s="14">
        <v>0.45472230000000002</v>
      </c>
      <c r="C8422" s="15">
        <v>0.31555369999999999</v>
      </c>
    </row>
    <row r="8423" spans="1:3" x14ac:dyDescent="0.45">
      <c r="A8423" s="11">
        <v>100.94</v>
      </c>
      <c r="B8423" s="14">
        <v>0.45507649999999999</v>
      </c>
      <c r="C8423" s="15">
        <v>0.31586370000000003</v>
      </c>
    </row>
    <row r="8424" spans="1:3" x14ac:dyDescent="0.45">
      <c r="A8424" s="11">
        <v>100.95</v>
      </c>
      <c r="B8424" s="14">
        <v>0.45543080000000002</v>
      </c>
      <c r="C8424" s="15">
        <v>0.3161738</v>
      </c>
    </row>
    <row r="8425" spans="1:3" x14ac:dyDescent="0.45">
      <c r="A8425" s="11">
        <v>100.96</v>
      </c>
      <c r="B8425" s="14">
        <v>0.455785</v>
      </c>
      <c r="C8425" s="15">
        <v>0.31648379999999998</v>
      </c>
    </row>
    <row r="8426" spans="1:3" x14ac:dyDescent="0.45">
      <c r="A8426" s="11">
        <v>100.97</v>
      </c>
      <c r="B8426" s="14">
        <v>0.45613920000000002</v>
      </c>
      <c r="C8426" s="15">
        <v>0.31679380000000001</v>
      </c>
    </row>
    <row r="8427" spans="1:3" x14ac:dyDescent="0.45">
      <c r="A8427" s="11">
        <v>100.98</v>
      </c>
      <c r="B8427" s="14">
        <v>0.4564935</v>
      </c>
      <c r="C8427" s="15">
        <v>0.31710389999999999</v>
      </c>
    </row>
    <row r="8428" spans="1:3" x14ac:dyDescent="0.45">
      <c r="A8428" s="11">
        <v>100.99</v>
      </c>
      <c r="B8428" s="14">
        <v>0.45684770000000002</v>
      </c>
      <c r="C8428" s="15">
        <v>0.31741390000000003</v>
      </c>
    </row>
    <row r="8429" spans="1:3" x14ac:dyDescent="0.45">
      <c r="A8429" s="11">
        <v>101</v>
      </c>
      <c r="B8429" s="14">
        <v>0.457202</v>
      </c>
      <c r="C8429" s="15">
        <v>0.31772400000000001</v>
      </c>
    </row>
    <row r="8430" spans="1:3" x14ac:dyDescent="0.45">
      <c r="A8430" s="11">
        <v>101.01</v>
      </c>
      <c r="B8430" s="14">
        <v>0.45758110000000002</v>
      </c>
      <c r="C8430" s="15">
        <v>0.31806760000000001</v>
      </c>
    </row>
    <row r="8431" spans="1:3" x14ac:dyDescent="0.45">
      <c r="A8431" s="11">
        <v>101.02</v>
      </c>
      <c r="B8431" s="14">
        <v>0.45796019999999998</v>
      </c>
      <c r="C8431" s="15">
        <v>0.31841120000000001</v>
      </c>
    </row>
    <row r="8432" spans="1:3" x14ac:dyDescent="0.45">
      <c r="A8432" s="11">
        <v>101.03</v>
      </c>
      <c r="B8432" s="14">
        <v>0.45833930000000001</v>
      </c>
      <c r="C8432" s="15">
        <v>0.3187547</v>
      </c>
    </row>
    <row r="8433" spans="1:3" x14ac:dyDescent="0.45">
      <c r="A8433" s="11">
        <v>101.04</v>
      </c>
      <c r="B8433" s="14">
        <v>0.45871840000000003</v>
      </c>
      <c r="C8433" s="15">
        <v>0.3190983</v>
      </c>
    </row>
    <row r="8434" spans="1:3" x14ac:dyDescent="0.45">
      <c r="A8434" s="11">
        <v>101.05</v>
      </c>
      <c r="B8434" s="14">
        <v>0.45909739999999999</v>
      </c>
      <c r="C8434" s="15">
        <v>0.3194419</v>
      </c>
    </row>
    <row r="8435" spans="1:3" x14ac:dyDescent="0.45">
      <c r="A8435" s="11">
        <v>101.06</v>
      </c>
      <c r="B8435" s="14">
        <v>0.45947650000000001</v>
      </c>
      <c r="C8435" s="15">
        <v>0.3197855</v>
      </c>
    </row>
    <row r="8436" spans="1:3" x14ac:dyDescent="0.45">
      <c r="A8436" s="11">
        <v>101.07</v>
      </c>
      <c r="B8436" s="14">
        <v>0.45985559999999998</v>
      </c>
      <c r="C8436" s="15">
        <v>0.3201291</v>
      </c>
    </row>
    <row r="8437" spans="1:3" x14ac:dyDescent="0.45">
      <c r="A8437" s="11">
        <v>101.08</v>
      </c>
      <c r="B8437" s="14">
        <v>0.4602347</v>
      </c>
      <c r="C8437" s="15">
        <v>0.3204726</v>
      </c>
    </row>
    <row r="8438" spans="1:3" x14ac:dyDescent="0.45">
      <c r="A8438" s="11">
        <v>101.09</v>
      </c>
      <c r="B8438" s="14">
        <v>0.46061380000000002</v>
      </c>
      <c r="C8438" s="15">
        <v>0.3208162</v>
      </c>
    </row>
    <row r="8439" spans="1:3" x14ac:dyDescent="0.45">
      <c r="A8439" s="11">
        <v>101.1</v>
      </c>
      <c r="B8439" s="14">
        <v>0.46099289999999998</v>
      </c>
      <c r="C8439" s="15">
        <v>0.3211598</v>
      </c>
    </row>
    <row r="8440" spans="1:3" x14ac:dyDescent="0.45">
      <c r="A8440" s="11">
        <v>101.11</v>
      </c>
      <c r="B8440" s="14">
        <v>0.461372</v>
      </c>
      <c r="C8440" s="15">
        <v>0.32150339999999999</v>
      </c>
    </row>
    <row r="8441" spans="1:3" x14ac:dyDescent="0.45">
      <c r="A8441" s="11">
        <v>101.12</v>
      </c>
      <c r="B8441" s="14">
        <v>0.46175110000000003</v>
      </c>
      <c r="C8441" s="15">
        <v>0.32184699999999999</v>
      </c>
    </row>
    <row r="8442" spans="1:3" x14ac:dyDescent="0.45">
      <c r="A8442" s="11">
        <v>101.13</v>
      </c>
      <c r="B8442" s="14">
        <v>0.46213019999999999</v>
      </c>
      <c r="C8442" s="15">
        <v>0.32219049999999999</v>
      </c>
    </row>
    <row r="8443" spans="1:3" x14ac:dyDescent="0.45">
      <c r="A8443" s="11">
        <v>101.14</v>
      </c>
      <c r="B8443" s="14">
        <v>0.46250930000000001</v>
      </c>
      <c r="C8443" s="15">
        <v>0.32253409999999999</v>
      </c>
    </row>
    <row r="8444" spans="1:3" x14ac:dyDescent="0.45">
      <c r="A8444" s="11">
        <v>101.15</v>
      </c>
      <c r="B8444" s="14">
        <v>0.46288839999999998</v>
      </c>
      <c r="C8444" s="15">
        <v>0.32287769999999999</v>
      </c>
    </row>
    <row r="8445" spans="1:3" x14ac:dyDescent="0.45">
      <c r="A8445" s="11">
        <v>101.16</v>
      </c>
      <c r="B8445" s="14">
        <v>0.4632674</v>
      </c>
      <c r="C8445" s="15">
        <v>0.32322129999999999</v>
      </c>
    </row>
    <row r="8446" spans="1:3" x14ac:dyDescent="0.45">
      <c r="A8446" s="11">
        <v>101.17</v>
      </c>
      <c r="B8446" s="14">
        <v>0.46364650000000002</v>
      </c>
      <c r="C8446" s="15">
        <v>0.32356489999999999</v>
      </c>
    </row>
    <row r="8447" spans="1:3" x14ac:dyDescent="0.45">
      <c r="A8447" s="11">
        <v>101.18</v>
      </c>
      <c r="B8447" s="14">
        <v>0.46402559999999998</v>
      </c>
      <c r="C8447" s="15">
        <v>0.32390839999999999</v>
      </c>
    </row>
    <row r="8448" spans="1:3" x14ac:dyDescent="0.45">
      <c r="A8448" s="11">
        <v>101.19</v>
      </c>
      <c r="B8448" s="14">
        <v>0.4644047</v>
      </c>
      <c r="C8448" s="15">
        <v>0.32425199999999998</v>
      </c>
    </row>
    <row r="8449" spans="1:3" x14ac:dyDescent="0.45">
      <c r="A8449" s="11">
        <v>101.2</v>
      </c>
      <c r="B8449" s="14">
        <v>0.46478380000000002</v>
      </c>
      <c r="C8449" s="15">
        <v>0.32459559999999998</v>
      </c>
    </row>
    <row r="8450" spans="1:3" x14ac:dyDescent="0.45">
      <c r="A8450" s="11">
        <v>101.21</v>
      </c>
      <c r="B8450" s="14">
        <v>0.46516289999999999</v>
      </c>
      <c r="C8450" s="15">
        <v>0.32493919999999998</v>
      </c>
    </row>
    <row r="8451" spans="1:3" x14ac:dyDescent="0.45">
      <c r="A8451" s="11">
        <v>101.22</v>
      </c>
      <c r="B8451" s="14">
        <v>0.46554200000000001</v>
      </c>
      <c r="C8451" s="15">
        <v>0.32528279999999998</v>
      </c>
    </row>
    <row r="8452" spans="1:3" x14ac:dyDescent="0.45">
      <c r="A8452" s="11">
        <v>101.23</v>
      </c>
      <c r="B8452" s="14">
        <v>0.46592109999999998</v>
      </c>
      <c r="C8452" s="15">
        <v>0.32562629999999998</v>
      </c>
    </row>
    <row r="8453" spans="1:3" x14ac:dyDescent="0.45">
      <c r="A8453" s="11">
        <v>101.24</v>
      </c>
      <c r="B8453" s="14">
        <v>0.4663002</v>
      </c>
      <c r="C8453" s="15">
        <v>0.32596989999999998</v>
      </c>
    </row>
    <row r="8454" spans="1:3" x14ac:dyDescent="0.45">
      <c r="A8454" s="11">
        <v>101.25</v>
      </c>
      <c r="B8454" s="14">
        <v>0.46667920000000002</v>
      </c>
      <c r="C8454" s="15">
        <v>0.32631349999999998</v>
      </c>
    </row>
    <row r="8455" spans="1:3" x14ac:dyDescent="0.45">
      <c r="A8455" s="11">
        <v>101.26</v>
      </c>
      <c r="B8455" s="14">
        <v>0.46705829999999998</v>
      </c>
      <c r="C8455" s="15">
        <v>0.32665709999999998</v>
      </c>
    </row>
    <row r="8456" spans="1:3" x14ac:dyDescent="0.45">
      <c r="A8456" s="11">
        <v>101.27</v>
      </c>
      <c r="B8456" s="14">
        <v>0.4674374</v>
      </c>
      <c r="C8456" s="15">
        <v>0.32700069999999998</v>
      </c>
    </row>
    <row r="8457" spans="1:3" x14ac:dyDescent="0.45">
      <c r="A8457" s="11">
        <v>101.28</v>
      </c>
      <c r="B8457" s="14">
        <v>0.46781650000000002</v>
      </c>
      <c r="C8457" s="15">
        <v>0.32734419999999997</v>
      </c>
    </row>
    <row r="8458" spans="1:3" x14ac:dyDescent="0.45">
      <c r="A8458" s="11">
        <v>101.29</v>
      </c>
      <c r="B8458" s="14">
        <v>0.46819559999999999</v>
      </c>
      <c r="C8458" s="15">
        <v>0.32768779999999997</v>
      </c>
    </row>
    <row r="8459" spans="1:3" x14ac:dyDescent="0.45">
      <c r="A8459" s="11">
        <v>101.3</v>
      </c>
      <c r="B8459" s="14">
        <v>0.46857470000000001</v>
      </c>
      <c r="C8459" s="15">
        <v>0.32803139999999997</v>
      </c>
    </row>
    <row r="8460" spans="1:3" x14ac:dyDescent="0.45">
      <c r="A8460" s="11">
        <v>101.31</v>
      </c>
      <c r="B8460" s="14">
        <v>0.46895379999999998</v>
      </c>
      <c r="C8460" s="15">
        <v>0.32837499999999997</v>
      </c>
    </row>
    <row r="8461" spans="1:3" x14ac:dyDescent="0.45">
      <c r="A8461" s="11">
        <v>101.32</v>
      </c>
      <c r="B8461" s="14">
        <v>0.4693329</v>
      </c>
      <c r="C8461" s="15">
        <v>0.32871860000000003</v>
      </c>
    </row>
    <row r="8462" spans="1:3" x14ac:dyDescent="0.45">
      <c r="A8462" s="11">
        <v>101.33</v>
      </c>
      <c r="B8462" s="14">
        <v>0.46971200000000002</v>
      </c>
      <c r="C8462" s="15">
        <v>0.32906210000000002</v>
      </c>
    </row>
    <row r="8463" spans="1:3" x14ac:dyDescent="0.45">
      <c r="A8463" s="11">
        <v>101.34</v>
      </c>
      <c r="B8463" s="14">
        <v>0.47009109999999998</v>
      </c>
      <c r="C8463" s="15">
        <v>0.32940570000000002</v>
      </c>
    </row>
    <row r="8464" spans="1:3" x14ac:dyDescent="0.45">
      <c r="A8464" s="11">
        <v>101.35</v>
      </c>
      <c r="B8464" s="14">
        <v>0.4704701</v>
      </c>
      <c r="C8464" s="15">
        <v>0.32974930000000002</v>
      </c>
    </row>
    <row r="8465" spans="1:3" x14ac:dyDescent="0.45">
      <c r="A8465" s="11">
        <v>101.36</v>
      </c>
      <c r="B8465" s="14">
        <v>0.47084920000000002</v>
      </c>
      <c r="C8465" s="15">
        <v>0.33009290000000002</v>
      </c>
    </row>
    <row r="8466" spans="1:3" x14ac:dyDescent="0.45">
      <c r="A8466" s="11">
        <v>101.37</v>
      </c>
      <c r="B8466" s="14">
        <v>0.47122829999999999</v>
      </c>
      <c r="C8466" s="15">
        <v>0.33043650000000002</v>
      </c>
    </row>
    <row r="8467" spans="1:3" x14ac:dyDescent="0.45">
      <c r="A8467" s="11">
        <v>101.38</v>
      </c>
      <c r="B8467" s="14">
        <v>0.47160740000000001</v>
      </c>
      <c r="C8467" s="15">
        <v>0.33078000000000002</v>
      </c>
    </row>
    <row r="8468" spans="1:3" x14ac:dyDescent="0.45">
      <c r="A8468" s="11">
        <v>101.39</v>
      </c>
      <c r="B8468" s="14">
        <v>0.47198649999999998</v>
      </c>
      <c r="C8468" s="15">
        <v>0.33112360000000002</v>
      </c>
    </row>
    <row r="8469" spans="1:3" x14ac:dyDescent="0.45">
      <c r="A8469" s="11">
        <v>101.4</v>
      </c>
      <c r="B8469" s="14">
        <v>0.4723656</v>
      </c>
      <c r="C8469" s="15">
        <v>0.33146720000000002</v>
      </c>
    </row>
    <row r="8470" spans="1:3" x14ac:dyDescent="0.45">
      <c r="A8470" s="11">
        <v>101.41</v>
      </c>
      <c r="B8470" s="14">
        <v>0.47274470000000002</v>
      </c>
      <c r="C8470" s="15">
        <v>0.33181080000000002</v>
      </c>
    </row>
    <row r="8471" spans="1:3" x14ac:dyDescent="0.45">
      <c r="A8471" s="11">
        <v>101.42</v>
      </c>
      <c r="B8471" s="14">
        <v>0.47312379999999998</v>
      </c>
      <c r="C8471" s="15">
        <v>0.33215440000000002</v>
      </c>
    </row>
    <row r="8472" spans="1:3" x14ac:dyDescent="0.45">
      <c r="A8472" s="11">
        <v>101.43</v>
      </c>
      <c r="B8472" s="14">
        <v>0.4735029</v>
      </c>
      <c r="C8472" s="15">
        <v>0.33249790000000001</v>
      </c>
    </row>
    <row r="8473" spans="1:3" x14ac:dyDescent="0.45">
      <c r="A8473" s="11">
        <v>101.44</v>
      </c>
      <c r="B8473" s="14">
        <v>0.47388200000000003</v>
      </c>
      <c r="C8473" s="15">
        <v>0.33284150000000001</v>
      </c>
    </row>
    <row r="8474" spans="1:3" x14ac:dyDescent="0.45">
      <c r="A8474" s="11">
        <v>101.45</v>
      </c>
      <c r="B8474" s="14">
        <v>0.47426109999999999</v>
      </c>
      <c r="C8474" s="15">
        <v>0.33318510000000001</v>
      </c>
    </row>
    <row r="8475" spans="1:3" x14ac:dyDescent="0.45">
      <c r="A8475" s="11">
        <v>101.46</v>
      </c>
      <c r="B8475" s="14">
        <v>0.47464010000000001</v>
      </c>
      <c r="C8475" s="15">
        <v>0.33352870000000001</v>
      </c>
    </row>
    <row r="8476" spans="1:3" x14ac:dyDescent="0.45">
      <c r="A8476" s="11">
        <v>101.47</v>
      </c>
      <c r="B8476" s="14">
        <v>0.47501919999999997</v>
      </c>
      <c r="C8476" s="15">
        <v>0.33387230000000001</v>
      </c>
    </row>
    <row r="8477" spans="1:3" x14ac:dyDescent="0.45">
      <c r="A8477" s="11">
        <v>101.48</v>
      </c>
      <c r="B8477" s="14">
        <v>0.4753983</v>
      </c>
      <c r="C8477" s="15">
        <v>0.33421580000000001</v>
      </c>
    </row>
    <row r="8478" spans="1:3" x14ac:dyDescent="0.45">
      <c r="A8478" s="11">
        <v>101.49</v>
      </c>
      <c r="B8478" s="14">
        <v>0.47577740000000002</v>
      </c>
      <c r="C8478" s="15">
        <v>0.33455940000000001</v>
      </c>
    </row>
    <row r="8479" spans="1:3" x14ac:dyDescent="0.45">
      <c r="A8479" s="11">
        <v>101.5</v>
      </c>
      <c r="B8479" s="14">
        <v>0.47615649999999998</v>
      </c>
      <c r="C8479" s="15">
        <v>0.33490300000000001</v>
      </c>
    </row>
    <row r="8480" spans="1:3" x14ac:dyDescent="0.45">
      <c r="A8480" s="11">
        <v>101.51</v>
      </c>
      <c r="B8480" s="14">
        <v>0.4765356</v>
      </c>
      <c r="C8480" s="15">
        <v>0.33524660000000001</v>
      </c>
    </row>
    <row r="8481" spans="1:3" x14ac:dyDescent="0.45">
      <c r="A8481" s="11">
        <v>101.52</v>
      </c>
      <c r="B8481" s="14">
        <v>0.47691470000000002</v>
      </c>
      <c r="C8481" s="15">
        <v>0.33559020000000001</v>
      </c>
    </row>
    <row r="8482" spans="1:3" x14ac:dyDescent="0.45">
      <c r="A8482" s="11">
        <v>101.53</v>
      </c>
      <c r="B8482" s="14">
        <v>0.47729379999999999</v>
      </c>
      <c r="C8482" s="15">
        <v>0.3359337</v>
      </c>
    </row>
    <row r="8483" spans="1:3" x14ac:dyDescent="0.45">
      <c r="A8483" s="11">
        <v>101.54</v>
      </c>
      <c r="B8483" s="14">
        <v>0.47767290000000001</v>
      </c>
      <c r="C8483" s="15">
        <v>0.3362773</v>
      </c>
    </row>
    <row r="8484" spans="1:3" x14ac:dyDescent="0.45">
      <c r="A8484" s="11">
        <v>101.55</v>
      </c>
      <c r="B8484" s="14">
        <v>0.47805189999999997</v>
      </c>
      <c r="C8484" s="15">
        <v>0.3366209</v>
      </c>
    </row>
    <row r="8485" spans="1:3" x14ac:dyDescent="0.45">
      <c r="A8485" s="11">
        <v>101.56</v>
      </c>
      <c r="B8485" s="14">
        <v>0.478431</v>
      </c>
      <c r="C8485" s="15">
        <v>0.3369645</v>
      </c>
    </row>
    <row r="8486" spans="1:3" x14ac:dyDescent="0.45">
      <c r="A8486" s="11">
        <v>101.57</v>
      </c>
      <c r="B8486" s="14">
        <v>0.47881010000000002</v>
      </c>
      <c r="C8486" s="15">
        <v>0.3373081</v>
      </c>
    </row>
    <row r="8487" spans="1:3" x14ac:dyDescent="0.45">
      <c r="A8487" s="11">
        <v>101.58</v>
      </c>
      <c r="B8487" s="14">
        <v>0.47918919999999998</v>
      </c>
      <c r="C8487" s="15">
        <v>0.3376516</v>
      </c>
    </row>
    <row r="8488" spans="1:3" x14ac:dyDescent="0.45">
      <c r="A8488" s="11">
        <v>101.59</v>
      </c>
      <c r="B8488" s="14">
        <v>0.4795683</v>
      </c>
      <c r="C8488" s="15">
        <v>0.3379952</v>
      </c>
    </row>
    <row r="8489" spans="1:3" x14ac:dyDescent="0.45">
      <c r="A8489" s="11">
        <v>101.6</v>
      </c>
      <c r="B8489" s="14">
        <v>0.47994740000000002</v>
      </c>
      <c r="C8489" s="15">
        <v>0.3383388</v>
      </c>
    </row>
    <row r="8490" spans="1:3" x14ac:dyDescent="0.45">
      <c r="A8490" s="11">
        <v>101.61</v>
      </c>
      <c r="B8490" s="14">
        <v>0.48032649999999999</v>
      </c>
      <c r="C8490" s="15">
        <v>0.33868239999999999</v>
      </c>
    </row>
    <row r="8491" spans="1:3" x14ac:dyDescent="0.45">
      <c r="A8491" s="11">
        <v>101.62</v>
      </c>
      <c r="B8491" s="14">
        <v>0.48070560000000001</v>
      </c>
      <c r="C8491" s="15">
        <v>0.33902599999999999</v>
      </c>
    </row>
    <row r="8492" spans="1:3" x14ac:dyDescent="0.45">
      <c r="A8492" s="11">
        <v>101.63</v>
      </c>
      <c r="B8492" s="14">
        <v>0.48108469999999998</v>
      </c>
      <c r="C8492" s="15">
        <v>0.33936949999999999</v>
      </c>
    </row>
    <row r="8493" spans="1:3" x14ac:dyDescent="0.45">
      <c r="A8493" s="11">
        <v>101.64</v>
      </c>
      <c r="B8493" s="14">
        <v>0.4814638</v>
      </c>
      <c r="C8493" s="15">
        <v>0.33971309999999999</v>
      </c>
    </row>
    <row r="8494" spans="1:3" x14ac:dyDescent="0.45">
      <c r="A8494" s="11">
        <v>101.65</v>
      </c>
      <c r="B8494" s="14">
        <v>0.48184290000000002</v>
      </c>
      <c r="C8494" s="15">
        <v>0.34005669999999999</v>
      </c>
    </row>
    <row r="8495" spans="1:3" x14ac:dyDescent="0.45">
      <c r="A8495" s="11">
        <v>101.66</v>
      </c>
      <c r="B8495" s="14">
        <v>0.48222189999999998</v>
      </c>
      <c r="C8495" s="15">
        <v>0.34040029999999999</v>
      </c>
    </row>
    <row r="8496" spans="1:3" x14ac:dyDescent="0.45">
      <c r="A8496" s="11">
        <v>101.67</v>
      </c>
      <c r="B8496" s="14">
        <v>0.482601</v>
      </c>
      <c r="C8496" s="15">
        <v>0.34074389999999999</v>
      </c>
    </row>
    <row r="8497" spans="1:3" x14ac:dyDescent="0.45">
      <c r="A8497" s="11">
        <v>101.68</v>
      </c>
      <c r="B8497" s="14">
        <v>0.48298010000000002</v>
      </c>
      <c r="C8497" s="15">
        <v>0.34108739999999999</v>
      </c>
    </row>
    <row r="8498" spans="1:3" x14ac:dyDescent="0.45">
      <c r="A8498" s="11">
        <v>101.69</v>
      </c>
      <c r="B8498" s="14">
        <v>0.48335919999999999</v>
      </c>
      <c r="C8498" s="15">
        <v>0.34143099999999998</v>
      </c>
    </row>
    <row r="8499" spans="1:3" x14ac:dyDescent="0.45">
      <c r="A8499" s="11">
        <v>101.7</v>
      </c>
      <c r="B8499" s="14">
        <v>0.48373830000000001</v>
      </c>
      <c r="C8499" s="15">
        <v>0.34177459999999998</v>
      </c>
    </row>
    <row r="8500" spans="1:3" x14ac:dyDescent="0.45">
      <c r="A8500" s="11">
        <v>101.71</v>
      </c>
      <c r="B8500" s="14">
        <v>0.48411739999999998</v>
      </c>
      <c r="C8500" s="15">
        <v>0.34211819999999998</v>
      </c>
    </row>
    <row r="8501" spans="1:3" x14ac:dyDescent="0.45">
      <c r="A8501" s="11">
        <v>101.72</v>
      </c>
      <c r="B8501" s="14">
        <v>0.4844965</v>
      </c>
      <c r="C8501" s="15">
        <v>0.34246179999999998</v>
      </c>
    </row>
    <row r="8502" spans="1:3" x14ac:dyDescent="0.45">
      <c r="A8502" s="11">
        <v>101.73</v>
      </c>
      <c r="B8502" s="14">
        <v>0.48487560000000002</v>
      </c>
      <c r="C8502" s="15">
        <v>0.34280529999999998</v>
      </c>
    </row>
    <row r="8503" spans="1:3" x14ac:dyDescent="0.45">
      <c r="A8503" s="11">
        <v>101.74</v>
      </c>
      <c r="B8503" s="14">
        <v>0.48525469999999998</v>
      </c>
      <c r="C8503" s="15">
        <v>0.34314889999999998</v>
      </c>
    </row>
    <row r="8504" spans="1:3" x14ac:dyDescent="0.45">
      <c r="A8504" s="11">
        <v>101.75</v>
      </c>
      <c r="B8504" s="14">
        <v>0.4856337</v>
      </c>
      <c r="C8504" s="15">
        <v>0.34349249999999998</v>
      </c>
    </row>
    <row r="8505" spans="1:3" x14ac:dyDescent="0.45">
      <c r="A8505" s="11">
        <v>101.76</v>
      </c>
      <c r="B8505" s="14">
        <v>0.48601280000000002</v>
      </c>
      <c r="C8505" s="15">
        <v>0.34383609999999998</v>
      </c>
    </row>
    <row r="8506" spans="1:3" x14ac:dyDescent="0.45">
      <c r="A8506" s="11">
        <v>101.77</v>
      </c>
      <c r="B8506" s="14">
        <v>0.48639189999999999</v>
      </c>
      <c r="C8506" s="15">
        <v>0.34417969999999998</v>
      </c>
    </row>
    <row r="8507" spans="1:3" x14ac:dyDescent="0.45">
      <c r="A8507" s="11">
        <v>101.78</v>
      </c>
      <c r="B8507" s="14">
        <v>0.48677100000000001</v>
      </c>
      <c r="C8507" s="15">
        <v>0.34452319999999997</v>
      </c>
    </row>
    <row r="8508" spans="1:3" x14ac:dyDescent="0.45">
      <c r="A8508" s="11">
        <v>101.79</v>
      </c>
      <c r="B8508" s="14">
        <v>0.48715009999999997</v>
      </c>
      <c r="C8508" s="15">
        <v>0.34486679999999997</v>
      </c>
    </row>
    <row r="8509" spans="1:3" x14ac:dyDescent="0.45">
      <c r="A8509" s="11">
        <v>101.8</v>
      </c>
      <c r="B8509" s="14">
        <v>0.4875292</v>
      </c>
      <c r="C8509" s="15">
        <v>0.34521039999999997</v>
      </c>
    </row>
    <row r="8510" spans="1:3" x14ac:dyDescent="0.45">
      <c r="A8510" s="11">
        <v>101.81</v>
      </c>
      <c r="B8510" s="14">
        <v>0.48790830000000002</v>
      </c>
      <c r="C8510" s="15">
        <v>0.34555399999999997</v>
      </c>
    </row>
    <row r="8511" spans="1:3" x14ac:dyDescent="0.45">
      <c r="A8511" s="11">
        <v>101.82</v>
      </c>
      <c r="B8511" s="14">
        <v>0.48828739999999998</v>
      </c>
      <c r="C8511" s="15">
        <v>0.34589760000000003</v>
      </c>
    </row>
    <row r="8512" spans="1:3" x14ac:dyDescent="0.45">
      <c r="A8512" s="11">
        <v>101.83</v>
      </c>
      <c r="B8512" s="14">
        <v>0.4886665</v>
      </c>
      <c r="C8512" s="15">
        <v>0.34624110000000002</v>
      </c>
    </row>
    <row r="8513" spans="1:3" x14ac:dyDescent="0.45">
      <c r="A8513" s="11">
        <v>101.84</v>
      </c>
      <c r="B8513" s="14">
        <v>0.48904560000000002</v>
      </c>
      <c r="C8513" s="15">
        <v>0.34658470000000002</v>
      </c>
    </row>
    <row r="8514" spans="1:3" x14ac:dyDescent="0.45">
      <c r="A8514" s="11">
        <v>101.85</v>
      </c>
      <c r="B8514" s="14">
        <v>0.48942459999999999</v>
      </c>
      <c r="C8514" s="15">
        <v>0.34692830000000002</v>
      </c>
    </row>
    <row r="8515" spans="1:3" x14ac:dyDescent="0.45">
      <c r="A8515" s="11">
        <v>101.86</v>
      </c>
      <c r="B8515" s="14">
        <v>0.48980370000000001</v>
      </c>
      <c r="C8515" s="15">
        <v>0.34727190000000002</v>
      </c>
    </row>
    <row r="8516" spans="1:3" x14ac:dyDescent="0.45">
      <c r="A8516" s="11">
        <v>101.87</v>
      </c>
      <c r="B8516" s="14">
        <v>0.49018279999999997</v>
      </c>
      <c r="C8516" s="15">
        <v>0.34761550000000002</v>
      </c>
    </row>
    <row r="8517" spans="1:3" x14ac:dyDescent="0.45">
      <c r="A8517" s="11">
        <v>101.88</v>
      </c>
      <c r="B8517" s="14">
        <v>0.4905619</v>
      </c>
      <c r="C8517" s="15">
        <v>0.34795900000000002</v>
      </c>
    </row>
    <row r="8518" spans="1:3" x14ac:dyDescent="0.45">
      <c r="A8518" s="11">
        <v>101.89</v>
      </c>
      <c r="B8518" s="14">
        <v>0.49094100000000002</v>
      </c>
      <c r="C8518" s="15">
        <v>0.34830260000000002</v>
      </c>
    </row>
    <row r="8519" spans="1:3" x14ac:dyDescent="0.45">
      <c r="A8519" s="11">
        <v>101.9</v>
      </c>
      <c r="B8519" s="14">
        <v>0.49132009999999998</v>
      </c>
      <c r="C8519" s="15">
        <v>0.34864620000000002</v>
      </c>
    </row>
    <row r="8520" spans="1:3" x14ac:dyDescent="0.45">
      <c r="A8520" s="11">
        <v>101.91</v>
      </c>
      <c r="B8520" s="14">
        <v>0.4916992</v>
      </c>
      <c r="C8520" s="15">
        <v>0.34898980000000002</v>
      </c>
    </row>
    <row r="8521" spans="1:3" x14ac:dyDescent="0.45">
      <c r="A8521" s="11">
        <v>101.92</v>
      </c>
      <c r="B8521" s="14">
        <v>0.49207830000000002</v>
      </c>
      <c r="C8521" s="15">
        <v>0.34933340000000002</v>
      </c>
    </row>
    <row r="8522" spans="1:3" x14ac:dyDescent="0.45">
      <c r="A8522" s="11">
        <v>101.93</v>
      </c>
      <c r="B8522" s="14">
        <v>0.49245739999999999</v>
      </c>
      <c r="C8522" s="15">
        <v>0.34967690000000001</v>
      </c>
    </row>
    <row r="8523" spans="1:3" x14ac:dyDescent="0.45">
      <c r="A8523" s="11">
        <v>101.94</v>
      </c>
      <c r="B8523" s="14">
        <v>0.49283650000000001</v>
      </c>
      <c r="C8523" s="15">
        <v>0.35002050000000001</v>
      </c>
    </row>
    <row r="8524" spans="1:3" x14ac:dyDescent="0.45">
      <c r="A8524" s="11">
        <v>101.95</v>
      </c>
      <c r="B8524" s="14">
        <v>0.49321559999999998</v>
      </c>
      <c r="C8524" s="15">
        <v>0.35036410000000001</v>
      </c>
    </row>
    <row r="8525" spans="1:3" x14ac:dyDescent="0.45">
      <c r="A8525" s="11">
        <v>101.96</v>
      </c>
      <c r="B8525" s="14">
        <v>0.49359459999999999</v>
      </c>
      <c r="C8525" s="15">
        <v>0.35070770000000001</v>
      </c>
    </row>
    <row r="8526" spans="1:3" x14ac:dyDescent="0.45">
      <c r="A8526" s="11">
        <v>101.97</v>
      </c>
      <c r="B8526" s="14">
        <v>0.49397370000000002</v>
      </c>
      <c r="C8526" s="15">
        <v>0.35105130000000001</v>
      </c>
    </row>
    <row r="8527" spans="1:3" x14ac:dyDescent="0.45">
      <c r="A8527" s="11">
        <v>101.98</v>
      </c>
      <c r="B8527" s="14">
        <v>0.49435279999999998</v>
      </c>
      <c r="C8527" s="15">
        <v>0.35139480000000001</v>
      </c>
    </row>
    <row r="8528" spans="1:3" x14ac:dyDescent="0.45">
      <c r="A8528" s="11">
        <v>101.99</v>
      </c>
      <c r="B8528" s="14">
        <v>0.4947319</v>
      </c>
      <c r="C8528" s="15">
        <v>0.35173840000000001</v>
      </c>
    </row>
    <row r="8529" spans="1:3" x14ac:dyDescent="0.45">
      <c r="A8529" s="11">
        <v>102</v>
      </c>
      <c r="B8529" s="14">
        <v>0.49511100000000002</v>
      </c>
      <c r="C8529" s="15">
        <v>0.35208200000000001</v>
      </c>
    </row>
    <row r="8530" spans="1:3" x14ac:dyDescent="0.45">
      <c r="A8530" s="11">
        <v>102.01</v>
      </c>
      <c r="B8530" s="14">
        <v>0.49551620000000002</v>
      </c>
      <c r="C8530" s="15">
        <v>0.35246280000000002</v>
      </c>
    </row>
    <row r="8531" spans="1:3" x14ac:dyDescent="0.45">
      <c r="A8531" s="11">
        <v>102.02</v>
      </c>
      <c r="B8531" s="14">
        <v>0.49592140000000001</v>
      </c>
      <c r="C8531" s="15">
        <v>0.35284349999999998</v>
      </c>
    </row>
    <row r="8532" spans="1:3" x14ac:dyDescent="0.45">
      <c r="A8532" s="11">
        <v>102.03</v>
      </c>
      <c r="B8532" s="14">
        <v>0.49632660000000001</v>
      </c>
      <c r="C8532" s="15">
        <v>0.35322429999999999</v>
      </c>
    </row>
    <row r="8533" spans="1:3" x14ac:dyDescent="0.45">
      <c r="A8533" s="11">
        <v>102.04</v>
      </c>
      <c r="B8533" s="14">
        <v>0.4967318</v>
      </c>
      <c r="C8533" s="15">
        <v>0.353605</v>
      </c>
    </row>
    <row r="8534" spans="1:3" x14ac:dyDescent="0.45">
      <c r="A8534" s="11">
        <v>102.05</v>
      </c>
      <c r="B8534" s="14">
        <v>0.497137</v>
      </c>
      <c r="C8534" s="15">
        <v>0.35398570000000001</v>
      </c>
    </row>
    <row r="8535" spans="1:3" x14ac:dyDescent="0.45">
      <c r="A8535" s="11">
        <v>102.06</v>
      </c>
      <c r="B8535" s="14">
        <v>0.49754219999999999</v>
      </c>
      <c r="C8535" s="15">
        <v>0.35436649999999997</v>
      </c>
    </row>
    <row r="8536" spans="1:3" x14ac:dyDescent="0.45">
      <c r="A8536" s="11">
        <v>102.07</v>
      </c>
      <c r="B8536" s="14">
        <v>0.49794739999999998</v>
      </c>
      <c r="C8536" s="15">
        <v>0.35474719999999998</v>
      </c>
    </row>
    <row r="8537" spans="1:3" x14ac:dyDescent="0.45">
      <c r="A8537" s="11">
        <v>102.08</v>
      </c>
      <c r="B8537" s="14">
        <v>0.49835259999999998</v>
      </c>
      <c r="C8537" s="15">
        <v>0.355128</v>
      </c>
    </row>
    <row r="8538" spans="1:3" x14ac:dyDescent="0.45">
      <c r="A8538" s="11">
        <v>102.09</v>
      </c>
      <c r="B8538" s="14">
        <v>0.49875779999999997</v>
      </c>
      <c r="C8538" s="15">
        <v>0.35550880000000001</v>
      </c>
    </row>
    <row r="8539" spans="1:3" x14ac:dyDescent="0.45">
      <c r="A8539" s="11">
        <v>102.1</v>
      </c>
      <c r="B8539" s="14">
        <v>0.49916300000000002</v>
      </c>
      <c r="C8539" s="15">
        <v>0.35588950000000003</v>
      </c>
    </row>
    <row r="8540" spans="1:3" x14ac:dyDescent="0.45">
      <c r="A8540" s="11">
        <v>102.11</v>
      </c>
      <c r="B8540" s="14">
        <v>0.49956820000000002</v>
      </c>
      <c r="C8540" s="15">
        <v>0.35627029999999998</v>
      </c>
    </row>
    <row r="8541" spans="1:3" x14ac:dyDescent="0.45">
      <c r="A8541" s="11">
        <v>102.12</v>
      </c>
      <c r="B8541" s="14">
        <v>0.49997340000000001</v>
      </c>
      <c r="C8541" s="15">
        <v>0.356651</v>
      </c>
    </row>
    <row r="8542" spans="1:3" x14ac:dyDescent="0.45">
      <c r="A8542" s="11">
        <v>102.13</v>
      </c>
      <c r="B8542" s="14">
        <v>0.50037860000000001</v>
      </c>
      <c r="C8542" s="15">
        <v>0.35703170000000001</v>
      </c>
    </row>
    <row r="8543" spans="1:3" x14ac:dyDescent="0.45">
      <c r="A8543" s="11">
        <v>102.14</v>
      </c>
      <c r="B8543" s="14">
        <v>0.5007838</v>
      </c>
      <c r="C8543" s="15">
        <v>0.35741250000000002</v>
      </c>
    </row>
    <row r="8544" spans="1:3" x14ac:dyDescent="0.45">
      <c r="A8544" s="11">
        <v>102.15</v>
      </c>
      <c r="B8544" s="14">
        <v>0.501189</v>
      </c>
      <c r="C8544" s="15">
        <v>0.35779329999999998</v>
      </c>
    </row>
    <row r="8545" spans="1:3" x14ac:dyDescent="0.45">
      <c r="A8545" s="11">
        <v>102.16</v>
      </c>
      <c r="B8545" s="14">
        <v>0.50159419999999999</v>
      </c>
      <c r="C8545" s="15">
        <v>0.35817399999999999</v>
      </c>
    </row>
    <row r="8546" spans="1:3" x14ac:dyDescent="0.45">
      <c r="A8546" s="11">
        <v>102.17</v>
      </c>
      <c r="B8546" s="14">
        <v>0.50199939999999998</v>
      </c>
      <c r="C8546" s="15">
        <v>0.35855480000000001</v>
      </c>
    </row>
    <row r="8547" spans="1:3" x14ac:dyDescent="0.45">
      <c r="A8547" s="11">
        <v>102.18</v>
      </c>
      <c r="B8547" s="14">
        <v>0.50240459999999998</v>
      </c>
      <c r="C8547" s="15">
        <v>0.35893550000000002</v>
      </c>
    </row>
    <row r="8548" spans="1:3" x14ac:dyDescent="0.45">
      <c r="A8548" s="11">
        <v>102.19</v>
      </c>
      <c r="B8548" s="14">
        <v>0.50280979999999997</v>
      </c>
      <c r="C8548" s="15">
        <v>0.35931619999999997</v>
      </c>
    </row>
    <row r="8549" spans="1:3" x14ac:dyDescent="0.45">
      <c r="A8549" s="11">
        <v>102.2</v>
      </c>
      <c r="B8549" s="14">
        <v>0.50321499999999997</v>
      </c>
      <c r="C8549" s="15">
        <v>0.35969699999999999</v>
      </c>
    </row>
    <row r="8550" spans="1:3" x14ac:dyDescent="0.45">
      <c r="A8550" s="11">
        <v>102.21</v>
      </c>
      <c r="B8550" s="14">
        <v>0.50362019999999996</v>
      </c>
      <c r="C8550" s="15">
        <v>0.3600777</v>
      </c>
    </row>
    <row r="8551" spans="1:3" x14ac:dyDescent="0.45">
      <c r="A8551" s="11">
        <v>102.22</v>
      </c>
      <c r="B8551" s="14">
        <v>0.50402539999999996</v>
      </c>
      <c r="C8551" s="15">
        <v>0.36045850000000002</v>
      </c>
    </row>
    <row r="8552" spans="1:3" x14ac:dyDescent="0.45">
      <c r="A8552" s="11">
        <v>102.23</v>
      </c>
      <c r="B8552" s="14">
        <v>0.50443059999999995</v>
      </c>
      <c r="C8552" s="15">
        <v>0.36083929999999997</v>
      </c>
    </row>
    <row r="8553" spans="1:3" x14ac:dyDescent="0.45">
      <c r="A8553" s="11">
        <v>102.24</v>
      </c>
      <c r="B8553" s="14">
        <v>0.50483579999999995</v>
      </c>
      <c r="C8553" s="15">
        <v>0.36121999999999999</v>
      </c>
    </row>
    <row r="8554" spans="1:3" x14ac:dyDescent="0.45">
      <c r="A8554" s="11">
        <v>102.25</v>
      </c>
      <c r="B8554" s="14">
        <v>0.50524100000000005</v>
      </c>
      <c r="C8554" s="15">
        <v>0.3616008</v>
      </c>
    </row>
    <row r="8555" spans="1:3" x14ac:dyDescent="0.45">
      <c r="A8555" s="11">
        <v>102.26</v>
      </c>
      <c r="B8555" s="14">
        <v>0.50564620000000005</v>
      </c>
      <c r="C8555" s="15">
        <v>0.36198150000000001</v>
      </c>
    </row>
    <row r="8556" spans="1:3" x14ac:dyDescent="0.45">
      <c r="A8556" s="11">
        <v>102.27</v>
      </c>
      <c r="B8556" s="14">
        <v>0.50605140000000004</v>
      </c>
      <c r="C8556" s="15">
        <v>0.36236220000000002</v>
      </c>
    </row>
    <row r="8557" spans="1:3" x14ac:dyDescent="0.45">
      <c r="A8557" s="11">
        <v>102.28</v>
      </c>
      <c r="B8557" s="14">
        <v>0.50645660000000003</v>
      </c>
      <c r="C8557" s="15">
        <v>0.36274299999999998</v>
      </c>
    </row>
    <row r="8558" spans="1:3" x14ac:dyDescent="0.45">
      <c r="A8558" s="11">
        <v>102.29</v>
      </c>
      <c r="B8558" s="14">
        <v>0.50686180000000003</v>
      </c>
      <c r="C8558" s="15">
        <v>0.3631238</v>
      </c>
    </row>
    <row r="8559" spans="1:3" x14ac:dyDescent="0.45">
      <c r="A8559" s="11">
        <v>102.3</v>
      </c>
      <c r="B8559" s="14">
        <v>0.50726700000000002</v>
      </c>
      <c r="C8559" s="15">
        <v>0.36350450000000001</v>
      </c>
    </row>
    <row r="8560" spans="1:3" x14ac:dyDescent="0.45">
      <c r="A8560" s="11">
        <v>102.31</v>
      </c>
      <c r="B8560" s="14">
        <v>0.50767220000000002</v>
      </c>
      <c r="C8560" s="15">
        <v>0.36388530000000002</v>
      </c>
    </row>
    <row r="8561" spans="1:3" x14ac:dyDescent="0.45">
      <c r="A8561" s="11">
        <v>102.32</v>
      </c>
      <c r="B8561" s="14">
        <v>0.50807740000000001</v>
      </c>
      <c r="C8561" s="15">
        <v>0.36426599999999998</v>
      </c>
    </row>
    <row r="8562" spans="1:3" x14ac:dyDescent="0.45">
      <c r="A8562" s="11">
        <v>102.33</v>
      </c>
      <c r="B8562" s="14">
        <v>0.50848260000000001</v>
      </c>
      <c r="C8562" s="15">
        <v>0.36464669999999999</v>
      </c>
    </row>
    <row r="8563" spans="1:3" x14ac:dyDescent="0.45">
      <c r="A8563" s="11">
        <v>102.34</v>
      </c>
      <c r="B8563" s="14">
        <v>0.5088878</v>
      </c>
      <c r="C8563" s="15">
        <v>0.3650275</v>
      </c>
    </row>
    <row r="8564" spans="1:3" x14ac:dyDescent="0.45">
      <c r="A8564" s="11">
        <v>102.35</v>
      </c>
      <c r="B8564" s="14">
        <v>0.509293</v>
      </c>
      <c r="C8564" s="15">
        <v>0.36540820000000002</v>
      </c>
    </row>
    <row r="8565" spans="1:3" x14ac:dyDescent="0.45">
      <c r="A8565" s="11">
        <v>102.36</v>
      </c>
      <c r="B8565" s="14">
        <v>0.50969819999999999</v>
      </c>
      <c r="C8565" s="15">
        <v>0.36578899999999998</v>
      </c>
    </row>
    <row r="8566" spans="1:3" x14ac:dyDescent="0.45">
      <c r="A8566" s="11">
        <v>102.37</v>
      </c>
      <c r="B8566" s="14">
        <v>0.51010339999999998</v>
      </c>
      <c r="C8566" s="15">
        <v>0.36616979999999999</v>
      </c>
    </row>
    <row r="8567" spans="1:3" x14ac:dyDescent="0.45">
      <c r="A8567" s="11">
        <v>102.38</v>
      </c>
      <c r="B8567" s="14">
        <v>0.51050859999999998</v>
      </c>
      <c r="C8567" s="15">
        <v>0.3665505</v>
      </c>
    </row>
    <row r="8568" spans="1:3" x14ac:dyDescent="0.45">
      <c r="A8568" s="11">
        <v>102.39</v>
      </c>
      <c r="B8568" s="14">
        <v>0.51091379999999997</v>
      </c>
      <c r="C8568" s="15">
        <v>0.36693130000000002</v>
      </c>
    </row>
    <row r="8569" spans="1:3" x14ac:dyDescent="0.45">
      <c r="A8569" s="11">
        <v>102.4</v>
      </c>
      <c r="B8569" s="14">
        <v>0.51131899999999997</v>
      </c>
      <c r="C8569" s="15">
        <v>0.36731200000000003</v>
      </c>
    </row>
    <row r="8570" spans="1:3" x14ac:dyDescent="0.45">
      <c r="A8570" s="11">
        <v>102.41</v>
      </c>
      <c r="B8570" s="14">
        <v>0.51172419999999996</v>
      </c>
      <c r="C8570" s="15">
        <v>0.36769269999999998</v>
      </c>
    </row>
    <row r="8571" spans="1:3" x14ac:dyDescent="0.45">
      <c r="A8571" s="11">
        <v>102.42</v>
      </c>
      <c r="B8571" s="14">
        <v>0.51212939999999996</v>
      </c>
      <c r="C8571" s="15">
        <v>0.3680735</v>
      </c>
    </row>
    <row r="8572" spans="1:3" x14ac:dyDescent="0.45">
      <c r="A8572" s="11">
        <v>102.43</v>
      </c>
      <c r="B8572" s="14">
        <v>0.51253459999999995</v>
      </c>
      <c r="C8572" s="15">
        <v>0.36845430000000001</v>
      </c>
    </row>
    <row r="8573" spans="1:3" x14ac:dyDescent="0.45">
      <c r="A8573" s="11">
        <v>102.44</v>
      </c>
      <c r="B8573" s="14">
        <v>0.51293979999999995</v>
      </c>
      <c r="C8573" s="15">
        <v>0.36883500000000002</v>
      </c>
    </row>
    <row r="8574" spans="1:3" x14ac:dyDescent="0.45">
      <c r="A8574" s="11">
        <v>102.45</v>
      </c>
      <c r="B8574" s="14">
        <v>0.51334500000000005</v>
      </c>
      <c r="C8574" s="15">
        <v>0.36921579999999998</v>
      </c>
    </row>
    <row r="8575" spans="1:3" x14ac:dyDescent="0.45">
      <c r="A8575" s="11">
        <v>102.46</v>
      </c>
      <c r="B8575" s="14">
        <v>0.51375020000000005</v>
      </c>
      <c r="C8575" s="15">
        <v>0.36959649999999999</v>
      </c>
    </row>
    <row r="8576" spans="1:3" x14ac:dyDescent="0.45">
      <c r="A8576" s="11">
        <v>102.47</v>
      </c>
      <c r="B8576" s="14">
        <v>0.51415540000000004</v>
      </c>
      <c r="C8576" s="15">
        <v>0.36997720000000001</v>
      </c>
    </row>
    <row r="8577" spans="1:3" x14ac:dyDescent="0.45">
      <c r="A8577" s="11">
        <v>102.48</v>
      </c>
      <c r="B8577" s="14">
        <v>0.51456060000000003</v>
      </c>
      <c r="C8577" s="15">
        <v>0.37035800000000002</v>
      </c>
    </row>
    <row r="8578" spans="1:3" x14ac:dyDescent="0.45">
      <c r="A8578" s="11">
        <v>102.49</v>
      </c>
      <c r="B8578" s="14">
        <v>0.51496580000000003</v>
      </c>
      <c r="C8578" s="15">
        <v>0.37073869999999998</v>
      </c>
    </row>
    <row r="8579" spans="1:3" x14ac:dyDescent="0.45">
      <c r="A8579" s="11">
        <v>102.5</v>
      </c>
      <c r="B8579" s="14">
        <v>0.51537100000000002</v>
      </c>
      <c r="C8579" s="15">
        <v>0.37111949999999999</v>
      </c>
    </row>
    <row r="8580" spans="1:3" x14ac:dyDescent="0.45">
      <c r="A8580" s="11">
        <v>102.51</v>
      </c>
      <c r="B8580" s="14">
        <v>0.51577620000000002</v>
      </c>
      <c r="C8580" s="15">
        <v>0.37150030000000001</v>
      </c>
    </row>
    <row r="8581" spans="1:3" x14ac:dyDescent="0.45">
      <c r="A8581" s="11">
        <v>102.52</v>
      </c>
      <c r="B8581" s="14">
        <v>0.51618140000000001</v>
      </c>
      <c r="C8581" s="15">
        <v>0.37188100000000002</v>
      </c>
    </row>
    <row r="8582" spans="1:3" x14ac:dyDescent="0.45">
      <c r="A8582" s="11">
        <v>102.53</v>
      </c>
      <c r="B8582" s="14">
        <v>0.51658660000000001</v>
      </c>
      <c r="C8582" s="15">
        <v>0.37226179999999998</v>
      </c>
    </row>
    <row r="8583" spans="1:3" x14ac:dyDescent="0.45">
      <c r="A8583" s="11">
        <v>102.54</v>
      </c>
      <c r="B8583" s="14">
        <v>0.5169918</v>
      </c>
      <c r="C8583" s="15">
        <v>0.37264249999999999</v>
      </c>
    </row>
    <row r="8584" spans="1:3" x14ac:dyDescent="0.45">
      <c r="A8584" s="11">
        <v>102.55</v>
      </c>
      <c r="B8584" s="14">
        <v>0.517397</v>
      </c>
      <c r="C8584" s="15">
        <v>0.3730232</v>
      </c>
    </row>
    <row r="8585" spans="1:3" x14ac:dyDescent="0.45">
      <c r="A8585" s="11">
        <v>102.56</v>
      </c>
      <c r="B8585" s="14">
        <v>0.51780219999999999</v>
      </c>
      <c r="C8585" s="15">
        <v>0.37340400000000001</v>
      </c>
    </row>
    <row r="8586" spans="1:3" x14ac:dyDescent="0.45">
      <c r="A8586" s="11">
        <v>102.57</v>
      </c>
      <c r="B8586" s="14">
        <v>0.51820739999999998</v>
      </c>
      <c r="C8586" s="15">
        <v>0.37378470000000003</v>
      </c>
    </row>
    <row r="8587" spans="1:3" x14ac:dyDescent="0.45">
      <c r="A8587" s="11">
        <v>102.58</v>
      </c>
      <c r="B8587" s="14">
        <v>0.51861259999999998</v>
      </c>
      <c r="C8587" s="15">
        <v>0.37416549999999998</v>
      </c>
    </row>
    <row r="8588" spans="1:3" x14ac:dyDescent="0.45">
      <c r="A8588" s="11">
        <v>102.59</v>
      </c>
      <c r="B8588" s="14">
        <v>0.51901779999999997</v>
      </c>
      <c r="C8588" s="15">
        <v>0.3745463</v>
      </c>
    </row>
    <row r="8589" spans="1:3" x14ac:dyDescent="0.45">
      <c r="A8589" s="11">
        <v>102.6</v>
      </c>
      <c r="B8589" s="14">
        <v>0.51942299999999997</v>
      </c>
      <c r="C8589" s="15">
        <v>0.37492700000000001</v>
      </c>
    </row>
    <row r="8590" spans="1:3" x14ac:dyDescent="0.45">
      <c r="A8590" s="11">
        <v>102.61</v>
      </c>
      <c r="B8590" s="14">
        <v>0.51982819999999996</v>
      </c>
      <c r="C8590" s="15">
        <v>0.37530770000000002</v>
      </c>
    </row>
    <row r="8591" spans="1:3" x14ac:dyDescent="0.45">
      <c r="A8591" s="11">
        <v>102.62</v>
      </c>
      <c r="B8591" s="14">
        <v>0.52023339999999996</v>
      </c>
      <c r="C8591" s="15">
        <v>0.37568849999999998</v>
      </c>
    </row>
    <row r="8592" spans="1:3" x14ac:dyDescent="0.45">
      <c r="A8592" s="11">
        <v>102.63</v>
      </c>
      <c r="B8592" s="14">
        <v>0.52063859999999995</v>
      </c>
      <c r="C8592" s="15">
        <v>0.37606919999999999</v>
      </c>
    </row>
    <row r="8593" spans="1:3" x14ac:dyDescent="0.45">
      <c r="A8593" s="11">
        <v>102.64</v>
      </c>
      <c r="B8593" s="14">
        <v>0.52104379999999995</v>
      </c>
      <c r="C8593" s="15">
        <v>0.37645000000000001</v>
      </c>
    </row>
    <row r="8594" spans="1:3" x14ac:dyDescent="0.45">
      <c r="A8594" s="11">
        <v>102.65</v>
      </c>
      <c r="B8594" s="14">
        <v>0.52144900000000005</v>
      </c>
      <c r="C8594" s="15">
        <v>0.37683080000000002</v>
      </c>
    </row>
    <row r="8595" spans="1:3" x14ac:dyDescent="0.45">
      <c r="A8595" s="11">
        <v>102.66</v>
      </c>
      <c r="B8595" s="14">
        <v>0.52185420000000005</v>
      </c>
      <c r="C8595" s="15">
        <v>0.37721149999999998</v>
      </c>
    </row>
    <row r="8596" spans="1:3" x14ac:dyDescent="0.45">
      <c r="A8596" s="11">
        <v>102.67</v>
      </c>
      <c r="B8596" s="14">
        <v>0.52225940000000004</v>
      </c>
      <c r="C8596" s="15">
        <v>0.37759229999999999</v>
      </c>
    </row>
    <row r="8597" spans="1:3" x14ac:dyDescent="0.45">
      <c r="A8597" s="11">
        <v>102.68</v>
      </c>
      <c r="B8597" s="14">
        <v>0.52266460000000003</v>
      </c>
      <c r="C8597" s="15">
        <v>0.377973</v>
      </c>
    </row>
    <row r="8598" spans="1:3" x14ac:dyDescent="0.45">
      <c r="A8598" s="11">
        <v>102.69</v>
      </c>
      <c r="B8598" s="14">
        <v>0.52306980000000003</v>
      </c>
      <c r="C8598" s="15">
        <v>0.37835370000000002</v>
      </c>
    </row>
    <row r="8599" spans="1:3" x14ac:dyDescent="0.45">
      <c r="A8599" s="11">
        <v>102.7</v>
      </c>
      <c r="B8599" s="14">
        <v>0.52347500000000002</v>
      </c>
      <c r="C8599" s="15">
        <v>0.37873449999999997</v>
      </c>
    </row>
    <row r="8600" spans="1:3" x14ac:dyDescent="0.45">
      <c r="A8600" s="11">
        <v>102.71</v>
      </c>
      <c r="B8600" s="14">
        <v>0.52388020000000002</v>
      </c>
      <c r="C8600" s="15">
        <v>0.37911519999999999</v>
      </c>
    </row>
    <row r="8601" spans="1:3" x14ac:dyDescent="0.45">
      <c r="A8601" s="11">
        <v>102.72</v>
      </c>
      <c r="B8601" s="14">
        <v>0.52428540000000001</v>
      </c>
      <c r="C8601" s="15">
        <v>0.379496</v>
      </c>
    </row>
    <row r="8602" spans="1:3" x14ac:dyDescent="0.45">
      <c r="A8602" s="11">
        <v>102.73</v>
      </c>
      <c r="B8602" s="14">
        <v>0.52469060000000001</v>
      </c>
      <c r="C8602" s="15">
        <v>0.37987680000000001</v>
      </c>
    </row>
    <row r="8603" spans="1:3" x14ac:dyDescent="0.45">
      <c r="A8603" s="11">
        <v>102.74</v>
      </c>
      <c r="B8603" s="14">
        <v>0.5250958</v>
      </c>
      <c r="C8603" s="15">
        <v>0.38025750000000003</v>
      </c>
    </row>
    <row r="8604" spans="1:3" x14ac:dyDescent="0.45">
      <c r="A8604" s="11">
        <v>102.75</v>
      </c>
      <c r="B8604" s="14">
        <v>0.525501</v>
      </c>
      <c r="C8604" s="15">
        <v>0.38063829999999998</v>
      </c>
    </row>
    <row r="8605" spans="1:3" x14ac:dyDescent="0.45">
      <c r="A8605" s="11">
        <v>102.76</v>
      </c>
      <c r="B8605" s="14">
        <v>0.52590619999999999</v>
      </c>
      <c r="C8605" s="15">
        <v>0.381019</v>
      </c>
    </row>
    <row r="8606" spans="1:3" x14ac:dyDescent="0.45">
      <c r="A8606" s="11">
        <v>102.77</v>
      </c>
      <c r="B8606" s="14">
        <v>0.52631139999999998</v>
      </c>
      <c r="C8606" s="15">
        <v>0.38139970000000001</v>
      </c>
    </row>
    <row r="8607" spans="1:3" x14ac:dyDescent="0.45">
      <c r="A8607" s="11">
        <v>102.78</v>
      </c>
      <c r="B8607" s="14">
        <v>0.52671659999999998</v>
      </c>
      <c r="C8607" s="15">
        <v>0.38178050000000002</v>
      </c>
    </row>
    <row r="8608" spans="1:3" x14ac:dyDescent="0.45">
      <c r="A8608" s="11">
        <v>102.79</v>
      </c>
      <c r="B8608" s="14">
        <v>0.52712179999999997</v>
      </c>
      <c r="C8608" s="15">
        <v>0.38216129999999998</v>
      </c>
    </row>
    <row r="8609" spans="1:3" x14ac:dyDescent="0.45">
      <c r="A8609" s="11">
        <v>102.8</v>
      </c>
      <c r="B8609" s="14">
        <v>0.52752699999999997</v>
      </c>
      <c r="C8609" s="15">
        <v>0.38254199999999999</v>
      </c>
    </row>
    <row r="8610" spans="1:3" x14ac:dyDescent="0.45">
      <c r="A8610" s="11">
        <v>102.81</v>
      </c>
      <c r="B8610" s="14">
        <v>0.52793219999999996</v>
      </c>
      <c r="C8610" s="15">
        <v>0.38292280000000001</v>
      </c>
    </row>
    <row r="8611" spans="1:3" x14ac:dyDescent="0.45">
      <c r="A8611" s="11">
        <v>102.82</v>
      </c>
      <c r="B8611" s="14">
        <v>0.52833739999999996</v>
      </c>
      <c r="C8611" s="15">
        <v>0.38330350000000002</v>
      </c>
    </row>
    <row r="8612" spans="1:3" x14ac:dyDescent="0.45">
      <c r="A8612" s="11">
        <v>102.83</v>
      </c>
      <c r="B8612" s="14">
        <v>0.52874259999999995</v>
      </c>
      <c r="C8612" s="15">
        <v>0.38368419999999998</v>
      </c>
    </row>
    <row r="8613" spans="1:3" x14ac:dyDescent="0.45">
      <c r="A8613" s="11">
        <v>102.84</v>
      </c>
      <c r="B8613" s="14">
        <v>0.52914779999999995</v>
      </c>
      <c r="C8613" s="15">
        <v>0.38406499999999999</v>
      </c>
    </row>
    <row r="8614" spans="1:3" x14ac:dyDescent="0.45">
      <c r="A8614" s="11">
        <v>102.85</v>
      </c>
      <c r="B8614" s="14">
        <v>0.52955300000000005</v>
      </c>
      <c r="C8614" s="15">
        <v>0.3844457</v>
      </c>
    </row>
    <row r="8615" spans="1:3" x14ac:dyDescent="0.45">
      <c r="A8615" s="11">
        <v>102.86</v>
      </c>
      <c r="B8615" s="14">
        <v>0.52995820000000005</v>
      </c>
      <c r="C8615" s="15">
        <v>0.38482650000000002</v>
      </c>
    </row>
    <row r="8616" spans="1:3" x14ac:dyDescent="0.45">
      <c r="A8616" s="11">
        <v>102.87</v>
      </c>
      <c r="B8616" s="14">
        <v>0.53036340000000004</v>
      </c>
      <c r="C8616" s="15">
        <v>0.38520729999999997</v>
      </c>
    </row>
    <row r="8617" spans="1:3" x14ac:dyDescent="0.45">
      <c r="A8617" s="11">
        <v>102.88</v>
      </c>
      <c r="B8617" s="14">
        <v>0.53076860000000003</v>
      </c>
      <c r="C8617" s="15">
        <v>0.38558799999999999</v>
      </c>
    </row>
    <row r="8618" spans="1:3" x14ac:dyDescent="0.45">
      <c r="A8618" s="11">
        <v>102.89</v>
      </c>
      <c r="B8618" s="14">
        <v>0.53117380000000003</v>
      </c>
      <c r="C8618" s="15">
        <v>0.3859687</v>
      </c>
    </row>
    <row r="8619" spans="1:3" x14ac:dyDescent="0.45">
      <c r="A8619" s="11">
        <v>102.9</v>
      </c>
      <c r="B8619" s="14">
        <v>0.53157900000000002</v>
      </c>
      <c r="C8619" s="15">
        <v>0.38634950000000001</v>
      </c>
    </row>
    <row r="8620" spans="1:3" x14ac:dyDescent="0.45">
      <c r="A8620" s="11">
        <v>102.91</v>
      </c>
      <c r="B8620" s="14">
        <v>0.53198420000000002</v>
      </c>
      <c r="C8620" s="15">
        <v>0.38673020000000002</v>
      </c>
    </row>
    <row r="8621" spans="1:3" x14ac:dyDescent="0.45">
      <c r="A8621" s="11">
        <v>102.92</v>
      </c>
      <c r="B8621" s="14">
        <v>0.53238940000000001</v>
      </c>
      <c r="C8621" s="15">
        <v>0.38711099999999998</v>
      </c>
    </row>
    <row r="8622" spans="1:3" x14ac:dyDescent="0.45">
      <c r="A8622" s="11">
        <v>102.93</v>
      </c>
      <c r="B8622" s="14">
        <v>0.53279460000000001</v>
      </c>
      <c r="C8622" s="15">
        <v>0.3874918</v>
      </c>
    </row>
    <row r="8623" spans="1:3" x14ac:dyDescent="0.45">
      <c r="A8623" s="11">
        <v>102.94</v>
      </c>
      <c r="B8623" s="14">
        <v>0.5331998</v>
      </c>
      <c r="C8623" s="15">
        <v>0.38787250000000001</v>
      </c>
    </row>
    <row r="8624" spans="1:3" x14ac:dyDescent="0.45">
      <c r="A8624" s="11">
        <v>102.95</v>
      </c>
      <c r="B8624" s="14">
        <v>0.533605</v>
      </c>
      <c r="C8624" s="15">
        <v>0.38825330000000002</v>
      </c>
    </row>
    <row r="8625" spans="1:3" x14ac:dyDescent="0.45">
      <c r="A8625" s="11">
        <v>102.96</v>
      </c>
      <c r="B8625" s="14">
        <v>0.53401019999999999</v>
      </c>
      <c r="C8625" s="15">
        <v>0.38863399999999998</v>
      </c>
    </row>
    <row r="8626" spans="1:3" x14ac:dyDescent="0.45">
      <c r="A8626" s="11">
        <v>102.97</v>
      </c>
      <c r="B8626" s="14">
        <v>0.53441539999999998</v>
      </c>
      <c r="C8626" s="15">
        <v>0.38901469999999999</v>
      </c>
    </row>
    <row r="8627" spans="1:3" x14ac:dyDescent="0.45">
      <c r="A8627" s="11">
        <v>102.98</v>
      </c>
      <c r="B8627" s="14">
        <v>0.53482059999999998</v>
      </c>
      <c r="C8627" s="15">
        <v>0.38939550000000001</v>
      </c>
    </row>
    <row r="8628" spans="1:3" x14ac:dyDescent="0.45">
      <c r="A8628" s="11">
        <v>102.99</v>
      </c>
      <c r="B8628" s="14">
        <v>0.53522579999999997</v>
      </c>
      <c r="C8628" s="15">
        <v>0.38977620000000002</v>
      </c>
    </row>
    <row r="8629" spans="1:3" x14ac:dyDescent="0.45">
      <c r="A8629" s="11">
        <v>103</v>
      </c>
      <c r="B8629" s="14">
        <v>0.53563099999999997</v>
      </c>
      <c r="C8629" s="15">
        <v>0.39015699999999998</v>
      </c>
    </row>
    <row r="8630" spans="1:3" x14ac:dyDescent="0.45">
      <c r="A8630" s="11">
        <v>103.01</v>
      </c>
      <c r="B8630" s="14">
        <v>0.53606359999999997</v>
      </c>
      <c r="C8630" s="15">
        <v>0.39057890000000001</v>
      </c>
    </row>
    <row r="8631" spans="1:3" x14ac:dyDescent="0.45">
      <c r="A8631" s="11">
        <v>103.02</v>
      </c>
      <c r="B8631" s="14">
        <v>0.53649619999999998</v>
      </c>
      <c r="C8631" s="15">
        <v>0.39100089999999998</v>
      </c>
    </row>
    <row r="8632" spans="1:3" x14ac:dyDescent="0.45">
      <c r="A8632" s="11">
        <v>103.03</v>
      </c>
      <c r="B8632" s="14">
        <v>0.53692879999999998</v>
      </c>
      <c r="C8632" s="15">
        <v>0.39142280000000002</v>
      </c>
    </row>
    <row r="8633" spans="1:3" x14ac:dyDescent="0.45">
      <c r="A8633" s="11">
        <v>103.04</v>
      </c>
      <c r="B8633" s="14">
        <v>0.53736139999999999</v>
      </c>
      <c r="C8633" s="15">
        <v>0.39184479999999999</v>
      </c>
    </row>
    <row r="8634" spans="1:3" x14ac:dyDescent="0.45">
      <c r="A8634" s="11">
        <v>103.05</v>
      </c>
      <c r="B8634" s="14">
        <v>0.53779399999999999</v>
      </c>
      <c r="C8634" s="15">
        <v>0.39226670000000002</v>
      </c>
    </row>
    <row r="8635" spans="1:3" x14ac:dyDescent="0.45">
      <c r="A8635" s="11">
        <v>103.06</v>
      </c>
      <c r="B8635" s="14">
        <v>0.53822650000000005</v>
      </c>
      <c r="C8635" s="15">
        <v>0.3926886</v>
      </c>
    </row>
    <row r="8636" spans="1:3" x14ac:dyDescent="0.45">
      <c r="A8636" s="11">
        <v>103.07</v>
      </c>
      <c r="B8636" s="14">
        <v>0.53865909999999995</v>
      </c>
      <c r="C8636" s="15">
        <v>0.39311059999999998</v>
      </c>
    </row>
    <row r="8637" spans="1:3" x14ac:dyDescent="0.45">
      <c r="A8637" s="11">
        <v>103.08</v>
      </c>
      <c r="B8637" s="14">
        <v>0.53909169999999995</v>
      </c>
      <c r="C8637" s="15">
        <v>0.39353250000000001</v>
      </c>
    </row>
    <row r="8638" spans="1:3" x14ac:dyDescent="0.45">
      <c r="A8638" s="11">
        <v>103.09</v>
      </c>
      <c r="B8638" s="14">
        <v>0.53952429999999996</v>
      </c>
      <c r="C8638" s="15">
        <v>0.39395449999999999</v>
      </c>
    </row>
    <row r="8639" spans="1:3" x14ac:dyDescent="0.45">
      <c r="A8639" s="11">
        <v>103.1</v>
      </c>
      <c r="B8639" s="14">
        <v>0.53995689999999996</v>
      </c>
      <c r="C8639" s="15">
        <v>0.39437640000000002</v>
      </c>
    </row>
    <row r="8640" spans="1:3" x14ac:dyDescent="0.45">
      <c r="A8640" s="11">
        <v>103.11</v>
      </c>
      <c r="B8640" s="14">
        <v>0.54038949999999997</v>
      </c>
      <c r="C8640" s="15">
        <v>0.39479829999999999</v>
      </c>
    </row>
    <row r="8641" spans="1:3" x14ac:dyDescent="0.45">
      <c r="A8641" s="11">
        <v>103.12</v>
      </c>
      <c r="B8641" s="14">
        <v>0.54082209999999997</v>
      </c>
      <c r="C8641" s="15">
        <v>0.39522030000000002</v>
      </c>
    </row>
    <row r="8642" spans="1:3" x14ac:dyDescent="0.45">
      <c r="A8642" s="11">
        <v>103.13</v>
      </c>
      <c r="B8642" s="14">
        <v>0.54125469999999998</v>
      </c>
      <c r="C8642" s="15">
        <v>0.3956422</v>
      </c>
    </row>
    <row r="8643" spans="1:3" x14ac:dyDescent="0.45">
      <c r="A8643" s="11">
        <v>103.14</v>
      </c>
      <c r="B8643" s="14">
        <v>0.54168729999999998</v>
      </c>
      <c r="C8643" s="15">
        <v>0.39606419999999998</v>
      </c>
    </row>
    <row r="8644" spans="1:3" x14ac:dyDescent="0.45">
      <c r="A8644" s="11">
        <v>103.15</v>
      </c>
      <c r="B8644" s="14">
        <v>0.54211989999999999</v>
      </c>
      <c r="C8644" s="15">
        <v>0.39648610000000001</v>
      </c>
    </row>
    <row r="8645" spans="1:3" x14ac:dyDescent="0.45">
      <c r="A8645" s="11">
        <v>103.16</v>
      </c>
      <c r="B8645" s="14">
        <v>0.54255240000000005</v>
      </c>
      <c r="C8645" s="15">
        <v>0.39690799999999998</v>
      </c>
    </row>
    <row r="8646" spans="1:3" x14ac:dyDescent="0.45">
      <c r="A8646" s="11">
        <v>103.17</v>
      </c>
      <c r="B8646" s="14">
        <v>0.54298500000000005</v>
      </c>
      <c r="C8646" s="15">
        <v>0.39733000000000002</v>
      </c>
    </row>
    <row r="8647" spans="1:3" x14ac:dyDescent="0.45">
      <c r="A8647" s="11">
        <v>103.18</v>
      </c>
      <c r="B8647" s="14">
        <v>0.54341759999999995</v>
      </c>
      <c r="C8647" s="15">
        <v>0.39775189999999999</v>
      </c>
    </row>
    <row r="8648" spans="1:3" x14ac:dyDescent="0.45">
      <c r="A8648" s="11">
        <v>103.19</v>
      </c>
      <c r="B8648" s="14">
        <v>0.54385019999999995</v>
      </c>
      <c r="C8648" s="15">
        <v>0.39817390000000003</v>
      </c>
    </row>
    <row r="8649" spans="1:3" x14ac:dyDescent="0.45">
      <c r="A8649" s="11">
        <v>103.2</v>
      </c>
      <c r="B8649" s="14">
        <v>0.54428279999999996</v>
      </c>
      <c r="C8649" s="15">
        <v>0.3985958</v>
      </c>
    </row>
    <row r="8650" spans="1:3" x14ac:dyDescent="0.45">
      <c r="A8650" s="11">
        <v>103.21</v>
      </c>
      <c r="B8650" s="14">
        <v>0.54471539999999996</v>
      </c>
      <c r="C8650" s="15">
        <v>0.39901769999999998</v>
      </c>
    </row>
    <row r="8651" spans="1:3" x14ac:dyDescent="0.45">
      <c r="A8651" s="11">
        <v>103.22</v>
      </c>
      <c r="B8651" s="14">
        <v>0.54514799999999997</v>
      </c>
      <c r="C8651" s="15">
        <v>0.39943970000000001</v>
      </c>
    </row>
    <row r="8652" spans="1:3" x14ac:dyDescent="0.45">
      <c r="A8652" s="11">
        <v>103.23</v>
      </c>
      <c r="B8652" s="14">
        <v>0.54558059999999997</v>
      </c>
      <c r="C8652" s="15">
        <v>0.39986159999999998</v>
      </c>
    </row>
    <row r="8653" spans="1:3" x14ac:dyDescent="0.45">
      <c r="A8653" s="11">
        <v>103.24</v>
      </c>
      <c r="B8653" s="14">
        <v>0.54601319999999998</v>
      </c>
      <c r="C8653" s="15">
        <v>0.40028360000000002</v>
      </c>
    </row>
    <row r="8654" spans="1:3" x14ac:dyDescent="0.45">
      <c r="A8654" s="11">
        <v>103.25</v>
      </c>
      <c r="B8654" s="14">
        <v>0.54644570000000003</v>
      </c>
      <c r="C8654" s="15">
        <v>0.40070549999999999</v>
      </c>
    </row>
    <row r="8655" spans="1:3" x14ac:dyDescent="0.45">
      <c r="A8655" s="11">
        <v>103.26</v>
      </c>
      <c r="B8655" s="14">
        <v>0.54687830000000004</v>
      </c>
      <c r="C8655" s="15">
        <v>0.40112740000000002</v>
      </c>
    </row>
    <row r="8656" spans="1:3" x14ac:dyDescent="0.45">
      <c r="A8656" s="11">
        <v>103.27</v>
      </c>
      <c r="B8656" s="14">
        <v>0.54731090000000004</v>
      </c>
      <c r="C8656" s="15">
        <v>0.4015494</v>
      </c>
    </row>
    <row r="8657" spans="1:3" x14ac:dyDescent="0.45">
      <c r="A8657" s="11">
        <v>103.28</v>
      </c>
      <c r="B8657" s="14">
        <v>0.54774350000000005</v>
      </c>
      <c r="C8657" s="15">
        <v>0.40197129999999998</v>
      </c>
    </row>
    <row r="8658" spans="1:3" x14ac:dyDescent="0.45">
      <c r="A8658" s="11">
        <v>103.29</v>
      </c>
      <c r="B8658" s="14">
        <v>0.54817610000000005</v>
      </c>
      <c r="C8658" s="15">
        <v>0.40239330000000001</v>
      </c>
    </row>
    <row r="8659" spans="1:3" x14ac:dyDescent="0.45">
      <c r="A8659" s="11">
        <v>103.3</v>
      </c>
      <c r="B8659" s="14">
        <v>0.54860869999999995</v>
      </c>
      <c r="C8659" s="15">
        <v>0.40281519999999998</v>
      </c>
    </row>
    <row r="8660" spans="1:3" x14ac:dyDescent="0.45">
      <c r="A8660" s="11">
        <v>103.31</v>
      </c>
      <c r="B8660" s="14">
        <v>0.54904129999999995</v>
      </c>
      <c r="C8660" s="15">
        <v>0.40323710000000001</v>
      </c>
    </row>
    <row r="8661" spans="1:3" x14ac:dyDescent="0.45">
      <c r="A8661" s="11">
        <v>103.32</v>
      </c>
      <c r="B8661" s="14">
        <v>0.54947389999999996</v>
      </c>
      <c r="C8661" s="15">
        <v>0.40365909999999999</v>
      </c>
    </row>
    <row r="8662" spans="1:3" x14ac:dyDescent="0.45">
      <c r="A8662" s="11">
        <v>103.33</v>
      </c>
      <c r="B8662" s="14">
        <v>0.54990649999999996</v>
      </c>
      <c r="C8662" s="15">
        <v>0.40408100000000002</v>
      </c>
    </row>
    <row r="8663" spans="1:3" x14ac:dyDescent="0.45">
      <c r="A8663" s="11">
        <v>103.34</v>
      </c>
      <c r="B8663" s="14">
        <v>0.55033909999999997</v>
      </c>
      <c r="C8663" s="15">
        <v>0.404503</v>
      </c>
    </row>
    <row r="8664" spans="1:3" x14ac:dyDescent="0.45">
      <c r="A8664" s="11">
        <v>103.35</v>
      </c>
      <c r="B8664" s="14">
        <v>0.55077160000000003</v>
      </c>
      <c r="C8664" s="15">
        <v>0.40492489999999998</v>
      </c>
    </row>
    <row r="8665" spans="1:3" x14ac:dyDescent="0.45">
      <c r="A8665" s="11">
        <v>103.36</v>
      </c>
      <c r="B8665" s="14">
        <v>0.55120420000000003</v>
      </c>
      <c r="C8665" s="15">
        <v>0.40534680000000001</v>
      </c>
    </row>
    <row r="8666" spans="1:3" x14ac:dyDescent="0.45">
      <c r="A8666" s="11">
        <v>103.37</v>
      </c>
      <c r="B8666" s="14">
        <v>0.55163680000000004</v>
      </c>
      <c r="C8666" s="15">
        <v>0.40576879999999999</v>
      </c>
    </row>
    <row r="8667" spans="1:3" x14ac:dyDescent="0.45">
      <c r="A8667" s="11">
        <v>103.38</v>
      </c>
      <c r="B8667" s="14">
        <v>0.55206940000000004</v>
      </c>
      <c r="C8667" s="15">
        <v>0.40619070000000002</v>
      </c>
    </row>
    <row r="8668" spans="1:3" x14ac:dyDescent="0.45">
      <c r="A8668" s="11">
        <v>103.39</v>
      </c>
      <c r="B8668" s="14">
        <v>0.55250200000000005</v>
      </c>
      <c r="C8668" s="15">
        <v>0.40661269999999999</v>
      </c>
    </row>
    <row r="8669" spans="1:3" x14ac:dyDescent="0.45">
      <c r="A8669" s="11">
        <v>103.4</v>
      </c>
      <c r="B8669" s="14">
        <v>0.55293460000000005</v>
      </c>
      <c r="C8669" s="15">
        <v>0.40703460000000002</v>
      </c>
    </row>
    <row r="8670" spans="1:3" x14ac:dyDescent="0.45">
      <c r="A8670" s="11">
        <v>103.41</v>
      </c>
      <c r="B8670" s="14">
        <v>0.55336719999999995</v>
      </c>
      <c r="C8670" s="15">
        <v>0.4074565</v>
      </c>
    </row>
    <row r="8671" spans="1:3" x14ac:dyDescent="0.45">
      <c r="A8671" s="11">
        <v>103.42</v>
      </c>
      <c r="B8671" s="14">
        <v>0.55379979999999995</v>
      </c>
      <c r="C8671" s="15">
        <v>0.40787849999999998</v>
      </c>
    </row>
    <row r="8672" spans="1:3" x14ac:dyDescent="0.45">
      <c r="A8672" s="11">
        <v>103.43</v>
      </c>
      <c r="B8672" s="14">
        <v>0.55423239999999996</v>
      </c>
      <c r="C8672" s="15">
        <v>0.40830040000000001</v>
      </c>
    </row>
    <row r="8673" spans="1:3" x14ac:dyDescent="0.45">
      <c r="A8673" s="11">
        <v>103.44</v>
      </c>
      <c r="B8673" s="14">
        <v>0.55466499999999996</v>
      </c>
      <c r="C8673" s="15">
        <v>0.40872239999999999</v>
      </c>
    </row>
    <row r="8674" spans="1:3" x14ac:dyDescent="0.45">
      <c r="A8674" s="11">
        <v>103.45</v>
      </c>
      <c r="B8674" s="14">
        <v>0.55509759999999997</v>
      </c>
      <c r="C8674" s="15">
        <v>0.40914430000000002</v>
      </c>
    </row>
    <row r="8675" spans="1:3" x14ac:dyDescent="0.45">
      <c r="A8675" s="11">
        <v>103.46</v>
      </c>
      <c r="B8675" s="14">
        <v>0.55553010000000003</v>
      </c>
      <c r="C8675" s="15">
        <v>0.40956619999999999</v>
      </c>
    </row>
    <row r="8676" spans="1:3" x14ac:dyDescent="0.45">
      <c r="A8676" s="11">
        <v>103.47</v>
      </c>
      <c r="B8676" s="14">
        <v>0.55596270000000003</v>
      </c>
      <c r="C8676" s="15">
        <v>0.40998820000000002</v>
      </c>
    </row>
    <row r="8677" spans="1:3" x14ac:dyDescent="0.45">
      <c r="A8677" s="11">
        <v>103.48</v>
      </c>
      <c r="B8677" s="14">
        <v>0.55639530000000004</v>
      </c>
      <c r="C8677" s="15">
        <v>0.4104101</v>
      </c>
    </row>
    <row r="8678" spans="1:3" x14ac:dyDescent="0.45">
      <c r="A8678" s="11">
        <v>103.49</v>
      </c>
      <c r="B8678" s="14">
        <v>0.55682790000000004</v>
      </c>
      <c r="C8678" s="15">
        <v>0.41083209999999998</v>
      </c>
    </row>
    <row r="8679" spans="1:3" x14ac:dyDescent="0.45">
      <c r="A8679" s="11">
        <v>103.5</v>
      </c>
      <c r="B8679" s="14">
        <v>0.55726050000000005</v>
      </c>
      <c r="C8679" s="15">
        <v>0.41125400000000001</v>
      </c>
    </row>
    <row r="8680" spans="1:3" x14ac:dyDescent="0.45">
      <c r="A8680" s="11">
        <v>103.51</v>
      </c>
      <c r="B8680" s="14">
        <v>0.55769310000000005</v>
      </c>
      <c r="C8680" s="15">
        <v>0.41167589999999998</v>
      </c>
    </row>
    <row r="8681" spans="1:3" x14ac:dyDescent="0.45">
      <c r="A8681" s="11">
        <v>103.52</v>
      </c>
      <c r="B8681" s="14">
        <v>0.55812569999999995</v>
      </c>
      <c r="C8681" s="15">
        <v>0.41209790000000002</v>
      </c>
    </row>
    <row r="8682" spans="1:3" x14ac:dyDescent="0.45">
      <c r="A8682" s="11">
        <v>103.53</v>
      </c>
      <c r="B8682" s="14">
        <v>0.55855829999999995</v>
      </c>
      <c r="C8682" s="15">
        <v>0.41251979999999999</v>
      </c>
    </row>
    <row r="8683" spans="1:3" x14ac:dyDescent="0.45">
      <c r="A8683" s="11">
        <v>103.54</v>
      </c>
      <c r="B8683" s="14">
        <v>0.55899089999999996</v>
      </c>
      <c r="C8683" s="15">
        <v>0.41294180000000003</v>
      </c>
    </row>
    <row r="8684" spans="1:3" x14ac:dyDescent="0.45">
      <c r="A8684" s="11">
        <v>103.55</v>
      </c>
      <c r="B8684" s="14">
        <v>0.55942340000000002</v>
      </c>
      <c r="C8684" s="15">
        <v>0.4133637</v>
      </c>
    </row>
    <row r="8685" spans="1:3" x14ac:dyDescent="0.45">
      <c r="A8685" s="11">
        <v>103.56</v>
      </c>
      <c r="B8685" s="14">
        <v>0.55985600000000002</v>
      </c>
      <c r="C8685" s="15">
        <v>0.41378559999999998</v>
      </c>
    </row>
    <row r="8686" spans="1:3" x14ac:dyDescent="0.45">
      <c r="A8686" s="11">
        <v>103.57</v>
      </c>
      <c r="B8686" s="14">
        <v>0.56028860000000003</v>
      </c>
      <c r="C8686" s="15">
        <v>0.41420760000000001</v>
      </c>
    </row>
    <row r="8687" spans="1:3" x14ac:dyDescent="0.45">
      <c r="A8687" s="11">
        <v>103.58</v>
      </c>
      <c r="B8687" s="14">
        <v>0.56072120000000003</v>
      </c>
      <c r="C8687" s="15">
        <v>0.41462949999999998</v>
      </c>
    </row>
    <row r="8688" spans="1:3" x14ac:dyDescent="0.45">
      <c r="A8688" s="11">
        <v>103.59</v>
      </c>
      <c r="B8688" s="14">
        <v>0.56115380000000004</v>
      </c>
      <c r="C8688" s="15">
        <v>0.41505150000000002</v>
      </c>
    </row>
    <row r="8689" spans="1:3" x14ac:dyDescent="0.45">
      <c r="A8689" s="11">
        <v>103.6</v>
      </c>
      <c r="B8689" s="14">
        <v>0.56158640000000004</v>
      </c>
      <c r="C8689" s="15">
        <v>0.41547339999999999</v>
      </c>
    </row>
    <row r="8690" spans="1:3" x14ac:dyDescent="0.45">
      <c r="A8690" s="11">
        <v>103.61</v>
      </c>
      <c r="B8690" s="14">
        <v>0.56201900000000005</v>
      </c>
      <c r="C8690" s="15">
        <v>0.41589530000000002</v>
      </c>
    </row>
    <row r="8691" spans="1:3" x14ac:dyDescent="0.45">
      <c r="A8691" s="11">
        <v>103.62</v>
      </c>
      <c r="B8691" s="14">
        <v>0.56245160000000005</v>
      </c>
      <c r="C8691" s="15">
        <v>0.4163173</v>
      </c>
    </row>
    <row r="8692" spans="1:3" x14ac:dyDescent="0.45">
      <c r="A8692" s="11">
        <v>103.63</v>
      </c>
      <c r="B8692" s="14">
        <v>0.56288419999999995</v>
      </c>
      <c r="C8692" s="15">
        <v>0.41673919999999998</v>
      </c>
    </row>
    <row r="8693" spans="1:3" x14ac:dyDescent="0.45">
      <c r="A8693" s="11">
        <v>103.64</v>
      </c>
      <c r="B8693" s="14">
        <v>0.56331679999999995</v>
      </c>
      <c r="C8693" s="15">
        <v>0.41716120000000001</v>
      </c>
    </row>
    <row r="8694" spans="1:3" x14ac:dyDescent="0.45">
      <c r="A8694" s="11">
        <v>103.65</v>
      </c>
      <c r="B8694" s="14">
        <v>0.56374939999999996</v>
      </c>
      <c r="C8694" s="15">
        <v>0.41758309999999998</v>
      </c>
    </row>
    <row r="8695" spans="1:3" x14ac:dyDescent="0.45">
      <c r="A8695" s="11">
        <v>103.66</v>
      </c>
      <c r="B8695" s="14">
        <v>0.56418190000000001</v>
      </c>
      <c r="C8695" s="15">
        <v>0.41800500000000002</v>
      </c>
    </row>
    <row r="8696" spans="1:3" x14ac:dyDescent="0.45">
      <c r="A8696" s="11">
        <v>103.67</v>
      </c>
      <c r="B8696" s="14">
        <v>0.56461450000000002</v>
      </c>
      <c r="C8696" s="15">
        <v>0.41842699999999999</v>
      </c>
    </row>
    <row r="8697" spans="1:3" x14ac:dyDescent="0.45">
      <c r="A8697" s="11">
        <v>103.68</v>
      </c>
      <c r="B8697" s="14">
        <v>0.56504710000000002</v>
      </c>
      <c r="C8697" s="15">
        <v>0.41884890000000002</v>
      </c>
    </row>
    <row r="8698" spans="1:3" x14ac:dyDescent="0.45">
      <c r="A8698" s="11">
        <v>103.69</v>
      </c>
      <c r="B8698" s="14">
        <v>0.56547970000000003</v>
      </c>
      <c r="C8698" s="15">
        <v>0.4192709</v>
      </c>
    </row>
    <row r="8699" spans="1:3" x14ac:dyDescent="0.45">
      <c r="A8699" s="11">
        <v>103.7</v>
      </c>
      <c r="B8699" s="14">
        <v>0.56591230000000003</v>
      </c>
      <c r="C8699" s="15">
        <v>0.41969279999999998</v>
      </c>
    </row>
    <row r="8700" spans="1:3" x14ac:dyDescent="0.45">
      <c r="A8700" s="11">
        <v>103.71</v>
      </c>
      <c r="B8700" s="14">
        <v>0.56634490000000004</v>
      </c>
      <c r="C8700" s="15">
        <v>0.42011470000000001</v>
      </c>
    </row>
    <row r="8701" spans="1:3" x14ac:dyDescent="0.45">
      <c r="A8701" s="11">
        <v>103.72</v>
      </c>
      <c r="B8701" s="14">
        <v>0.56677750000000005</v>
      </c>
      <c r="C8701" s="15">
        <v>0.42053669999999999</v>
      </c>
    </row>
    <row r="8702" spans="1:3" x14ac:dyDescent="0.45">
      <c r="A8702" s="11">
        <v>103.73</v>
      </c>
      <c r="B8702" s="14">
        <v>0.56721010000000005</v>
      </c>
      <c r="C8702" s="15">
        <v>0.42095860000000002</v>
      </c>
    </row>
    <row r="8703" spans="1:3" x14ac:dyDescent="0.45">
      <c r="A8703" s="11">
        <v>103.74</v>
      </c>
      <c r="B8703" s="14">
        <v>0.56764269999999994</v>
      </c>
      <c r="C8703" s="15">
        <v>0.42138059999999999</v>
      </c>
    </row>
    <row r="8704" spans="1:3" x14ac:dyDescent="0.45">
      <c r="A8704" s="11">
        <v>103.75</v>
      </c>
      <c r="B8704" s="14">
        <v>0.56807529999999995</v>
      </c>
      <c r="C8704" s="15">
        <v>0.42180250000000002</v>
      </c>
    </row>
    <row r="8705" spans="1:3" x14ac:dyDescent="0.45">
      <c r="A8705" s="11">
        <v>103.76</v>
      </c>
      <c r="B8705" s="14">
        <v>0.56850780000000001</v>
      </c>
      <c r="C8705" s="15">
        <v>0.4222244</v>
      </c>
    </row>
    <row r="8706" spans="1:3" x14ac:dyDescent="0.45">
      <c r="A8706" s="11">
        <v>103.77</v>
      </c>
      <c r="B8706" s="14">
        <v>0.56894040000000001</v>
      </c>
      <c r="C8706" s="15">
        <v>0.42264639999999998</v>
      </c>
    </row>
    <row r="8707" spans="1:3" x14ac:dyDescent="0.45">
      <c r="A8707" s="11">
        <v>103.78</v>
      </c>
      <c r="B8707" s="14">
        <v>0.56937300000000002</v>
      </c>
      <c r="C8707" s="15">
        <v>0.42306830000000001</v>
      </c>
    </row>
    <row r="8708" spans="1:3" x14ac:dyDescent="0.45">
      <c r="A8708" s="11">
        <v>103.79</v>
      </c>
      <c r="B8708" s="14">
        <v>0.56980560000000002</v>
      </c>
      <c r="C8708" s="15">
        <v>0.42349029999999999</v>
      </c>
    </row>
    <row r="8709" spans="1:3" x14ac:dyDescent="0.45">
      <c r="A8709" s="11">
        <v>103.8</v>
      </c>
      <c r="B8709" s="14">
        <v>0.57023820000000003</v>
      </c>
      <c r="C8709" s="15">
        <v>0.42391220000000002</v>
      </c>
    </row>
    <row r="8710" spans="1:3" x14ac:dyDescent="0.45">
      <c r="A8710" s="11">
        <v>103.81</v>
      </c>
      <c r="B8710" s="14">
        <v>0.57067080000000003</v>
      </c>
      <c r="C8710" s="15">
        <v>0.42433409999999999</v>
      </c>
    </row>
    <row r="8711" spans="1:3" x14ac:dyDescent="0.45">
      <c r="A8711" s="11">
        <v>103.82</v>
      </c>
      <c r="B8711" s="14">
        <v>0.57110340000000004</v>
      </c>
      <c r="C8711" s="15">
        <v>0.42475610000000003</v>
      </c>
    </row>
    <row r="8712" spans="1:3" x14ac:dyDescent="0.45">
      <c r="A8712" s="11">
        <v>103.83</v>
      </c>
      <c r="B8712" s="14">
        <v>0.57153600000000004</v>
      </c>
      <c r="C8712" s="15">
        <v>0.425178</v>
      </c>
    </row>
    <row r="8713" spans="1:3" x14ac:dyDescent="0.45">
      <c r="A8713" s="11">
        <v>103.84</v>
      </c>
      <c r="B8713" s="14">
        <v>0.57196860000000005</v>
      </c>
      <c r="C8713" s="15">
        <v>0.42559999999999998</v>
      </c>
    </row>
    <row r="8714" spans="1:3" x14ac:dyDescent="0.45">
      <c r="A8714" s="11">
        <v>103.85</v>
      </c>
      <c r="B8714" s="14">
        <v>0.5724011</v>
      </c>
      <c r="C8714" s="15">
        <v>0.42602190000000001</v>
      </c>
    </row>
    <row r="8715" spans="1:3" x14ac:dyDescent="0.45">
      <c r="A8715" s="11">
        <v>103.86</v>
      </c>
      <c r="B8715" s="14">
        <v>0.5728337</v>
      </c>
      <c r="C8715" s="15">
        <v>0.42644379999999998</v>
      </c>
    </row>
    <row r="8716" spans="1:3" x14ac:dyDescent="0.45">
      <c r="A8716" s="11">
        <v>103.87</v>
      </c>
      <c r="B8716" s="14">
        <v>0.57326630000000001</v>
      </c>
      <c r="C8716" s="15">
        <v>0.42686580000000002</v>
      </c>
    </row>
    <row r="8717" spans="1:3" x14ac:dyDescent="0.45">
      <c r="A8717" s="11">
        <v>103.88</v>
      </c>
      <c r="B8717" s="14">
        <v>0.57369890000000001</v>
      </c>
      <c r="C8717" s="15">
        <v>0.42728769999999999</v>
      </c>
    </row>
    <row r="8718" spans="1:3" x14ac:dyDescent="0.45">
      <c r="A8718" s="11">
        <v>103.89</v>
      </c>
      <c r="B8718" s="14">
        <v>0.57413150000000002</v>
      </c>
      <c r="C8718" s="15">
        <v>0.42770970000000003</v>
      </c>
    </row>
    <row r="8719" spans="1:3" x14ac:dyDescent="0.45">
      <c r="A8719" s="11">
        <v>103.9</v>
      </c>
      <c r="B8719" s="14">
        <v>0.57456410000000002</v>
      </c>
      <c r="C8719" s="15">
        <v>0.4281316</v>
      </c>
    </row>
    <row r="8720" spans="1:3" x14ac:dyDescent="0.45">
      <c r="A8720" s="11">
        <v>103.91</v>
      </c>
      <c r="B8720" s="14">
        <v>0.57499670000000003</v>
      </c>
      <c r="C8720" s="15">
        <v>0.42855349999999998</v>
      </c>
    </row>
    <row r="8721" spans="1:3" x14ac:dyDescent="0.45">
      <c r="A8721" s="11">
        <v>103.92</v>
      </c>
      <c r="B8721" s="14">
        <v>0.57542930000000003</v>
      </c>
      <c r="C8721" s="15">
        <v>0.42897550000000001</v>
      </c>
    </row>
    <row r="8722" spans="1:3" x14ac:dyDescent="0.45">
      <c r="A8722" s="11">
        <v>103.93</v>
      </c>
      <c r="B8722" s="14">
        <v>0.57586190000000004</v>
      </c>
      <c r="C8722" s="15">
        <v>0.42939739999999998</v>
      </c>
    </row>
    <row r="8723" spans="1:3" x14ac:dyDescent="0.45">
      <c r="A8723" s="11">
        <v>103.94</v>
      </c>
      <c r="B8723" s="14">
        <v>0.57629450000000004</v>
      </c>
      <c r="C8723" s="15">
        <v>0.42981940000000002</v>
      </c>
    </row>
    <row r="8724" spans="1:3" x14ac:dyDescent="0.45">
      <c r="A8724" s="11">
        <v>103.95</v>
      </c>
      <c r="B8724" s="14">
        <v>0.57672699999999999</v>
      </c>
      <c r="C8724" s="15">
        <v>0.43024129999999999</v>
      </c>
    </row>
    <row r="8725" spans="1:3" x14ac:dyDescent="0.45">
      <c r="A8725" s="11">
        <v>103.96</v>
      </c>
      <c r="B8725" s="14">
        <v>0.57715959999999999</v>
      </c>
      <c r="C8725" s="15">
        <v>0.43066320000000002</v>
      </c>
    </row>
    <row r="8726" spans="1:3" x14ac:dyDescent="0.45">
      <c r="A8726" s="11">
        <v>103.97</v>
      </c>
      <c r="B8726" s="14">
        <v>0.5775922</v>
      </c>
      <c r="C8726" s="15">
        <v>0.4310852</v>
      </c>
    </row>
    <row r="8727" spans="1:3" x14ac:dyDescent="0.45">
      <c r="A8727" s="11">
        <v>103.98</v>
      </c>
      <c r="B8727" s="14">
        <v>0.57802480000000001</v>
      </c>
      <c r="C8727" s="15">
        <v>0.43150709999999998</v>
      </c>
    </row>
    <row r="8728" spans="1:3" x14ac:dyDescent="0.45">
      <c r="A8728" s="11">
        <v>103.99</v>
      </c>
      <c r="B8728" s="14">
        <v>0.57845740000000001</v>
      </c>
      <c r="C8728" s="15">
        <v>0.43192910000000001</v>
      </c>
    </row>
    <row r="8729" spans="1:3" x14ac:dyDescent="0.45">
      <c r="A8729" s="11">
        <v>104</v>
      </c>
      <c r="B8729" s="14">
        <v>0.57889000000000002</v>
      </c>
      <c r="C8729" s="15">
        <v>0.43235099999999999</v>
      </c>
    </row>
    <row r="8730" spans="1:3" x14ac:dyDescent="0.45">
      <c r="A8730" s="11">
        <v>104.01</v>
      </c>
      <c r="B8730" s="14">
        <v>0.57935130000000001</v>
      </c>
      <c r="C8730" s="15">
        <v>0.4328186</v>
      </c>
    </row>
    <row r="8731" spans="1:3" x14ac:dyDescent="0.45">
      <c r="A8731" s="11">
        <v>104.02</v>
      </c>
      <c r="B8731" s="14">
        <v>0.57981269999999996</v>
      </c>
      <c r="C8731" s="15">
        <v>0.43328620000000001</v>
      </c>
    </row>
    <row r="8732" spans="1:3" x14ac:dyDescent="0.45">
      <c r="A8732" s="11">
        <v>104.03</v>
      </c>
      <c r="B8732" s="14">
        <v>0.58027399999999996</v>
      </c>
      <c r="C8732" s="15">
        <v>0.43375370000000002</v>
      </c>
    </row>
    <row r="8733" spans="1:3" x14ac:dyDescent="0.45">
      <c r="A8733" s="11">
        <v>104.04</v>
      </c>
      <c r="B8733" s="14">
        <v>0.58073529999999995</v>
      </c>
      <c r="C8733" s="15">
        <v>0.43422129999999998</v>
      </c>
    </row>
    <row r="8734" spans="1:3" x14ac:dyDescent="0.45">
      <c r="A8734" s="11">
        <v>104.05</v>
      </c>
      <c r="B8734" s="14">
        <v>0.58119659999999995</v>
      </c>
      <c r="C8734" s="15">
        <v>0.43468889999999999</v>
      </c>
    </row>
    <row r="8735" spans="1:3" x14ac:dyDescent="0.45">
      <c r="A8735" s="11">
        <v>104.06</v>
      </c>
      <c r="B8735" s="14">
        <v>0.58165800000000001</v>
      </c>
      <c r="C8735" s="15">
        <v>0.4351565</v>
      </c>
    </row>
    <row r="8736" spans="1:3" x14ac:dyDescent="0.45">
      <c r="A8736" s="11">
        <v>104.07</v>
      </c>
      <c r="B8736" s="14">
        <v>0.58211930000000001</v>
      </c>
      <c r="C8736" s="15">
        <v>0.43562410000000001</v>
      </c>
    </row>
    <row r="8737" spans="1:3" x14ac:dyDescent="0.45">
      <c r="A8737" s="11">
        <v>104.08</v>
      </c>
      <c r="B8737" s="14">
        <v>0.5825806</v>
      </c>
      <c r="C8737" s="15">
        <v>0.43609160000000002</v>
      </c>
    </row>
    <row r="8738" spans="1:3" x14ac:dyDescent="0.45">
      <c r="A8738" s="11">
        <v>104.09</v>
      </c>
      <c r="B8738" s="14">
        <v>0.58304199999999995</v>
      </c>
      <c r="C8738" s="15">
        <v>0.43655919999999998</v>
      </c>
    </row>
    <row r="8739" spans="1:3" x14ac:dyDescent="0.45">
      <c r="A8739" s="11">
        <v>104.1</v>
      </c>
      <c r="B8739" s="14">
        <v>0.58350329999999995</v>
      </c>
      <c r="C8739" s="15">
        <v>0.43702679999999999</v>
      </c>
    </row>
    <row r="8740" spans="1:3" x14ac:dyDescent="0.45">
      <c r="A8740" s="11">
        <v>104.11</v>
      </c>
      <c r="B8740" s="14">
        <v>0.58396459999999994</v>
      </c>
      <c r="C8740" s="15">
        <v>0.43749440000000001</v>
      </c>
    </row>
    <row r="8741" spans="1:3" x14ac:dyDescent="0.45">
      <c r="A8741" s="11">
        <v>104.12</v>
      </c>
      <c r="B8741" s="14">
        <v>0.584426</v>
      </c>
      <c r="C8741" s="15">
        <v>0.43796200000000002</v>
      </c>
    </row>
    <row r="8742" spans="1:3" x14ac:dyDescent="0.45">
      <c r="A8742" s="11">
        <v>104.13</v>
      </c>
      <c r="B8742" s="14">
        <v>0.5848873</v>
      </c>
      <c r="C8742" s="15">
        <v>0.43842950000000003</v>
      </c>
    </row>
    <row r="8743" spans="1:3" x14ac:dyDescent="0.45">
      <c r="A8743" s="11">
        <v>104.14</v>
      </c>
      <c r="B8743" s="14">
        <v>0.5853486</v>
      </c>
      <c r="C8743" s="15">
        <v>0.43889709999999998</v>
      </c>
    </row>
    <row r="8744" spans="1:3" x14ac:dyDescent="0.45">
      <c r="A8744" s="11">
        <v>104.15</v>
      </c>
      <c r="B8744" s="14">
        <v>0.58581000000000005</v>
      </c>
      <c r="C8744" s="15">
        <v>0.4393647</v>
      </c>
    </row>
    <row r="8745" spans="1:3" x14ac:dyDescent="0.45">
      <c r="A8745" s="11">
        <v>104.16</v>
      </c>
      <c r="B8745" s="14">
        <v>0.58627130000000005</v>
      </c>
      <c r="C8745" s="15">
        <v>0.43983230000000001</v>
      </c>
    </row>
    <row r="8746" spans="1:3" x14ac:dyDescent="0.45">
      <c r="A8746" s="11">
        <v>104.17</v>
      </c>
      <c r="B8746" s="14">
        <v>0.58673260000000005</v>
      </c>
      <c r="C8746" s="15">
        <v>0.44029990000000002</v>
      </c>
    </row>
    <row r="8747" spans="1:3" x14ac:dyDescent="0.45">
      <c r="A8747" s="11">
        <v>104.18</v>
      </c>
      <c r="B8747" s="14">
        <v>0.58719390000000005</v>
      </c>
      <c r="C8747" s="15">
        <v>0.44076739999999998</v>
      </c>
    </row>
    <row r="8748" spans="1:3" x14ac:dyDescent="0.45">
      <c r="A8748" s="11">
        <v>104.19</v>
      </c>
      <c r="B8748" s="14">
        <v>0.58765529999999999</v>
      </c>
      <c r="C8748" s="15">
        <v>0.44123499999999999</v>
      </c>
    </row>
    <row r="8749" spans="1:3" x14ac:dyDescent="0.45">
      <c r="A8749" s="11">
        <v>104.2</v>
      </c>
      <c r="B8749" s="14">
        <v>0.58811659999999999</v>
      </c>
      <c r="C8749" s="15">
        <v>0.4417026</v>
      </c>
    </row>
    <row r="8750" spans="1:3" x14ac:dyDescent="0.45">
      <c r="A8750" s="11">
        <v>104.21</v>
      </c>
      <c r="B8750" s="14">
        <v>0.58857789999999999</v>
      </c>
      <c r="C8750" s="15">
        <v>0.44217020000000001</v>
      </c>
    </row>
    <row r="8751" spans="1:3" x14ac:dyDescent="0.45">
      <c r="A8751" s="11">
        <v>104.22</v>
      </c>
      <c r="B8751" s="14">
        <v>0.58903930000000004</v>
      </c>
      <c r="C8751" s="15">
        <v>0.44263780000000003</v>
      </c>
    </row>
    <row r="8752" spans="1:3" x14ac:dyDescent="0.45">
      <c r="A8752" s="11">
        <v>104.23</v>
      </c>
      <c r="B8752" s="14">
        <v>0.58950060000000004</v>
      </c>
      <c r="C8752" s="15">
        <v>0.44310529999999998</v>
      </c>
    </row>
    <row r="8753" spans="1:3" x14ac:dyDescent="0.45">
      <c r="A8753" s="11">
        <v>104.24</v>
      </c>
      <c r="B8753" s="14">
        <v>0.58996190000000004</v>
      </c>
      <c r="C8753" s="15">
        <v>0.44357289999999999</v>
      </c>
    </row>
    <row r="8754" spans="1:3" x14ac:dyDescent="0.45">
      <c r="A8754" s="11">
        <v>104.25</v>
      </c>
      <c r="B8754" s="14">
        <v>0.59042329999999998</v>
      </c>
      <c r="C8754" s="15">
        <v>0.4440405</v>
      </c>
    </row>
    <row r="8755" spans="1:3" x14ac:dyDescent="0.45">
      <c r="A8755" s="11">
        <v>104.26</v>
      </c>
      <c r="B8755" s="14">
        <v>0.59088459999999998</v>
      </c>
      <c r="C8755" s="15">
        <v>0.44450810000000002</v>
      </c>
    </row>
    <row r="8756" spans="1:3" x14ac:dyDescent="0.45">
      <c r="A8756" s="11">
        <v>104.27</v>
      </c>
      <c r="B8756" s="14">
        <v>0.59134589999999998</v>
      </c>
      <c r="C8756" s="15">
        <v>0.44497569999999997</v>
      </c>
    </row>
    <row r="8757" spans="1:3" x14ac:dyDescent="0.45">
      <c r="A8757" s="11">
        <v>104.28</v>
      </c>
      <c r="B8757" s="14">
        <v>0.59180719999999998</v>
      </c>
      <c r="C8757" s="15">
        <v>0.44544319999999998</v>
      </c>
    </row>
    <row r="8758" spans="1:3" x14ac:dyDescent="0.45">
      <c r="A8758" s="11">
        <v>104.29</v>
      </c>
      <c r="B8758" s="14">
        <v>0.59226860000000003</v>
      </c>
      <c r="C8758" s="15">
        <v>0.4459108</v>
      </c>
    </row>
    <row r="8759" spans="1:3" x14ac:dyDescent="0.45">
      <c r="A8759" s="11">
        <v>104.3</v>
      </c>
      <c r="B8759" s="14">
        <v>0.59272990000000003</v>
      </c>
      <c r="C8759" s="15">
        <v>0.44637840000000001</v>
      </c>
    </row>
    <row r="8760" spans="1:3" x14ac:dyDescent="0.45">
      <c r="A8760" s="11">
        <v>104.31</v>
      </c>
      <c r="B8760" s="14">
        <v>0.59319120000000003</v>
      </c>
      <c r="C8760" s="15">
        <v>0.44684600000000002</v>
      </c>
    </row>
    <row r="8761" spans="1:3" x14ac:dyDescent="0.45">
      <c r="A8761" s="11">
        <v>104.32</v>
      </c>
      <c r="B8761" s="14">
        <v>0.59365259999999997</v>
      </c>
      <c r="C8761" s="15">
        <v>0.44731359999999998</v>
      </c>
    </row>
    <row r="8762" spans="1:3" x14ac:dyDescent="0.45">
      <c r="A8762" s="11">
        <v>104.33</v>
      </c>
      <c r="B8762" s="14">
        <v>0.59411389999999997</v>
      </c>
      <c r="C8762" s="15">
        <v>0.44778109999999999</v>
      </c>
    </row>
    <row r="8763" spans="1:3" x14ac:dyDescent="0.45">
      <c r="A8763" s="11">
        <v>104.34</v>
      </c>
      <c r="B8763" s="14">
        <v>0.59457519999999997</v>
      </c>
      <c r="C8763" s="15">
        <v>0.4482487</v>
      </c>
    </row>
    <row r="8764" spans="1:3" x14ac:dyDescent="0.45">
      <c r="A8764" s="11">
        <v>104.35</v>
      </c>
      <c r="B8764" s="14">
        <v>0.59503649999999997</v>
      </c>
      <c r="C8764" s="15">
        <v>0.44871630000000001</v>
      </c>
    </row>
    <row r="8765" spans="1:3" x14ac:dyDescent="0.45">
      <c r="A8765" s="11">
        <v>104.36</v>
      </c>
      <c r="B8765" s="14">
        <v>0.59549790000000002</v>
      </c>
      <c r="C8765" s="15">
        <v>0.44918390000000002</v>
      </c>
    </row>
    <row r="8766" spans="1:3" x14ac:dyDescent="0.45">
      <c r="A8766" s="11">
        <v>104.37</v>
      </c>
      <c r="B8766" s="14">
        <v>0.59595920000000002</v>
      </c>
      <c r="C8766" s="15">
        <v>0.44965149999999998</v>
      </c>
    </row>
    <row r="8767" spans="1:3" x14ac:dyDescent="0.45">
      <c r="A8767" s="11">
        <v>104.38</v>
      </c>
      <c r="B8767" s="14">
        <v>0.59642050000000002</v>
      </c>
      <c r="C8767" s="15">
        <v>0.45011899999999999</v>
      </c>
    </row>
    <row r="8768" spans="1:3" x14ac:dyDescent="0.45">
      <c r="A8768" s="11">
        <v>104.39</v>
      </c>
      <c r="B8768" s="14">
        <v>0.59688189999999997</v>
      </c>
      <c r="C8768" s="15">
        <v>0.4505866</v>
      </c>
    </row>
    <row r="8769" spans="1:3" x14ac:dyDescent="0.45">
      <c r="A8769" s="11">
        <v>104.4</v>
      </c>
      <c r="B8769" s="14">
        <v>0.59734319999999996</v>
      </c>
      <c r="C8769" s="15">
        <v>0.45105420000000002</v>
      </c>
    </row>
    <row r="8770" spans="1:3" x14ac:dyDescent="0.45">
      <c r="A8770" s="11">
        <v>104.41</v>
      </c>
      <c r="B8770" s="14">
        <v>0.59780449999999996</v>
      </c>
      <c r="C8770" s="15">
        <v>0.45152179999999997</v>
      </c>
    </row>
    <row r="8771" spans="1:3" x14ac:dyDescent="0.45">
      <c r="A8771" s="11">
        <v>104.42</v>
      </c>
      <c r="B8771" s="14">
        <v>0.59826590000000002</v>
      </c>
      <c r="C8771" s="15">
        <v>0.45198939999999999</v>
      </c>
    </row>
    <row r="8772" spans="1:3" x14ac:dyDescent="0.45">
      <c r="A8772" s="11">
        <v>104.43</v>
      </c>
      <c r="B8772" s="14">
        <v>0.59872720000000001</v>
      </c>
      <c r="C8772" s="15">
        <v>0.4524569</v>
      </c>
    </row>
    <row r="8773" spans="1:3" x14ac:dyDescent="0.45">
      <c r="A8773" s="11">
        <v>104.44</v>
      </c>
      <c r="B8773" s="14">
        <v>0.59918850000000001</v>
      </c>
      <c r="C8773" s="15">
        <v>0.45292450000000001</v>
      </c>
    </row>
    <row r="8774" spans="1:3" x14ac:dyDescent="0.45">
      <c r="A8774" s="11">
        <v>104.45</v>
      </c>
      <c r="B8774" s="14">
        <v>0.59964989999999996</v>
      </c>
      <c r="C8774" s="15">
        <v>0.45339210000000002</v>
      </c>
    </row>
    <row r="8775" spans="1:3" x14ac:dyDescent="0.45">
      <c r="A8775" s="11">
        <v>104.46</v>
      </c>
      <c r="B8775" s="14">
        <v>0.60011119999999996</v>
      </c>
      <c r="C8775" s="15">
        <v>0.45385969999999998</v>
      </c>
    </row>
    <row r="8776" spans="1:3" x14ac:dyDescent="0.45">
      <c r="A8776" s="11">
        <v>104.47</v>
      </c>
      <c r="B8776" s="14">
        <v>0.60057249999999995</v>
      </c>
      <c r="C8776" s="15">
        <v>0.45432729999999999</v>
      </c>
    </row>
    <row r="8777" spans="1:3" x14ac:dyDescent="0.45">
      <c r="A8777" s="11">
        <v>104.48</v>
      </c>
      <c r="B8777" s="14">
        <v>0.60103379999999995</v>
      </c>
      <c r="C8777" s="15">
        <v>0.4547948</v>
      </c>
    </row>
    <row r="8778" spans="1:3" x14ac:dyDescent="0.45">
      <c r="A8778" s="11">
        <v>104.49</v>
      </c>
      <c r="B8778" s="14">
        <v>0.60149520000000001</v>
      </c>
      <c r="C8778" s="15">
        <v>0.45526240000000001</v>
      </c>
    </row>
    <row r="8779" spans="1:3" x14ac:dyDescent="0.45">
      <c r="A8779" s="11">
        <v>104.5</v>
      </c>
      <c r="B8779" s="14">
        <v>0.60195650000000001</v>
      </c>
      <c r="C8779" s="15">
        <v>0.45573000000000002</v>
      </c>
    </row>
    <row r="8780" spans="1:3" x14ac:dyDescent="0.45">
      <c r="A8780" s="11">
        <v>104.51</v>
      </c>
      <c r="B8780" s="14">
        <v>0.6024178</v>
      </c>
      <c r="C8780" s="15">
        <v>0.45619759999999998</v>
      </c>
    </row>
    <row r="8781" spans="1:3" x14ac:dyDescent="0.45">
      <c r="A8781" s="11">
        <v>104.52</v>
      </c>
      <c r="B8781" s="14">
        <v>0.60287919999999995</v>
      </c>
      <c r="C8781" s="15">
        <v>0.45666519999999999</v>
      </c>
    </row>
    <row r="8782" spans="1:3" x14ac:dyDescent="0.45">
      <c r="A8782" s="11">
        <v>104.53</v>
      </c>
      <c r="B8782" s="14">
        <v>0.60334049999999995</v>
      </c>
      <c r="C8782" s="15">
        <v>0.4571327</v>
      </c>
    </row>
    <row r="8783" spans="1:3" x14ac:dyDescent="0.45">
      <c r="A8783" s="11">
        <v>104.54</v>
      </c>
      <c r="B8783" s="14">
        <v>0.60380180000000006</v>
      </c>
      <c r="C8783" s="15">
        <v>0.45760030000000002</v>
      </c>
    </row>
    <row r="8784" spans="1:3" x14ac:dyDescent="0.45">
      <c r="A8784" s="11">
        <v>104.55</v>
      </c>
      <c r="B8784" s="14">
        <v>0.60426310000000005</v>
      </c>
      <c r="C8784" s="15">
        <v>0.45806789999999997</v>
      </c>
    </row>
    <row r="8785" spans="1:3" x14ac:dyDescent="0.45">
      <c r="A8785" s="11">
        <v>104.56</v>
      </c>
      <c r="B8785" s="14">
        <v>0.6047245</v>
      </c>
      <c r="C8785" s="15">
        <v>0.45853549999999998</v>
      </c>
    </row>
    <row r="8786" spans="1:3" x14ac:dyDescent="0.45">
      <c r="A8786" s="11">
        <v>104.57</v>
      </c>
      <c r="B8786" s="14">
        <v>0.6051858</v>
      </c>
      <c r="C8786" s="15">
        <v>0.4590031</v>
      </c>
    </row>
    <row r="8787" spans="1:3" x14ac:dyDescent="0.45">
      <c r="A8787" s="11">
        <v>104.58</v>
      </c>
      <c r="B8787" s="14">
        <v>0.60564709999999999</v>
      </c>
      <c r="C8787" s="15">
        <v>0.45947060000000001</v>
      </c>
    </row>
    <row r="8788" spans="1:3" x14ac:dyDescent="0.45">
      <c r="A8788" s="11">
        <v>104.59</v>
      </c>
      <c r="B8788" s="14">
        <v>0.60610850000000005</v>
      </c>
      <c r="C8788" s="15">
        <v>0.45993820000000002</v>
      </c>
    </row>
    <row r="8789" spans="1:3" x14ac:dyDescent="0.45">
      <c r="A8789" s="11">
        <v>104.6</v>
      </c>
      <c r="B8789" s="14">
        <v>0.60656980000000005</v>
      </c>
      <c r="C8789" s="15">
        <v>0.46040579999999998</v>
      </c>
    </row>
    <row r="8790" spans="1:3" x14ac:dyDescent="0.45">
      <c r="A8790" s="11">
        <v>104.61</v>
      </c>
      <c r="B8790" s="14">
        <v>0.60703110000000005</v>
      </c>
      <c r="C8790" s="15">
        <v>0.46087339999999999</v>
      </c>
    </row>
    <row r="8791" spans="1:3" x14ac:dyDescent="0.45">
      <c r="A8791" s="11">
        <v>104.62</v>
      </c>
      <c r="B8791" s="14">
        <v>0.60749249999999999</v>
      </c>
      <c r="C8791" s="15">
        <v>0.461341</v>
      </c>
    </row>
    <row r="8792" spans="1:3" x14ac:dyDescent="0.45">
      <c r="A8792" s="11">
        <v>104.63</v>
      </c>
      <c r="B8792" s="14">
        <v>0.60795379999999999</v>
      </c>
      <c r="C8792" s="15">
        <v>0.46180850000000001</v>
      </c>
    </row>
    <row r="8793" spans="1:3" x14ac:dyDescent="0.45">
      <c r="A8793" s="11">
        <v>104.64</v>
      </c>
      <c r="B8793" s="14">
        <v>0.60841509999999999</v>
      </c>
      <c r="C8793" s="15">
        <v>0.46227610000000002</v>
      </c>
    </row>
    <row r="8794" spans="1:3" x14ac:dyDescent="0.45">
      <c r="A8794" s="11">
        <v>104.65</v>
      </c>
      <c r="B8794" s="14">
        <v>0.60887650000000004</v>
      </c>
      <c r="C8794" s="15">
        <v>0.46274369999999998</v>
      </c>
    </row>
    <row r="8795" spans="1:3" x14ac:dyDescent="0.45">
      <c r="A8795" s="11">
        <v>104.66</v>
      </c>
      <c r="B8795" s="14">
        <v>0.60933780000000004</v>
      </c>
      <c r="C8795" s="15">
        <v>0.46321129999999999</v>
      </c>
    </row>
    <row r="8796" spans="1:3" x14ac:dyDescent="0.45">
      <c r="A8796" s="11">
        <v>104.67</v>
      </c>
      <c r="B8796" s="14">
        <v>0.60979910000000004</v>
      </c>
      <c r="C8796" s="15">
        <v>0.4636789</v>
      </c>
    </row>
    <row r="8797" spans="1:3" x14ac:dyDescent="0.45">
      <c r="A8797" s="11">
        <v>104.68</v>
      </c>
      <c r="B8797" s="14">
        <v>0.61026040000000004</v>
      </c>
      <c r="C8797" s="15">
        <v>0.46414640000000001</v>
      </c>
    </row>
    <row r="8798" spans="1:3" x14ac:dyDescent="0.45">
      <c r="A8798" s="11">
        <v>104.69</v>
      </c>
      <c r="B8798" s="14">
        <v>0.61072179999999998</v>
      </c>
      <c r="C8798" s="15">
        <v>0.46461400000000003</v>
      </c>
    </row>
    <row r="8799" spans="1:3" x14ac:dyDescent="0.45">
      <c r="A8799" s="11">
        <v>104.7</v>
      </c>
      <c r="B8799" s="14">
        <v>0.61118309999999998</v>
      </c>
      <c r="C8799" s="15">
        <v>0.46508159999999998</v>
      </c>
    </row>
    <row r="8800" spans="1:3" x14ac:dyDescent="0.45">
      <c r="A8800" s="11">
        <v>104.71</v>
      </c>
      <c r="B8800" s="14">
        <v>0.61164439999999998</v>
      </c>
      <c r="C8800" s="15">
        <v>0.4655492</v>
      </c>
    </row>
    <row r="8801" spans="1:3" x14ac:dyDescent="0.45">
      <c r="A8801" s="11">
        <v>104.72</v>
      </c>
      <c r="B8801" s="14">
        <v>0.61210580000000003</v>
      </c>
      <c r="C8801" s="15">
        <v>0.46601680000000001</v>
      </c>
    </row>
    <row r="8802" spans="1:3" x14ac:dyDescent="0.45">
      <c r="A8802" s="11">
        <v>104.73</v>
      </c>
      <c r="B8802" s="14">
        <v>0.61256710000000003</v>
      </c>
      <c r="C8802" s="15">
        <v>0.46648430000000002</v>
      </c>
    </row>
    <row r="8803" spans="1:3" x14ac:dyDescent="0.45">
      <c r="A8803" s="11">
        <v>104.74</v>
      </c>
      <c r="B8803" s="14">
        <v>0.61302840000000003</v>
      </c>
      <c r="C8803" s="15">
        <v>0.46695189999999998</v>
      </c>
    </row>
    <row r="8804" spans="1:3" x14ac:dyDescent="0.45">
      <c r="A8804" s="11">
        <v>104.75</v>
      </c>
      <c r="B8804" s="14">
        <v>0.61348970000000003</v>
      </c>
      <c r="C8804" s="15">
        <v>0.46741949999999999</v>
      </c>
    </row>
    <row r="8805" spans="1:3" x14ac:dyDescent="0.45">
      <c r="A8805" s="11">
        <v>104.76</v>
      </c>
      <c r="B8805" s="14">
        <v>0.61395109999999997</v>
      </c>
      <c r="C8805" s="15">
        <v>0.4678871</v>
      </c>
    </row>
    <row r="8806" spans="1:3" x14ac:dyDescent="0.45">
      <c r="A8806" s="11">
        <v>104.77</v>
      </c>
      <c r="B8806" s="14">
        <v>0.61441239999999997</v>
      </c>
      <c r="C8806" s="15">
        <v>0.46835470000000001</v>
      </c>
    </row>
    <row r="8807" spans="1:3" x14ac:dyDescent="0.45">
      <c r="A8807" s="11">
        <v>104.78</v>
      </c>
      <c r="B8807" s="14">
        <v>0.61487369999999997</v>
      </c>
      <c r="C8807" s="15">
        <v>0.46882220000000002</v>
      </c>
    </row>
    <row r="8808" spans="1:3" x14ac:dyDescent="0.45">
      <c r="A8808" s="11">
        <v>104.79</v>
      </c>
      <c r="B8808" s="14">
        <v>0.61533510000000002</v>
      </c>
      <c r="C8808" s="15">
        <v>0.46928979999999998</v>
      </c>
    </row>
    <row r="8809" spans="1:3" x14ac:dyDescent="0.45">
      <c r="A8809" s="11">
        <v>104.8</v>
      </c>
      <c r="B8809" s="14">
        <v>0.61579640000000002</v>
      </c>
      <c r="C8809" s="15">
        <v>0.46975739999999999</v>
      </c>
    </row>
    <row r="8810" spans="1:3" x14ac:dyDescent="0.45">
      <c r="A8810" s="11">
        <v>104.81</v>
      </c>
      <c r="B8810" s="14">
        <v>0.61625770000000002</v>
      </c>
      <c r="C8810" s="15">
        <v>0.470225</v>
      </c>
    </row>
    <row r="8811" spans="1:3" x14ac:dyDescent="0.45">
      <c r="A8811" s="11">
        <v>104.82</v>
      </c>
      <c r="B8811" s="14">
        <v>0.61671900000000002</v>
      </c>
      <c r="C8811" s="15">
        <v>0.47069260000000002</v>
      </c>
    </row>
    <row r="8812" spans="1:3" x14ac:dyDescent="0.45">
      <c r="A8812" s="11">
        <v>104.83</v>
      </c>
      <c r="B8812" s="14">
        <v>0.61718039999999996</v>
      </c>
      <c r="C8812" s="15">
        <v>0.47116010000000003</v>
      </c>
    </row>
    <row r="8813" spans="1:3" x14ac:dyDescent="0.45">
      <c r="A8813" s="11">
        <v>104.84</v>
      </c>
      <c r="B8813" s="14">
        <v>0.61764169999999996</v>
      </c>
      <c r="C8813" s="15">
        <v>0.47162769999999998</v>
      </c>
    </row>
    <row r="8814" spans="1:3" x14ac:dyDescent="0.45">
      <c r="A8814" s="11">
        <v>104.85</v>
      </c>
      <c r="B8814" s="14">
        <v>0.61810299999999996</v>
      </c>
      <c r="C8814" s="15">
        <v>0.4720953</v>
      </c>
    </row>
    <row r="8815" spans="1:3" x14ac:dyDescent="0.45">
      <c r="A8815" s="11">
        <v>104.86</v>
      </c>
      <c r="B8815" s="14">
        <v>0.61856440000000001</v>
      </c>
      <c r="C8815" s="15">
        <v>0.47256290000000001</v>
      </c>
    </row>
    <row r="8816" spans="1:3" x14ac:dyDescent="0.45">
      <c r="A8816" s="11">
        <v>104.87</v>
      </c>
      <c r="B8816" s="14">
        <v>0.61902570000000001</v>
      </c>
      <c r="C8816" s="15">
        <v>0.47303050000000002</v>
      </c>
    </row>
    <row r="8817" spans="1:3" x14ac:dyDescent="0.45">
      <c r="A8817" s="11">
        <v>104.88</v>
      </c>
      <c r="B8817" s="14">
        <v>0.61948700000000001</v>
      </c>
      <c r="C8817" s="15">
        <v>0.47349799999999997</v>
      </c>
    </row>
    <row r="8818" spans="1:3" x14ac:dyDescent="0.45">
      <c r="A8818" s="11">
        <v>104.89</v>
      </c>
      <c r="B8818" s="14">
        <v>0.61994839999999996</v>
      </c>
      <c r="C8818" s="15">
        <v>0.47396559999999999</v>
      </c>
    </row>
    <row r="8819" spans="1:3" x14ac:dyDescent="0.45">
      <c r="A8819" s="11">
        <v>104.9</v>
      </c>
      <c r="B8819" s="14">
        <v>0.62040969999999995</v>
      </c>
      <c r="C8819" s="15">
        <v>0.4744332</v>
      </c>
    </row>
    <row r="8820" spans="1:3" x14ac:dyDescent="0.45">
      <c r="A8820" s="11">
        <v>104.91</v>
      </c>
      <c r="B8820" s="14">
        <v>0.62087099999999995</v>
      </c>
      <c r="C8820" s="15">
        <v>0.47490080000000001</v>
      </c>
    </row>
    <row r="8821" spans="1:3" x14ac:dyDescent="0.45">
      <c r="A8821" s="11">
        <v>104.92</v>
      </c>
      <c r="B8821" s="14">
        <v>0.62133240000000001</v>
      </c>
      <c r="C8821" s="15">
        <v>0.47536840000000002</v>
      </c>
    </row>
    <row r="8822" spans="1:3" x14ac:dyDescent="0.45">
      <c r="A8822" s="11">
        <v>104.93</v>
      </c>
      <c r="B8822" s="14">
        <v>0.6217937</v>
      </c>
      <c r="C8822" s="15">
        <v>0.47583589999999998</v>
      </c>
    </row>
    <row r="8823" spans="1:3" x14ac:dyDescent="0.45">
      <c r="A8823" s="11">
        <v>104.94</v>
      </c>
      <c r="B8823" s="14">
        <v>0.622255</v>
      </c>
      <c r="C8823" s="15">
        <v>0.47630349999999999</v>
      </c>
    </row>
    <row r="8824" spans="1:3" x14ac:dyDescent="0.45">
      <c r="A8824" s="11">
        <v>104.95</v>
      </c>
      <c r="B8824" s="14">
        <v>0.62271639999999995</v>
      </c>
      <c r="C8824" s="15">
        <v>0.4767711</v>
      </c>
    </row>
    <row r="8825" spans="1:3" x14ac:dyDescent="0.45">
      <c r="A8825" s="11">
        <v>104.96</v>
      </c>
      <c r="B8825" s="14">
        <v>0.62317769999999995</v>
      </c>
      <c r="C8825" s="15">
        <v>0.47723870000000002</v>
      </c>
    </row>
    <row r="8826" spans="1:3" x14ac:dyDescent="0.45">
      <c r="A8826" s="11">
        <v>104.97</v>
      </c>
      <c r="B8826" s="14">
        <v>0.62363900000000005</v>
      </c>
      <c r="C8826" s="15">
        <v>0.47770629999999997</v>
      </c>
    </row>
    <row r="8827" spans="1:3" x14ac:dyDescent="0.45">
      <c r="A8827" s="11">
        <v>104.98</v>
      </c>
      <c r="B8827" s="14">
        <v>0.62410030000000005</v>
      </c>
      <c r="C8827" s="15">
        <v>0.47817379999999998</v>
      </c>
    </row>
    <row r="8828" spans="1:3" x14ac:dyDescent="0.45">
      <c r="A8828" s="11">
        <v>104.99</v>
      </c>
      <c r="B8828" s="14">
        <v>0.6245617</v>
      </c>
      <c r="C8828" s="15">
        <v>0.47864139999999999</v>
      </c>
    </row>
    <row r="8829" spans="1:3" x14ac:dyDescent="0.45">
      <c r="A8829" s="11">
        <v>105</v>
      </c>
      <c r="B8829" s="14">
        <v>0.625023</v>
      </c>
      <c r="C8829" s="15">
        <v>0.47910900000000001</v>
      </c>
    </row>
    <row r="8830" spans="1:3" x14ac:dyDescent="0.45">
      <c r="A8830" s="11">
        <v>105.01</v>
      </c>
      <c r="B8830" s="14">
        <v>0.62551440000000003</v>
      </c>
      <c r="C8830" s="15">
        <v>0.47962719999999998</v>
      </c>
    </row>
    <row r="8831" spans="1:3" x14ac:dyDescent="0.45">
      <c r="A8831" s="11">
        <v>105.02</v>
      </c>
      <c r="B8831" s="14">
        <v>0.62600579999999995</v>
      </c>
      <c r="C8831" s="15">
        <v>0.4801453</v>
      </c>
    </row>
    <row r="8832" spans="1:3" x14ac:dyDescent="0.45">
      <c r="A8832" s="11">
        <v>105.03</v>
      </c>
      <c r="B8832" s="14">
        <v>0.62649719999999998</v>
      </c>
      <c r="C8832" s="15">
        <v>0.48066350000000002</v>
      </c>
    </row>
    <row r="8833" spans="1:3" x14ac:dyDescent="0.45">
      <c r="A8833" s="11">
        <v>105.04</v>
      </c>
      <c r="B8833" s="14">
        <v>0.62698860000000001</v>
      </c>
      <c r="C8833" s="15">
        <v>0.48118159999999999</v>
      </c>
    </row>
    <row r="8834" spans="1:3" x14ac:dyDescent="0.45">
      <c r="A8834" s="11">
        <v>105.05</v>
      </c>
      <c r="B8834" s="14">
        <v>0.62748000000000004</v>
      </c>
      <c r="C8834" s="15">
        <v>0.48169980000000001</v>
      </c>
    </row>
    <row r="8835" spans="1:3" x14ac:dyDescent="0.45">
      <c r="A8835" s="11">
        <v>105.06</v>
      </c>
      <c r="B8835" s="14">
        <v>0.62797130000000001</v>
      </c>
      <c r="C8835" s="15">
        <v>0.48221799999999998</v>
      </c>
    </row>
    <row r="8836" spans="1:3" x14ac:dyDescent="0.45">
      <c r="A8836" s="11">
        <v>105.07</v>
      </c>
      <c r="B8836" s="14">
        <v>0.62846270000000004</v>
      </c>
      <c r="C8836" s="15">
        <v>0.4827361</v>
      </c>
    </row>
    <row r="8837" spans="1:3" x14ac:dyDescent="0.45">
      <c r="A8837" s="11">
        <v>105.08</v>
      </c>
      <c r="B8837" s="14">
        <v>0.62895409999999996</v>
      </c>
      <c r="C8837" s="15">
        <v>0.48325430000000003</v>
      </c>
    </row>
    <row r="8838" spans="1:3" x14ac:dyDescent="0.45">
      <c r="A8838" s="11">
        <v>105.09</v>
      </c>
      <c r="B8838" s="14">
        <v>0.62944549999999999</v>
      </c>
      <c r="C8838" s="15">
        <v>0.48377239999999999</v>
      </c>
    </row>
    <row r="8839" spans="1:3" x14ac:dyDescent="0.45">
      <c r="A8839" s="11">
        <v>105.1</v>
      </c>
      <c r="B8839" s="14">
        <v>0.62993690000000002</v>
      </c>
      <c r="C8839" s="15">
        <v>0.48429060000000002</v>
      </c>
    </row>
    <row r="8840" spans="1:3" x14ac:dyDescent="0.45">
      <c r="A8840" s="11">
        <v>105.11</v>
      </c>
      <c r="B8840" s="14">
        <v>0.63042830000000005</v>
      </c>
      <c r="C8840" s="15">
        <v>0.48480879999999998</v>
      </c>
    </row>
    <row r="8841" spans="1:3" x14ac:dyDescent="0.45">
      <c r="A8841" s="11">
        <v>105.12</v>
      </c>
      <c r="B8841" s="14">
        <v>0.63091969999999997</v>
      </c>
      <c r="C8841" s="15">
        <v>0.48532690000000001</v>
      </c>
    </row>
    <row r="8842" spans="1:3" x14ac:dyDescent="0.45">
      <c r="A8842" s="11">
        <v>105.13</v>
      </c>
      <c r="B8842" s="14">
        <v>0.6314111</v>
      </c>
      <c r="C8842" s="15">
        <v>0.48584509999999997</v>
      </c>
    </row>
    <row r="8843" spans="1:3" x14ac:dyDescent="0.45">
      <c r="A8843" s="11">
        <v>105.14</v>
      </c>
      <c r="B8843" s="14">
        <v>0.63190250000000003</v>
      </c>
      <c r="C8843" s="15">
        <v>0.4863632</v>
      </c>
    </row>
    <row r="8844" spans="1:3" x14ac:dyDescent="0.45">
      <c r="A8844" s="11">
        <v>105.15</v>
      </c>
      <c r="B8844" s="14">
        <v>0.63239389999999995</v>
      </c>
      <c r="C8844" s="15">
        <v>0.48688140000000002</v>
      </c>
    </row>
    <row r="8845" spans="1:3" x14ac:dyDescent="0.45">
      <c r="A8845" s="11">
        <v>105.16</v>
      </c>
      <c r="B8845" s="14">
        <v>0.63288520000000004</v>
      </c>
      <c r="C8845" s="15">
        <v>0.48739959999999999</v>
      </c>
    </row>
    <row r="8846" spans="1:3" x14ac:dyDescent="0.45">
      <c r="A8846" s="11">
        <v>105.17</v>
      </c>
      <c r="B8846" s="14">
        <v>0.63337659999999996</v>
      </c>
      <c r="C8846" s="15">
        <v>0.48791770000000001</v>
      </c>
    </row>
    <row r="8847" spans="1:3" x14ac:dyDescent="0.45">
      <c r="A8847" s="11">
        <v>105.18</v>
      </c>
      <c r="B8847" s="14">
        <v>0.63386799999999999</v>
      </c>
      <c r="C8847" s="15">
        <v>0.48843589999999998</v>
      </c>
    </row>
    <row r="8848" spans="1:3" x14ac:dyDescent="0.45">
      <c r="A8848" s="11">
        <v>105.19</v>
      </c>
      <c r="B8848" s="14">
        <v>0.63435940000000002</v>
      </c>
      <c r="C8848" s="15">
        <v>0.488954</v>
      </c>
    </row>
    <row r="8849" spans="1:3" x14ac:dyDescent="0.45">
      <c r="A8849" s="11">
        <v>105.2</v>
      </c>
      <c r="B8849" s="14">
        <v>0.63485080000000005</v>
      </c>
      <c r="C8849" s="15">
        <v>0.48947220000000002</v>
      </c>
    </row>
    <row r="8850" spans="1:3" x14ac:dyDescent="0.45">
      <c r="A8850" s="11">
        <v>105.21</v>
      </c>
      <c r="B8850" s="14">
        <v>0.63534219999999997</v>
      </c>
      <c r="C8850" s="15">
        <v>0.48999039999999999</v>
      </c>
    </row>
    <row r="8851" spans="1:3" x14ac:dyDescent="0.45">
      <c r="A8851" s="11">
        <v>105.22</v>
      </c>
      <c r="B8851" s="14">
        <v>0.6358336</v>
      </c>
      <c r="C8851" s="15">
        <v>0.49050850000000001</v>
      </c>
    </row>
    <row r="8852" spans="1:3" x14ac:dyDescent="0.45">
      <c r="A8852" s="11">
        <v>105.23</v>
      </c>
      <c r="B8852" s="14">
        <v>0.63632500000000003</v>
      </c>
      <c r="C8852" s="15">
        <v>0.49102669999999998</v>
      </c>
    </row>
    <row r="8853" spans="1:3" x14ac:dyDescent="0.45">
      <c r="A8853" s="11">
        <v>105.24</v>
      </c>
      <c r="B8853" s="14">
        <v>0.63681639999999995</v>
      </c>
      <c r="C8853" s="15">
        <v>0.4915448</v>
      </c>
    </row>
    <row r="8854" spans="1:3" x14ac:dyDescent="0.45">
      <c r="A8854" s="11">
        <v>105.25</v>
      </c>
      <c r="B8854" s="14">
        <v>0.63730770000000003</v>
      </c>
      <c r="C8854" s="15">
        <v>0.49206299999999997</v>
      </c>
    </row>
    <row r="8855" spans="1:3" x14ac:dyDescent="0.45">
      <c r="A8855" s="11">
        <v>105.26</v>
      </c>
      <c r="B8855" s="14">
        <v>0.63779909999999995</v>
      </c>
      <c r="C8855" s="15">
        <v>0.4925812</v>
      </c>
    </row>
    <row r="8856" spans="1:3" x14ac:dyDescent="0.45">
      <c r="A8856" s="11">
        <v>105.27</v>
      </c>
      <c r="B8856" s="14">
        <v>0.63829049999999998</v>
      </c>
      <c r="C8856" s="15">
        <v>0.49309930000000002</v>
      </c>
    </row>
    <row r="8857" spans="1:3" x14ac:dyDescent="0.45">
      <c r="A8857" s="11">
        <v>105.28</v>
      </c>
      <c r="B8857" s="14">
        <v>0.63878190000000001</v>
      </c>
      <c r="C8857" s="15">
        <v>0.49361749999999999</v>
      </c>
    </row>
    <row r="8858" spans="1:3" x14ac:dyDescent="0.45">
      <c r="A8858" s="11">
        <v>105.29</v>
      </c>
      <c r="B8858" s="14">
        <v>0.63927330000000004</v>
      </c>
      <c r="C8858" s="15">
        <v>0.49413560000000001</v>
      </c>
    </row>
    <row r="8859" spans="1:3" x14ac:dyDescent="0.45">
      <c r="A8859" s="11">
        <v>105.3</v>
      </c>
      <c r="B8859" s="14">
        <v>0.63976469999999996</v>
      </c>
      <c r="C8859" s="15">
        <v>0.49465379999999998</v>
      </c>
    </row>
    <row r="8860" spans="1:3" x14ac:dyDescent="0.45">
      <c r="A8860" s="11">
        <v>105.31</v>
      </c>
      <c r="B8860" s="14">
        <v>0.64025609999999999</v>
      </c>
      <c r="C8860" s="15">
        <v>0.495172</v>
      </c>
    </row>
    <row r="8861" spans="1:3" x14ac:dyDescent="0.45">
      <c r="A8861" s="11">
        <v>105.32</v>
      </c>
      <c r="B8861" s="14">
        <v>0.64074750000000003</v>
      </c>
      <c r="C8861" s="15">
        <v>0.49569010000000002</v>
      </c>
    </row>
    <row r="8862" spans="1:3" x14ac:dyDescent="0.45">
      <c r="A8862" s="11">
        <v>105.33</v>
      </c>
      <c r="B8862" s="14">
        <v>0.64123889999999995</v>
      </c>
      <c r="C8862" s="15">
        <v>0.49620829999999999</v>
      </c>
    </row>
    <row r="8863" spans="1:3" x14ac:dyDescent="0.45">
      <c r="A8863" s="11">
        <v>105.34</v>
      </c>
      <c r="B8863" s="14">
        <v>0.64173029999999998</v>
      </c>
      <c r="C8863" s="15">
        <v>0.49672640000000001</v>
      </c>
    </row>
    <row r="8864" spans="1:3" x14ac:dyDescent="0.45">
      <c r="A8864" s="11">
        <v>105.35</v>
      </c>
      <c r="B8864" s="14">
        <v>0.64222159999999995</v>
      </c>
      <c r="C8864" s="15">
        <v>0.49724459999999998</v>
      </c>
    </row>
    <row r="8865" spans="1:3" x14ac:dyDescent="0.45">
      <c r="A8865" s="11">
        <v>105.36</v>
      </c>
      <c r="B8865" s="14">
        <v>0.64271299999999998</v>
      </c>
      <c r="C8865" s="15">
        <v>0.49776280000000001</v>
      </c>
    </row>
    <row r="8866" spans="1:3" x14ac:dyDescent="0.45">
      <c r="A8866" s="11">
        <v>105.37</v>
      </c>
      <c r="B8866" s="14">
        <v>0.64320440000000001</v>
      </c>
      <c r="C8866" s="15">
        <v>0.49828090000000003</v>
      </c>
    </row>
    <row r="8867" spans="1:3" x14ac:dyDescent="0.45">
      <c r="A8867" s="11">
        <v>105.38</v>
      </c>
      <c r="B8867" s="14">
        <v>0.64369580000000004</v>
      </c>
      <c r="C8867" s="15">
        <v>0.4987991</v>
      </c>
    </row>
    <row r="8868" spans="1:3" x14ac:dyDescent="0.45">
      <c r="A8868" s="11">
        <v>105.39</v>
      </c>
      <c r="B8868" s="14">
        <v>0.64418719999999996</v>
      </c>
      <c r="C8868" s="15">
        <v>0.49931720000000002</v>
      </c>
    </row>
    <row r="8869" spans="1:3" x14ac:dyDescent="0.45">
      <c r="A8869" s="11">
        <v>105.4</v>
      </c>
      <c r="B8869" s="14">
        <v>0.64467859999999999</v>
      </c>
      <c r="C8869" s="15">
        <v>0.49983539999999999</v>
      </c>
    </row>
    <row r="8870" spans="1:3" x14ac:dyDescent="0.45">
      <c r="A8870" s="11">
        <v>105.41</v>
      </c>
      <c r="B8870" s="14">
        <v>0.64517000000000002</v>
      </c>
      <c r="C8870" s="15">
        <v>0.50035359999999995</v>
      </c>
    </row>
    <row r="8871" spans="1:3" x14ac:dyDescent="0.45">
      <c r="A8871" s="11">
        <v>105.42</v>
      </c>
      <c r="B8871" s="14">
        <v>0.64566140000000005</v>
      </c>
      <c r="C8871" s="15">
        <v>0.50087170000000003</v>
      </c>
    </row>
    <row r="8872" spans="1:3" x14ac:dyDescent="0.45">
      <c r="A8872" s="11">
        <v>105.43</v>
      </c>
      <c r="B8872" s="14">
        <v>0.64615279999999997</v>
      </c>
      <c r="C8872" s="15">
        <v>0.50138990000000005</v>
      </c>
    </row>
    <row r="8873" spans="1:3" x14ac:dyDescent="0.45">
      <c r="A8873" s="11">
        <v>105.44</v>
      </c>
      <c r="B8873" s="14">
        <v>0.6466442</v>
      </c>
      <c r="C8873" s="15">
        <v>0.50190800000000002</v>
      </c>
    </row>
    <row r="8874" spans="1:3" x14ac:dyDescent="0.45">
      <c r="A8874" s="11">
        <v>105.45</v>
      </c>
      <c r="B8874" s="14">
        <v>0.64713560000000003</v>
      </c>
      <c r="C8874" s="15">
        <v>0.50242620000000004</v>
      </c>
    </row>
    <row r="8875" spans="1:3" x14ac:dyDescent="0.45">
      <c r="A8875" s="11">
        <v>105.46</v>
      </c>
      <c r="B8875" s="14">
        <v>0.64762699999999995</v>
      </c>
      <c r="C8875" s="15">
        <v>0.50294439999999996</v>
      </c>
    </row>
    <row r="8876" spans="1:3" x14ac:dyDescent="0.45">
      <c r="A8876" s="11">
        <v>105.47</v>
      </c>
      <c r="B8876" s="14">
        <v>0.64811830000000004</v>
      </c>
      <c r="C8876" s="15">
        <v>0.50346250000000003</v>
      </c>
    </row>
    <row r="8877" spans="1:3" x14ac:dyDescent="0.45">
      <c r="A8877" s="11">
        <v>105.48</v>
      </c>
      <c r="B8877" s="14">
        <v>0.64860969999999996</v>
      </c>
      <c r="C8877" s="15">
        <v>0.50398069999999995</v>
      </c>
    </row>
    <row r="8878" spans="1:3" x14ac:dyDescent="0.45">
      <c r="A8878" s="11">
        <v>105.49</v>
      </c>
      <c r="B8878" s="14">
        <v>0.64910109999999999</v>
      </c>
      <c r="C8878" s="15">
        <v>0.50449880000000003</v>
      </c>
    </row>
    <row r="8879" spans="1:3" x14ac:dyDescent="0.45">
      <c r="A8879" s="11">
        <v>105.5</v>
      </c>
      <c r="B8879" s="14">
        <v>0.64959250000000002</v>
      </c>
      <c r="C8879" s="15">
        <v>0.50501700000000005</v>
      </c>
    </row>
    <row r="8880" spans="1:3" x14ac:dyDescent="0.45">
      <c r="A8880" s="11">
        <v>105.51</v>
      </c>
      <c r="B8880" s="14">
        <v>0.65008390000000005</v>
      </c>
      <c r="C8880" s="15">
        <v>0.50553519999999996</v>
      </c>
    </row>
    <row r="8881" spans="1:3" x14ac:dyDescent="0.45">
      <c r="A8881" s="11">
        <v>105.52</v>
      </c>
      <c r="B8881" s="14">
        <v>0.65057529999999997</v>
      </c>
      <c r="C8881" s="15">
        <v>0.50605330000000004</v>
      </c>
    </row>
    <row r="8882" spans="1:3" x14ac:dyDescent="0.45">
      <c r="A8882" s="11">
        <v>105.53</v>
      </c>
      <c r="B8882" s="14">
        <v>0.6510667</v>
      </c>
      <c r="C8882" s="15">
        <v>0.50657149999999995</v>
      </c>
    </row>
    <row r="8883" spans="1:3" x14ac:dyDescent="0.45">
      <c r="A8883" s="11">
        <v>105.54</v>
      </c>
      <c r="B8883" s="14">
        <v>0.65155799999999997</v>
      </c>
      <c r="C8883" s="15">
        <v>0.50708960000000003</v>
      </c>
    </row>
    <row r="8884" spans="1:3" x14ac:dyDescent="0.45">
      <c r="A8884" s="11">
        <v>105.55</v>
      </c>
      <c r="B8884" s="14">
        <v>0.6520494</v>
      </c>
      <c r="C8884" s="15">
        <v>0.50760780000000005</v>
      </c>
    </row>
    <row r="8885" spans="1:3" x14ac:dyDescent="0.45">
      <c r="A8885" s="11">
        <v>105.56</v>
      </c>
      <c r="B8885" s="14">
        <v>0.65254080000000003</v>
      </c>
      <c r="C8885" s="15">
        <v>0.50812599999999997</v>
      </c>
    </row>
    <row r="8886" spans="1:3" x14ac:dyDescent="0.45">
      <c r="A8886" s="11">
        <v>105.57</v>
      </c>
      <c r="B8886" s="14">
        <v>0.65303219999999995</v>
      </c>
      <c r="C8886" s="15">
        <v>0.50864410000000004</v>
      </c>
    </row>
    <row r="8887" spans="1:3" x14ac:dyDescent="0.45">
      <c r="A8887" s="11">
        <v>105.58</v>
      </c>
      <c r="B8887" s="14">
        <v>0.65352359999999998</v>
      </c>
      <c r="C8887" s="15">
        <v>0.50916229999999996</v>
      </c>
    </row>
    <row r="8888" spans="1:3" x14ac:dyDescent="0.45">
      <c r="A8888" s="11">
        <v>105.59</v>
      </c>
      <c r="B8888" s="14">
        <v>0.65401500000000001</v>
      </c>
      <c r="C8888" s="15">
        <v>0.50968040000000003</v>
      </c>
    </row>
    <row r="8889" spans="1:3" x14ac:dyDescent="0.45">
      <c r="A8889" s="11">
        <v>105.6</v>
      </c>
      <c r="B8889" s="14">
        <v>0.65450640000000004</v>
      </c>
      <c r="C8889" s="15">
        <v>0.51019859999999995</v>
      </c>
    </row>
    <row r="8890" spans="1:3" x14ac:dyDescent="0.45">
      <c r="A8890" s="11">
        <v>105.61</v>
      </c>
      <c r="B8890" s="14">
        <v>0.65499779999999996</v>
      </c>
      <c r="C8890" s="15">
        <v>0.51071679999999997</v>
      </c>
    </row>
    <row r="8891" spans="1:3" x14ac:dyDescent="0.45">
      <c r="A8891" s="11">
        <v>105.62</v>
      </c>
      <c r="B8891" s="14">
        <v>0.65548919999999999</v>
      </c>
      <c r="C8891" s="15">
        <v>0.51123490000000005</v>
      </c>
    </row>
    <row r="8892" spans="1:3" x14ac:dyDescent="0.45">
      <c r="A8892" s="11">
        <v>105.63</v>
      </c>
      <c r="B8892" s="14">
        <v>0.65598060000000002</v>
      </c>
      <c r="C8892" s="15">
        <v>0.51175309999999996</v>
      </c>
    </row>
    <row r="8893" spans="1:3" x14ac:dyDescent="0.45">
      <c r="A8893" s="11">
        <v>105.64</v>
      </c>
      <c r="B8893" s="14">
        <v>0.65647200000000006</v>
      </c>
      <c r="C8893" s="15">
        <v>0.51227120000000004</v>
      </c>
    </row>
    <row r="8894" spans="1:3" x14ac:dyDescent="0.45">
      <c r="A8894" s="11">
        <v>105.65</v>
      </c>
      <c r="B8894" s="14">
        <v>0.65696339999999998</v>
      </c>
      <c r="C8894" s="15">
        <v>0.51278939999999995</v>
      </c>
    </row>
    <row r="8895" spans="1:3" x14ac:dyDescent="0.45">
      <c r="A8895" s="11">
        <v>105.66</v>
      </c>
      <c r="B8895" s="14">
        <v>0.65745469999999995</v>
      </c>
      <c r="C8895" s="15">
        <v>0.51330759999999998</v>
      </c>
    </row>
    <row r="8896" spans="1:3" x14ac:dyDescent="0.45">
      <c r="A8896" s="11">
        <v>105.67</v>
      </c>
      <c r="B8896" s="14">
        <v>0.65794609999999998</v>
      </c>
      <c r="C8896" s="15">
        <v>0.51382570000000005</v>
      </c>
    </row>
    <row r="8897" spans="1:3" x14ac:dyDescent="0.45">
      <c r="A8897" s="11">
        <v>105.68</v>
      </c>
      <c r="B8897" s="14">
        <v>0.65843750000000001</v>
      </c>
      <c r="C8897" s="15">
        <v>0.51434389999999997</v>
      </c>
    </row>
    <row r="8898" spans="1:3" x14ac:dyDescent="0.45">
      <c r="A8898" s="11">
        <v>105.69</v>
      </c>
      <c r="B8898" s="14">
        <v>0.65892890000000004</v>
      </c>
      <c r="C8898" s="15">
        <v>0.51486200000000004</v>
      </c>
    </row>
    <row r="8899" spans="1:3" x14ac:dyDescent="0.45">
      <c r="A8899" s="11">
        <v>105.7</v>
      </c>
      <c r="B8899" s="14">
        <v>0.65942029999999996</v>
      </c>
      <c r="C8899" s="15">
        <v>0.51538019999999996</v>
      </c>
    </row>
    <row r="8900" spans="1:3" x14ac:dyDescent="0.45">
      <c r="A8900" s="11">
        <v>105.71</v>
      </c>
      <c r="B8900" s="14">
        <v>0.65991169999999999</v>
      </c>
      <c r="C8900" s="15">
        <v>0.51589839999999998</v>
      </c>
    </row>
    <row r="8901" spans="1:3" x14ac:dyDescent="0.45">
      <c r="A8901" s="11">
        <v>105.72</v>
      </c>
      <c r="B8901" s="14">
        <v>0.66040310000000002</v>
      </c>
      <c r="C8901" s="15">
        <v>0.51641649999999995</v>
      </c>
    </row>
    <row r="8902" spans="1:3" x14ac:dyDescent="0.45">
      <c r="A8902" s="11">
        <v>105.73</v>
      </c>
      <c r="B8902" s="14">
        <v>0.66089450000000005</v>
      </c>
      <c r="C8902" s="15">
        <v>0.51693469999999997</v>
      </c>
    </row>
    <row r="8903" spans="1:3" x14ac:dyDescent="0.45">
      <c r="A8903" s="11">
        <v>105.74</v>
      </c>
      <c r="B8903" s="14">
        <v>0.66138589999999997</v>
      </c>
      <c r="C8903" s="15">
        <v>0.51745280000000005</v>
      </c>
    </row>
    <row r="8904" spans="1:3" x14ac:dyDescent="0.45">
      <c r="A8904" s="11">
        <v>105.75</v>
      </c>
      <c r="B8904" s="14">
        <v>0.6618773</v>
      </c>
      <c r="C8904" s="15">
        <v>0.51797099999999996</v>
      </c>
    </row>
    <row r="8905" spans="1:3" x14ac:dyDescent="0.45">
      <c r="A8905" s="11">
        <v>105.76</v>
      </c>
      <c r="B8905" s="14">
        <v>0.66236859999999997</v>
      </c>
      <c r="C8905" s="15">
        <v>0.51848919999999998</v>
      </c>
    </row>
    <row r="8906" spans="1:3" x14ac:dyDescent="0.45">
      <c r="A8906" s="11">
        <v>105.77</v>
      </c>
      <c r="B8906" s="14">
        <v>0.66286</v>
      </c>
      <c r="C8906" s="15">
        <v>0.51900729999999995</v>
      </c>
    </row>
    <row r="8907" spans="1:3" x14ac:dyDescent="0.45">
      <c r="A8907" s="11">
        <v>105.78</v>
      </c>
      <c r="B8907" s="14">
        <v>0.66335140000000004</v>
      </c>
      <c r="C8907" s="15">
        <v>0.51952549999999997</v>
      </c>
    </row>
    <row r="8908" spans="1:3" x14ac:dyDescent="0.45">
      <c r="A8908" s="11">
        <v>105.79</v>
      </c>
      <c r="B8908" s="14">
        <v>0.66384279999999996</v>
      </c>
      <c r="C8908" s="15">
        <v>0.52004360000000005</v>
      </c>
    </row>
    <row r="8909" spans="1:3" x14ac:dyDescent="0.45">
      <c r="A8909" s="11">
        <v>105.8</v>
      </c>
      <c r="B8909" s="14">
        <v>0.66433419999999999</v>
      </c>
      <c r="C8909" s="15">
        <v>0.52056179999999996</v>
      </c>
    </row>
    <row r="8910" spans="1:3" x14ac:dyDescent="0.45">
      <c r="A8910" s="11">
        <v>105.81</v>
      </c>
      <c r="B8910" s="14">
        <v>0.66482560000000002</v>
      </c>
      <c r="C8910" s="15">
        <v>0.52107999999999999</v>
      </c>
    </row>
    <row r="8911" spans="1:3" x14ac:dyDescent="0.45">
      <c r="A8911" s="11">
        <v>105.82</v>
      </c>
      <c r="B8911" s="14">
        <v>0.66531700000000005</v>
      </c>
      <c r="C8911" s="15">
        <v>0.52159809999999995</v>
      </c>
    </row>
    <row r="8912" spans="1:3" x14ac:dyDescent="0.45">
      <c r="A8912" s="11">
        <v>105.83</v>
      </c>
      <c r="B8912" s="14">
        <v>0.66580839999999997</v>
      </c>
      <c r="C8912" s="15">
        <v>0.52211629999999998</v>
      </c>
    </row>
    <row r="8913" spans="1:3" x14ac:dyDescent="0.45">
      <c r="A8913" s="11">
        <v>105.84</v>
      </c>
      <c r="B8913" s="14">
        <v>0.6662998</v>
      </c>
      <c r="C8913" s="15">
        <v>0.52263440000000005</v>
      </c>
    </row>
    <row r="8914" spans="1:3" x14ac:dyDescent="0.45">
      <c r="A8914" s="11">
        <v>105.85</v>
      </c>
      <c r="B8914" s="14">
        <v>0.66679109999999997</v>
      </c>
      <c r="C8914" s="15">
        <v>0.52315259999999997</v>
      </c>
    </row>
    <row r="8915" spans="1:3" x14ac:dyDescent="0.45">
      <c r="A8915" s="11">
        <v>105.86</v>
      </c>
      <c r="B8915" s="14">
        <v>0.6672825</v>
      </c>
      <c r="C8915" s="15">
        <v>0.52367079999999999</v>
      </c>
    </row>
    <row r="8916" spans="1:3" x14ac:dyDescent="0.45">
      <c r="A8916" s="11">
        <v>105.87</v>
      </c>
      <c r="B8916" s="14">
        <v>0.66777390000000003</v>
      </c>
      <c r="C8916" s="15">
        <v>0.52418889999999996</v>
      </c>
    </row>
    <row r="8917" spans="1:3" x14ac:dyDescent="0.45">
      <c r="A8917" s="11">
        <v>105.88</v>
      </c>
      <c r="B8917" s="14">
        <v>0.66826529999999995</v>
      </c>
      <c r="C8917" s="15">
        <v>0.52470709999999998</v>
      </c>
    </row>
    <row r="8918" spans="1:3" x14ac:dyDescent="0.45">
      <c r="A8918" s="11">
        <v>105.89</v>
      </c>
      <c r="B8918" s="14">
        <v>0.66875669999999998</v>
      </c>
      <c r="C8918" s="15">
        <v>0.52522519999999995</v>
      </c>
    </row>
    <row r="8919" spans="1:3" x14ac:dyDescent="0.45">
      <c r="A8919" s="11">
        <v>105.9</v>
      </c>
      <c r="B8919" s="14">
        <v>0.66924810000000001</v>
      </c>
      <c r="C8919" s="15">
        <v>0.52574339999999997</v>
      </c>
    </row>
    <row r="8920" spans="1:3" x14ac:dyDescent="0.45">
      <c r="A8920" s="11">
        <v>105.91</v>
      </c>
      <c r="B8920" s="14">
        <v>0.66973950000000004</v>
      </c>
      <c r="C8920" s="15">
        <v>0.5262616</v>
      </c>
    </row>
    <row r="8921" spans="1:3" x14ac:dyDescent="0.45">
      <c r="A8921" s="11">
        <v>105.92</v>
      </c>
      <c r="B8921" s="14">
        <v>0.67023089999999996</v>
      </c>
      <c r="C8921" s="15">
        <v>0.52677969999999996</v>
      </c>
    </row>
    <row r="8922" spans="1:3" x14ac:dyDescent="0.45">
      <c r="A8922" s="11">
        <v>105.93</v>
      </c>
      <c r="B8922" s="14">
        <v>0.67072229999999999</v>
      </c>
      <c r="C8922" s="15">
        <v>0.52729789999999999</v>
      </c>
    </row>
    <row r="8923" spans="1:3" x14ac:dyDescent="0.45">
      <c r="A8923" s="11">
        <v>105.94</v>
      </c>
      <c r="B8923" s="14">
        <v>0.67121370000000002</v>
      </c>
      <c r="C8923" s="15">
        <v>0.52781599999999995</v>
      </c>
    </row>
    <row r="8924" spans="1:3" x14ac:dyDescent="0.45">
      <c r="A8924" s="11">
        <v>105.95</v>
      </c>
      <c r="B8924" s="14">
        <v>0.671705</v>
      </c>
      <c r="C8924" s="15">
        <v>0.52833419999999998</v>
      </c>
    </row>
    <row r="8925" spans="1:3" x14ac:dyDescent="0.45">
      <c r="A8925" s="11">
        <v>105.96</v>
      </c>
      <c r="B8925" s="14">
        <v>0.67219640000000003</v>
      </c>
      <c r="C8925" s="15">
        <v>0.5288524</v>
      </c>
    </row>
    <row r="8926" spans="1:3" x14ac:dyDescent="0.45">
      <c r="A8926" s="11">
        <v>105.97</v>
      </c>
      <c r="B8926" s="14">
        <v>0.67268779999999995</v>
      </c>
      <c r="C8926" s="15">
        <v>0.52937049999999997</v>
      </c>
    </row>
    <row r="8927" spans="1:3" x14ac:dyDescent="0.45">
      <c r="A8927" s="11">
        <v>105.98</v>
      </c>
      <c r="B8927" s="14">
        <v>0.67317919999999998</v>
      </c>
      <c r="C8927" s="15">
        <v>0.52988869999999999</v>
      </c>
    </row>
    <row r="8928" spans="1:3" x14ac:dyDescent="0.45">
      <c r="A8928" s="11">
        <v>105.99</v>
      </c>
      <c r="B8928" s="14">
        <v>0.67367060000000001</v>
      </c>
      <c r="C8928" s="15">
        <v>0.53040679999999996</v>
      </c>
    </row>
    <row r="8929" spans="1:3" x14ac:dyDescent="0.45">
      <c r="A8929" s="11">
        <v>106</v>
      </c>
      <c r="B8929" s="14">
        <v>0.67416200000000004</v>
      </c>
      <c r="C8929" s="15">
        <v>0.53092499999999998</v>
      </c>
    </row>
    <row r="8930" spans="1:3" x14ac:dyDescent="0.45">
      <c r="A8930" s="11">
        <v>106.01</v>
      </c>
      <c r="B8930" s="14">
        <v>0.67468479999999997</v>
      </c>
      <c r="C8930" s="15">
        <v>0.53149919999999995</v>
      </c>
    </row>
    <row r="8931" spans="1:3" x14ac:dyDescent="0.45">
      <c r="A8931" s="11">
        <v>106.02</v>
      </c>
      <c r="B8931" s="14">
        <v>0.67520760000000002</v>
      </c>
      <c r="C8931" s="15">
        <v>0.53207340000000003</v>
      </c>
    </row>
    <row r="8932" spans="1:3" x14ac:dyDescent="0.45">
      <c r="A8932" s="11">
        <v>106.03</v>
      </c>
      <c r="B8932" s="14">
        <v>0.67573039999999995</v>
      </c>
      <c r="C8932" s="15">
        <v>0.5326476</v>
      </c>
    </row>
    <row r="8933" spans="1:3" x14ac:dyDescent="0.45">
      <c r="A8933" s="11">
        <v>106.04</v>
      </c>
      <c r="B8933" s="14">
        <v>0.6762532</v>
      </c>
      <c r="C8933" s="15">
        <v>0.53322179999999997</v>
      </c>
    </row>
    <row r="8934" spans="1:3" x14ac:dyDescent="0.45">
      <c r="A8934" s="11">
        <v>106.05</v>
      </c>
      <c r="B8934" s="14">
        <v>0.67677600000000004</v>
      </c>
      <c r="C8934" s="15">
        <v>0.53379600000000005</v>
      </c>
    </row>
    <row r="8935" spans="1:3" x14ac:dyDescent="0.45">
      <c r="A8935" s="11">
        <v>106.06</v>
      </c>
      <c r="B8935" s="14">
        <v>0.67729890000000004</v>
      </c>
      <c r="C8935" s="15">
        <v>0.53437029999999996</v>
      </c>
    </row>
    <row r="8936" spans="1:3" x14ac:dyDescent="0.45">
      <c r="A8936" s="11">
        <v>106.07</v>
      </c>
      <c r="B8936" s="14">
        <v>0.67782169999999997</v>
      </c>
      <c r="C8936" s="15">
        <v>0.53494450000000004</v>
      </c>
    </row>
    <row r="8937" spans="1:3" x14ac:dyDescent="0.45">
      <c r="A8937" s="11">
        <v>106.08</v>
      </c>
      <c r="B8937" s="14">
        <v>0.67834450000000002</v>
      </c>
      <c r="C8937" s="15">
        <v>0.53551870000000001</v>
      </c>
    </row>
    <row r="8938" spans="1:3" x14ac:dyDescent="0.45">
      <c r="A8938" s="11">
        <v>106.09</v>
      </c>
      <c r="B8938" s="14">
        <v>0.67886729999999995</v>
      </c>
      <c r="C8938" s="15">
        <v>0.53609289999999998</v>
      </c>
    </row>
    <row r="8939" spans="1:3" x14ac:dyDescent="0.45">
      <c r="A8939" s="11">
        <v>106.1</v>
      </c>
      <c r="B8939" s="14">
        <v>0.6793901</v>
      </c>
      <c r="C8939" s="15">
        <v>0.53666709999999995</v>
      </c>
    </row>
    <row r="8940" spans="1:3" x14ac:dyDescent="0.45">
      <c r="A8940" s="11">
        <v>106.11</v>
      </c>
      <c r="B8940" s="14">
        <v>0.67991290000000004</v>
      </c>
      <c r="C8940" s="15">
        <v>0.53724130000000003</v>
      </c>
    </row>
    <row r="8941" spans="1:3" x14ac:dyDescent="0.45">
      <c r="A8941" s="11">
        <v>106.12</v>
      </c>
      <c r="B8941" s="14">
        <v>0.68043569999999998</v>
      </c>
      <c r="C8941" s="15">
        <v>0.5378155</v>
      </c>
    </row>
    <row r="8942" spans="1:3" x14ac:dyDescent="0.45">
      <c r="A8942" s="11">
        <v>106.13</v>
      </c>
      <c r="B8942" s="14">
        <v>0.68095850000000002</v>
      </c>
      <c r="C8942" s="15">
        <v>0.53838969999999997</v>
      </c>
    </row>
    <row r="8943" spans="1:3" x14ac:dyDescent="0.45">
      <c r="A8943" s="11">
        <v>106.14</v>
      </c>
      <c r="B8943" s="14">
        <v>0.68148129999999996</v>
      </c>
      <c r="C8943" s="15">
        <v>0.53896390000000005</v>
      </c>
    </row>
    <row r="8944" spans="1:3" x14ac:dyDescent="0.45">
      <c r="A8944" s="11">
        <v>106.15</v>
      </c>
      <c r="B8944" s="14">
        <v>0.68200419999999995</v>
      </c>
      <c r="C8944" s="15">
        <v>0.53953819999999997</v>
      </c>
    </row>
    <row r="8945" spans="1:3" x14ac:dyDescent="0.45">
      <c r="A8945" s="11">
        <v>106.16</v>
      </c>
      <c r="B8945" s="14">
        <v>0.68252699999999999</v>
      </c>
      <c r="C8945" s="15">
        <v>0.54011240000000005</v>
      </c>
    </row>
    <row r="8946" spans="1:3" x14ac:dyDescent="0.45">
      <c r="A8946" s="11">
        <v>106.17</v>
      </c>
      <c r="B8946" s="14">
        <v>0.68304980000000004</v>
      </c>
      <c r="C8946" s="15">
        <v>0.54068660000000002</v>
      </c>
    </row>
    <row r="8947" spans="1:3" x14ac:dyDescent="0.45">
      <c r="A8947" s="11">
        <v>106.18</v>
      </c>
      <c r="B8947" s="14">
        <v>0.68357259999999997</v>
      </c>
      <c r="C8947" s="15">
        <v>0.54126079999999999</v>
      </c>
    </row>
    <row r="8948" spans="1:3" x14ac:dyDescent="0.45">
      <c r="A8948" s="11">
        <v>106.19</v>
      </c>
      <c r="B8948" s="14">
        <v>0.68409540000000002</v>
      </c>
      <c r="C8948" s="15">
        <v>0.54183499999999996</v>
      </c>
    </row>
    <row r="8949" spans="1:3" x14ac:dyDescent="0.45">
      <c r="A8949" s="11">
        <v>106.2</v>
      </c>
      <c r="B8949" s="14">
        <v>0.68461819999999995</v>
      </c>
      <c r="C8949" s="15">
        <v>0.54240920000000004</v>
      </c>
    </row>
    <row r="8950" spans="1:3" x14ac:dyDescent="0.45">
      <c r="A8950" s="11">
        <v>106.21</v>
      </c>
      <c r="B8950" s="14">
        <v>0.685141</v>
      </c>
      <c r="C8950" s="15">
        <v>0.5429834</v>
      </c>
    </row>
    <row r="8951" spans="1:3" x14ac:dyDescent="0.45">
      <c r="A8951" s="11">
        <v>106.22</v>
      </c>
      <c r="B8951" s="14">
        <v>0.68566380000000005</v>
      </c>
      <c r="C8951" s="15">
        <v>0.54355759999999997</v>
      </c>
    </row>
    <row r="8952" spans="1:3" x14ac:dyDescent="0.45">
      <c r="A8952" s="11">
        <v>106.23</v>
      </c>
      <c r="B8952" s="14">
        <v>0.68618659999999998</v>
      </c>
      <c r="C8952" s="15">
        <v>0.54413180000000005</v>
      </c>
    </row>
    <row r="8953" spans="1:3" x14ac:dyDescent="0.45">
      <c r="A8953" s="11">
        <v>106.24</v>
      </c>
      <c r="B8953" s="14">
        <v>0.68670940000000003</v>
      </c>
      <c r="C8953" s="15">
        <v>0.54470600000000002</v>
      </c>
    </row>
    <row r="8954" spans="1:3" x14ac:dyDescent="0.45">
      <c r="A8954" s="11">
        <v>106.25</v>
      </c>
      <c r="B8954" s="14">
        <v>0.68723230000000002</v>
      </c>
      <c r="C8954" s="15">
        <v>0.54528030000000005</v>
      </c>
    </row>
    <row r="8955" spans="1:3" x14ac:dyDescent="0.45">
      <c r="A8955" s="11">
        <v>106.26</v>
      </c>
      <c r="B8955" s="14">
        <v>0.68775500000000001</v>
      </c>
      <c r="C8955" s="15">
        <v>0.54585450000000002</v>
      </c>
    </row>
    <row r="8956" spans="1:3" x14ac:dyDescent="0.45">
      <c r="A8956" s="11">
        <v>106.27</v>
      </c>
      <c r="B8956" s="14">
        <v>0.6882779</v>
      </c>
      <c r="C8956" s="15">
        <v>0.54642869999999999</v>
      </c>
    </row>
    <row r="8957" spans="1:3" x14ac:dyDescent="0.45">
      <c r="A8957" s="11">
        <v>106.28</v>
      </c>
      <c r="B8957" s="14">
        <v>0.68880070000000004</v>
      </c>
      <c r="C8957" s="15">
        <v>0.54700289999999996</v>
      </c>
    </row>
    <row r="8958" spans="1:3" x14ac:dyDescent="0.45">
      <c r="A8958" s="11">
        <v>106.29</v>
      </c>
      <c r="B8958" s="14">
        <v>0.68932349999999998</v>
      </c>
      <c r="C8958" s="15">
        <v>0.54757710000000004</v>
      </c>
    </row>
    <row r="8959" spans="1:3" x14ac:dyDescent="0.45">
      <c r="A8959" s="11">
        <v>106.3</v>
      </c>
      <c r="B8959" s="14">
        <v>0.68984630000000002</v>
      </c>
      <c r="C8959" s="15">
        <v>0.54815130000000001</v>
      </c>
    </row>
    <row r="8960" spans="1:3" x14ac:dyDescent="0.45">
      <c r="A8960" s="11">
        <v>106.31</v>
      </c>
      <c r="B8960" s="14">
        <v>0.69036909999999996</v>
      </c>
      <c r="C8960" s="15">
        <v>0.54872549999999998</v>
      </c>
    </row>
    <row r="8961" spans="1:3" x14ac:dyDescent="0.45">
      <c r="A8961" s="11">
        <v>106.32</v>
      </c>
      <c r="B8961" s="14">
        <v>0.6908919</v>
      </c>
      <c r="C8961" s="15">
        <v>0.54929969999999995</v>
      </c>
    </row>
    <row r="8962" spans="1:3" x14ac:dyDescent="0.45">
      <c r="A8962" s="11">
        <v>106.33</v>
      </c>
      <c r="B8962" s="14">
        <v>0.69141470000000005</v>
      </c>
      <c r="C8962" s="15">
        <v>0.54987390000000003</v>
      </c>
    </row>
    <row r="8963" spans="1:3" x14ac:dyDescent="0.45">
      <c r="A8963" s="11">
        <v>106.34</v>
      </c>
      <c r="B8963" s="14">
        <v>0.69193749999999998</v>
      </c>
      <c r="C8963" s="15">
        <v>0.5504481</v>
      </c>
    </row>
    <row r="8964" spans="1:3" x14ac:dyDescent="0.45">
      <c r="A8964" s="11">
        <v>106.35</v>
      </c>
      <c r="B8964" s="14">
        <v>0.69246030000000003</v>
      </c>
      <c r="C8964" s="15">
        <v>0.55102229999999996</v>
      </c>
    </row>
    <row r="8965" spans="1:3" x14ac:dyDescent="0.45">
      <c r="A8965" s="11">
        <v>106.36</v>
      </c>
      <c r="B8965" s="14">
        <v>0.69298320000000002</v>
      </c>
      <c r="C8965" s="15">
        <v>0.55159659999999999</v>
      </c>
    </row>
    <row r="8966" spans="1:3" x14ac:dyDescent="0.45">
      <c r="A8966" s="11">
        <v>106.37</v>
      </c>
      <c r="B8966" s="14">
        <v>0.69350599999999996</v>
      </c>
      <c r="C8966" s="15">
        <v>0.55217079999999996</v>
      </c>
    </row>
    <row r="8967" spans="1:3" x14ac:dyDescent="0.45">
      <c r="A8967" s="11">
        <v>106.38</v>
      </c>
      <c r="B8967" s="14">
        <v>0.6940288</v>
      </c>
      <c r="C8967" s="15">
        <v>0.55274500000000004</v>
      </c>
    </row>
    <row r="8968" spans="1:3" x14ac:dyDescent="0.45">
      <c r="A8968" s="11">
        <v>106.39</v>
      </c>
      <c r="B8968" s="14">
        <v>0.69455160000000005</v>
      </c>
      <c r="C8968" s="15">
        <v>0.55331920000000001</v>
      </c>
    </row>
    <row r="8969" spans="1:3" x14ac:dyDescent="0.45">
      <c r="A8969" s="11">
        <v>106.4</v>
      </c>
      <c r="B8969" s="14">
        <v>0.69507439999999998</v>
      </c>
      <c r="C8969" s="15">
        <v>0.55389339999999998</v>
      </c>
    </row>
    <row r="8970" spans="1:3" x14ac:dyDescent="0.45">
      <c r="A8970" s="11">
        <v>106.41</v>
      </c>
      <c r="B8970" s="14">
        <v>0.69559720000000003</v>
      </c>
      <c r="C8970" s="15">
        <v>0.55446759999999995</v>
      </c>
    </row>
    <row r="8971" spans="1:3" x14ac:dyDescent="0.45">
      <c r="A8971" s="11">
        <v>106.42</v>
      </c>
      <c r="B8971" s="14">
        <v>0.69611999999999996</v>
      </c>
      <c r="C8971" s="15">
        <v>0.55504180000000003</v>
      </c>
    </row>
    <row r="8972" spans="1:3" x14ac:dyDescent="0.45">
      <c r="A8972" s="11">
        <v>106.43</v>
      </c>
      <c r="B8972" s="14">
        <v>0.69664280000000001</v>
      </c>
      <c r="C8972" s="15">
        <v>0.555616</v>
      </c>
    </row>
    <row r="8973" spans="1:3" x14ac:dyDescent="0.45">
      <c r="A8973" s="11">
        <v>106.44</v>
      </c>
      <c r="B8973" s="14">
        <v>0.69716560000000005</v>
      </c>
      <c r="C8973" s="15">
        <v>0.55619019999999997</v>
      </c>
    </row>
    <row r="8974" spans="1:3" x14ac:dyDescent="0.45">
      <c r="A8974" s="11">
        <v>106.45</v>
      </c>
      <c r="B8974" s="14">
        <v>0.69768850000000004</v>
      </c>
      <c r="C8974" s="15">
        <v>0.5567645</v>
      </c>
    </row>
    <row r="8975" spans="1:3" x14ac:dyDescent="0.45">
      <c r="A8975" s="11">
        <v>106.46</v>
      </c>
      <c r="B8975" s="14">
        <v>0.69821129999999998</v>
      </c>
      <c r="C8975" s="15">
        <v>0.55733869999999996</v>
      </c>
    </row>
    <row r="8976" spans="1:3" x14ac:dyDescent="0.45">
      <c r="A8976" s="11">
        <v>106.47</v>
      </c>
      <c r="B8976" s="14">
        <v>0.69873410000000002</v>
      </c>
      <c r="C8976" s="15">
        <v>0.55791290000000004</v>
      </c>
    </row>
    <row r="8977" spans="1:3" x14ac:dyDescent="0.45">
      <c r="A8977" s="11">
        <v>106.48</v>
      </c>
      <c r="B8977" s="14">
        <v>0.69925689999999996</v>
      </c>
      <c r="C8977" s="15">
        <v>0.55848710000000001</v>
      </c>
    </row>
    <row r="8978" spans="1:3" x14ac:dyDescent="0.45">
      <c r="A8978" s="11">
        <v>106.49</v>
      </c>
      <c r="B8978" s="14">
        <v>0.6997797</v>
      </c>
      <c r="C8978" s="15">
        <v>0.55906129999999998</v>
      </c>
    </row>
    <row r="8979" spans="1:3" x14ac:dyDescent="0.45">
      <c r="A8979" s="11">
        <v>106.5</v>
      </c>
      <c r="B8979" s="14">
        <v>0.70030250000000005</v>
      </c>
      <c r="C8979" s="15">
        <v>0.55963549999999995</v>
      </c>
    </row>
    <row r="8980" spans="1:3" x14ac:dyDescent="0.45">
      <c r="A8980" s="11">
        <v>106.51</v>
      </c>
      <c r="B8980" s="14">
        <v>0.70082529999999998</v>
      </c>
      <c r="C8980" s="15">
        <v>0.56020970000000003</v>
      </c>
    </row>
    <row r="8981" spans="1:3" x14ac:dyDescent="0.45">
      <c r="A8981" s="11">
        <v>106.52</v>
      </c>
      <c r="B8981" s="14">
        <v>0.70134810000000003</v>
      </c>
      <c r="C8981" s="15">
        <v>0.5607839</v>
      </c>
    </row>
    <row r="8982" spans="1:3" x14ac:dyDescent="0.45">
      <c r="A8982" s="11">
        <v>106.53</v>
      </c>
      <c r="B8982" s="14">
        <v>0.70187100000000002</v>
      </c>
      <c r="C8982" s="15">
        <v>0.56135809999999997</v>
      </c>
    </row>
    <row r="8983" spans="1:3" x14ac:dyDescent="0.45">
      <c r="A8983" s="11">
        <v>106.54</v>
      </c>
      <c r="B8983" s="14">
        <v>0.70239370000000001</v>
      </c>
      <c r="C8983" s="15">
        <v>0.56193230000000005</v>
      </c>
    </row>
    <row r="8984" spans="1:3" x14ac:dyDescent="0.45">
      <c r="A8984" s="11">
        <v>106.55</v>
      </c>
      <c r="B8984" s="14">
        <v>0.70291650000000006</v>
      </c>
      <c r="C8984" s="15">
        <v>0.56250650000000002</v>
      </c>
    </row>
    <row r="8985" spans="1:3" x14ac:dyDescent="0.45">
      <c r="A8985" s="11">
        <v>106.56</v>
      </c>
      <c r="B8985" s="14">
        <v>0.70343940000000005</v>
      </c>
      <c r="C8985" s="15">
        <v>0.56308080000000005</v>
      </c>
    </row>
    <row r="8986" spans="1:3" x14ac:dyDescent="0.45">
      <c r="A8986" s="11">
        <v>106.57</v>
      </c>
      <c r="B8986" s="14">
        <v>0.70396219999999998</v>
      </c>
      <c r="C8986" s="15">
        <v>0.56365500000000002</v>
      </c>
    </row>
    <row r="8987" spans="1:3" x14ac:dyDescent="0.45">
      <c r="A8987" s="11">
        <v>106.58</v>
      </c>
      <c r="B8987" s="14">
        <v>0.70448500000000003</v>
      </c>
      <c r="C8987" s="15">
        <v>0.56422919999999999</v>
      </c>
    </row>
    <row r="8988" spans="1:3" x14ac:dyDescent="0.45">
      <c r="A8988" s="11">
        <v>106.59</v>
      </c>
      <c r="B8988" s="14">
        <v>0.70500779999999996</v>
      </c>
      <c r="C8988" s="15">
        <v>0.56480339999999996</v>
      </c>
    </row>
    <row r="8989" spans="1:3" x14ac:dyDescent="0.45">
      <c r="A8989" s="11">
        <v>106.6</v>
      </c>
      <c r="B8989" s="14">
        <v>0.70553060000000001</v>
      </c>
      <c r="C8989" s="15">
        <v>0.56537760000000004</v>
      </c>
    </row>
    <row r="8990" spans="1:3" x14ac:dyDescent="0.45">
      <c r="A8990" s="11">
        <v>106.61</v>
      </c>
      <c r="B8990" s="14">
        <v>0.70605340000000005</v>
      </c>
      <c r="C8990" s="15">
        <v>0.5659518</v>
      </c>
    </row>
    <row r="8991" spans="1:3" x14ac:dyDescent="0.45">
      <c r="A8991" s="11">
        <v>106.62</v>
      </c>
      <c r="B8991" s="14">
        <v>0.70657619999999999</v>
      </c>
      <c r="C8991" s="15">
        <v>0.56652599999999997</v>
      </c>
    </row>
    <row r="8992" spans="1:3" x14ac:dyDescent="0.45">
      <c r="A8992" s="11">
        <v>106.63</v>
      </c>
      <c r="B8992" s="14">
        <v>0.70709900000000003</v>
      </c>
      <c r="C8992" s="15">
        <v>0.56710020000000005</v>
      </c>
    </row>
    <row r="8993" spans="1:3" x14ac:dyDescent="0.45">
      <c r="A8993" s="11">
        <v>106.64</v>
      </c>
      <c r="B8993" s="14">
        <v>0.70762179999999997</v>
      </c>
      <c r="C8993" s="15">
        <v>0.56767440000000002</v>
      </c>
    </row>
    <row r="8994" spans="1:3" x14ac:dyDescent="0.45">
      <c r="A8994" s="11">
        <v>106.65</v>
      </c>
      <c r="B8994" s="14">
        <v>0.70814469999999996</v>
      </c>
      <c r="C8994" s="15">
        <v>0.56824870000000005</v>
      </c>
    </row>
    <row r="8995" spans="1:3" x14ac:dyDescent="0.45">
      <c r="A8995" s="11">
        <v>106.66</v>
      </c>
      <c r="B8995" s="14">
        <v>0.70866750000000001</v>
      </c>
      <c r="C8995" s="15">
        <v>0.56882290000000002</v>
      </c>
    </row>
    <row r="8996" spans="1:3" x14ac:dyDescent="0.45">
      <c r="A8996" s="11">
        <v>106.67</v>
      </c>
      <c r="B8996" s="14">
        <v>0.70919030000000005</v>
      </c>
      <c r="C8996" s="15">
        <v>0.56939709999999999</v>
      </c>
    </row>
    <row r="8997" spans="1:3" x14ac:dyDescent="0.45">
      <c r="A8997" s="11">
        <v>106.68</v>
      </c>
      <c r="B8997" s="14">
        <v>0.70971309999999999</v>
      </c>
      <c r="C8997" s="15">
        <v>0.56997129999999996</v>
      </c>
    </row>
    <row r="8998" spans="1:3" x14ac:dyDescent="0.45">
      <c r="A8998" s="11">
        <v>106.69</v>
      </c>
      <c r="B8998" s="14">
        <v>0.71023590000000003</v>
      </c>
      <c r="C8998" s="15">
        <v>0.57054550000000004</v>
      </c>
    </row>
    <row r="8999" spans="1:3" x14ac:dyDescent="0.45">
      <c r="A8999" s="11">
        <v>106.7</v>
      </c>
      <c r="B8999" s="14">
        <v>0.71075869999999997</v>
      </c>
      <c r="C8999" s="15">
        <v>0.57111970000000001</v>
      </c>
    </row>
    <row r="9000" spans="1:3" x14ac:dyDescent="0.45">
      <c r="A9000" s="11">
        <v>106.71</v>
      </c>
      <c r="B9000" s="14">
        <v>0.71128150000000001</v>
      </c>
      <c r="C9000" s="15">
        <v>0.57169389999999998</v>
      </c>
    </row>
    <row r="9001" spans="1:3" x14ac:dyDescent="0.45">
      <c r="A9001" s="11">
        <v>106.72</v>
      </c>
      <c r="B9001" s="14">
        <v>0.71180429999999995</v>
      </c>
      <c r="C9001" s="15">
        <v>0.57226809999999995</v>
      </c>
    </row>
    <row r="9002" spans="1:3" x14ac:dyDescent="0.45">
      <c r="A9002" s="11">
        <v>106.73</v>
      </c>
      <c r="B9002" s="14">
        <v>0.71232709999999999</v>
      </c>
      <c r="C9002" s="15">
        <v>0.57284230000000003</v>
      </c>
    </row>
    <row r="9003" spans="1:3" x14ac:dyDescent="0.45">
      <c r="A9003" s="11">
        <v>106.74</v>
      </c>
      <c r="B9003" s="14">
        <v>0.71284999999999998</v>
      </c>
      <c r="C9003" s="15">
        <v>0.5734165</v>
      </c>
    </row>
    <row r="9004" spans="1:3" x14ac:dyDescent="0.45">
      <c r="A9004" s="11">
        <v>106.75</v>
      </c>
      <c r="B9004" s="14">
        <v>0.71337280000000003</v>
      </c>
      <c r="C9004" s="15">
        <v>0.57399069999999996</v>
      </c>
    </row>
    <row r="9005" spans="1:3" x14ac:dyDescent="0.45">
      <c r="A9005" s="11">
        <v>106.76</v>
      </c>
      <c r="B9005" s="14">
        <v>0.71389559999999996</v>
      </c>
      <c r="C9005" s="15">
        <v>0.57456499999999999</v>
      </c>
    </row>
    <row r="9006" spans="1:3" x14ac:dyDescent="0.45">
      <c r="A9006" s="11">
        <v>106.77</v>
      </c>
      <c r="B9006" s="14">
        <v>0.71441840000000001</v>
      </c>
      <c r="C9006" s="15">
        <v>0.57513919999999996</v>
      </c>
    </row>
    <row r="9007" spans="1:3" x14ac:dyDescent="0.45">
      <c r="A9007" s="11">
        <v>106.78</v>
      </c>
      <c r="B9007" s="14">
        <v>0.71494120000000005</v>
      </c>
      <c r="C9007" s="15">
        <v>0.57571340000000004</v>
      </c>
    </row>
    <row r="9008" spans="1:3" x14ac:dyDescent="0.45">
      <c r="A9008" s="11">
        <v>106.79</v>
      </c>
      <c r="B9008" s="14">
        <v>0.71546399999999999</v>
      </c>
      <c r="C9008" s="15">
        <v>0.57628760000000001</v>
      </c>
    </row>
    <row r="9009" spans="1:3" x14ac:dyDescent="0.45">
      <c r="A9009" s="11">
        <v>106.8</v>
      </c>
      <c r="B9009" s="14">
        <v>0.71598680000000003</v>
      </c>
      <c r="C9009" s="15">
        <v>0.57686179999999998</v>
      </c>
    </row>
    <row r="9010" spans="1:3" x14ac:dyDescent="0.45">
      <c r="A9010" s="11">
        <v>106.81</v>
      </c>
      <c r="B9010" s="14">
        <v>0.71650959999999997</v>
      </c>
      <c r="C9010" s="15">
        <v>0.57743599999999995</v>
      </c>
    </row>
    <row r="9011" spans="1:3" x14ac:dyDescent="0.45">
      <c r="A9011" s="11">
        <v>106.82</v>
      </c>
      <c r="B9011" s="14">
        <v>0.71703240000000001</v>
      </c>
      <c r="C9011" s="15">
        <v>0.57801020000000003</v>
      </c>
    </row>
    <row r="9012" spans="1:3" x14ac:dyDescent="0.45">
      <c r="A9012" s="11">
        <v>106.83</v>
      </c>
      <c r="B9012" s="14">
        <v>0.71755519999999995</v>
      </c>
      <c r="C9012" s="15">
        <v>0.5785844</v>
      </c>
    </row>
    <row r="9013" spans="1:3" x14ac:dyDescent="0.45">
      <c r="A9013" s="11">
        <v>106.84</v>
      </c>
      <c r="B9013" s="14">
        <v>0.71807799999999999</v>
      </c>
      <c r="C9013" s="15">
        <v>0.57915859999999997</v>
      </c>
    </row>
    <row r="9014" spans="1:3" x14ac:dyDescent="0.45">
      <c r="A9014" s="11">
        <v>106.85</v>
      </c>
      <c r="B9014" s="14">
        <v>0.71860080000000004</v>
      </c>
      <c r="C9014" s="15">
        <v>0.57973280000000005</v>
      </c>
    </row>
    <row r="9015" spans="1:3" x14ac:dyDescent="0.45">
      <c r="A9015" s="11">
        <v>106.86</v>
      </c>
      <c r="B9015" s="14">
        <v>0.71912370000000003</v>
      </c>
      <c r="C9015" s="15">
        <v>0.58030709999999996</v>
      </c>
    </row>
    <row r="9016" spans="1:3" x14ac:dyDescent="0.45">
      <c r="A9016" s="11">
        <v>106.87</v>
      </c>
      <c r="B9016" s="14">
        <v>0.71964649999999997</v>
      </c>
      <c r="C9016" s="15">
        <v>0.58088130000000004</v>
      </c>
    </row>
    <row r="9017" spans="1:3" x14ac:dyDescent="0.45">
      <c r="A9017" s="11">
        <v>106.88</v>
      </c>
      <c r="B9017" s="14">
        <v>0.72016930000000001</v>
      </c>
      <c r="C9017" s="15">
        <v>0.58145550000000001</v>
      </c>
    </row>
    <row r="9018" spans="1:3" x14ac:dyDescent="0.45">
      <c r="A9018" s="11">
        <v>106.89</v>
      </c>
      <c r="B9018" s="14">
        <v>0.72069209999999995</v>
      </c>
      <c r="C9018" s="15">
        <v>0.58202969999999998</v>
      </c>
    </row>
    <row r="9019" spans="1:3" x14ac:dyDescent="0.45">
      <c r="A9019" s="11">
        <v>106.9</v>
      </c>
      <c r="B9019" s="14">
        <v>0.72121489999999999</v>
      </c>
      <c r="C9019" s="15">
        <v>0.58260389999999995</v>
      </c>
    </row>
    <row r="9020" spans="1:3" x14ac:dyDescent="0.45">
      <c r="A9020" s="11">
        <v>106.91</v>
      </c>
      <c r="B9020" s="14">
        <v>0.72173770000000004</v>
      </c>
      <c r="C9020" s="15">
        <v>0.58317810000000003</v>
      </c>
    </row>
    <row r="9021" spans="1:3" x14ac:dyDescent="0.45">
      <c r="A9021" s="11">
        <v>106.92</v>
      </c>
      <c r="B9021" s="14">
        <v>0.72226049999999997</v>
      </c>
      <c r="C9021" s="15">
        <v>0.5837523</v>
      </c>
    </row>
    <row r="9022" spans="1:3" x14ac:dyDescent="0.45">
      <c r="A9022" s="11">
        <v>106.93</v>
      </c>
      <c r="B9022" s="14">
        <v>0.72278330000000002</v>
      </c>
      <c r="C9022" s="15">
        <v>0.58432649999999997</v>
      </c>
    </row>
    <row r="9023" spans="1:3" x14ac:dyDescent="0.45">
      <c r="A9023" s="11">
        <v>106.94</v>
      </c>
      <c r="B9023" s="14">
        <v>0.72330609999999995</v>
      </c>
      <c r="C9023" s="15">
        <v>0.58490070000000005</v>
      </c>
    </row>
    <row r="9024" spans="1:3" x14ac:dyDescent="0.45">
      <c r="A9024" s="11">
        <v>106.95</v>
      </c>
      <c r="B9024" s="14">
        <v>0.72382899999999994</v>
      </c>
      <c r="C9024" s="15">
        <v>0.58547499999999997</v>
      </c>
    </row>
    <row r="9025" spans="1:3" x14ac:dyDescent="0.45">
      <c r="A9025" s="11">
        <v>106.96</v>
      </c>
      <c r="B9025" s="14">
        <v>0.72435179999999999</v>
      </c>
      <c r="C9025" s="15">
        <v>0.58604920000000005</v>
      </c>
    </row>
    <row r="9026" spans="1:3" x14ac:dyDescent="0.45">
      <c r="A9026" s="11">
        <v>106.97</v>
      </c>
      <c r="B9026" s="14">
        <v>0.72487460000000004</v>
      </c>
      <c r="C9026" s="15">
        <v>0.58662340000000002</v>
      </c>
    </row>
    <row r="9027" spans="1:3" x14ac:dyDescent="0.45">
      <c r="A9027" s="11">
        <v>106.98</v>
      </c>
      <c r="B9027" s="14">
        <v>0.72539739999999997</v>
      </c>
      <c r="C9027" s="15">
        <v>0.58719759999999999</v>
      </c>
    </row>
    <row r="9028" spans="1:3" x14ac:dyDescent="0.45">
      <c r="A9028" s="11">
        <v>106.99</v>
      </c>
      <c r="B9028" s="14">
        <v>0.72592020000000002</v>
      </c>
      <c r="C9028" s="15">
        <v>0.58777179999999996</v>
      </c>
    </row>
    <row r="9029" spans="1:3" x14ac:dyDescent="0.45">
      <c r="A9029" s="11">
        <v>107</v>
      </c>
      <c r="B9029" s="14">
        <v>0.72644299999999995</v>
      </c>
      <c r="C9029" s="15">
        <v>0.58834600000000004</v>
      </c>
    </row>
    <row r="9030" spans="1:3" x14ac:dyDescent="0.45">
      <c r="A9030" s="11">
        <v>107.01</v>
      </c>
      <c r="B9030" s="14">
        <v>0.72699860000000005</v>
      </c>
      <c r="C9030" s="15">
        <v>0.58898229999999996</v>
      </c>
    </row>
    <row r="9031" spans="1:3" x14ac:dyDescent="0.45">
      <c r="A9031" s="11">
        <v>107.02</v>
      </c>
      <c r="B9031" s="14">
        <v>0.72755420000000004</v>
      </c>
      <c r="C9031" s="15">
        <v>0.58961870000000005</v>
      </c>
    </row>
    <row r="9032" spans="1:3" x14ac:dyDescent="0.45">
      <c r="A9032" s="11">
        <v>107.03</v>
      </c>
      <c r="B9032" s="14">
        <v>0.72810980000000003</v>
      </c>
      <c r="C9032" s="15">
        <v>0.59025499999999997</v>
      </c>
    </row>
    <row r="9033" spans="1:3" x14ac:dyDescent="0.45">
      <c r="A9033" s="11">
        <v>107.04</v>
      </c>
      <c r="B9033" s="14">
        <v>0.72866540000000002</v>
      </c>
      <c r="C9033" s="15">
        <v>0.59089130000000001</v>
      </c>
    </row>
    <row r="9034" spans="1:3" x14ac:dyDescent="0.45">
      <c r="A9034" s="11">
        <v>107.05</v>
      </c>
      <c r="B9034" s="14">
        <v>0.72922100000000001</v>
      </c>
      <c r="C9034" s="15">
        <v>0.59152760000000004</v>
      </c>
    </row>
    <row r="9035" spans="1:3" x14ac:dyDescent="0.45">
      <c r="A9035" s="11">
        <v>107.06</v>
      </c>
      <c r="B9035" s="14">
        <v>0.72977650000000005</v>
      </c>
      <c r="C9035" s="15">
        <v>0.59216400000000002</v>
      </c>
    </row>
    <row r="9036" spans="1:3" x14ac:dyDescent="0.45">
      <c r="A9036" s="11">
        <v>107.07</v>
      </c>
      <c r="B9036" s="14">
        <v>0.73033210000000004</v>
      </c>
      <c r="C9036" s="15">
        <v>0.59280029999999995</v>
      </c>
    </row>
    <row r="9037" spans="1:3" x14ac:dyDescent="0.45">
      <c r="A9037" s="11">
        <v>107.08</v>
      </c>
      <c r="B9037" s="14">
        <v>0.73088770000000003</v>
      </c>
      <c r="C9037" s="15">
        <v>0.59343659999999998</v>
      </c>
    </row>
    <row r="9038" spans="1:3" x14ac:dyDescent="0.45">
      <c r="A9038" s="11">
        <v>107.09</v>
      </c>
      <c r="B9038" s="14">
        <v>0.73144330000000002</v>
      </c>
      <c r="C9038" s="15">
        <v>0.59407299999999996</v>
      </c>
    </row>
    <row r="9039" spans="1:3" x14ac:dyDescent="0.45">
      <c r="A9039" s="11">
        <v>107.1</v>
      </c>
      <c r="B9039" s="14">
        <v>0.73199890000000001</v>
      </c>
      <c r="C9039" s="15">
        <v>0.5947093</v>
      </c>
    </row>
    <row r="9040" spans="1:3" x14ac:dyDescent="0.45">
      <c r="A9040" s="11">
        <v>107.11</v>
      </c>
      <c r="B9040" s="14">
        <v>0.7325545</v>
      </c>
      <c r="C9040" s="15">
        <v>0.59534560000000003</v>
      </c>
    </row>
    <row r="9041" spans="1:3" x14ac:dyDescent="0.45">
      <c r="A9041" s="11">
        <v>107.12</v>
      </c>
      <c r="B9041" s="14">
        <v>0.73311009999999999</v>
      </c>
      <c r="C9041" s="15">
        <v>0.59598200000000001</v>
      </c>
    </row>
    <row r="9042" spans="1:3" x14ac:dyDescent="0.45">
      <c r="A9042" s="11">
        <v>107.13</v>
      </c>
      <c r="B9042" s="14">
        <v>0.73366569999999998</v>
      </c>
      <c r="C9042" s="15">
        <v>0.59661830000000005</v>
      </c>
    </row>
    <row r="9043" spans="1:3" x14ac:dyDescent="0.45">
      <c r="A9043" s="11">
        <v>107.14</v>
      </c>
      <c r="B9043" s="14">
        <v>0.73422129999999997</v>
      </c>
      <c r="C9043" s="15">
        <v>0.59725459999999997</v>
      </c>
    </row>
    <row r="9044" spans="1:3" x14ac:dyDescent="0.45">
      <c r="A9044" s="11">
        <v>107.15</v>
      </c>
      <c r="B9044" s="14">
        <v>0.73477689999999996</v>
      </c>
      <c r="C9044" s="15">
        <v>0.59789099999999995</v>
      </c>
    </row>
    <row r="9045" spans="1:3" x14ac:dyDescent="0.45">
      <c r="A9045" s="11">
        <v>107.16</v>
      </c>
      <c r="B9045" s="14">
        <v>0.7353324</v>
      </c>
      <c r="C9045" s="15">
        <v>0.59852729999999998</v>
      </c>
    </row>
    <row r="9046" spans="1:3" x14ac:dyDescent="0.45">
      <c r="A9046" s="11">
        <v>107.17</v>
      </c>
      <c r="B9046" s="14">
        <v>0.73588799999999999</v>
      </c>
      <c r="C9046" s="15">
        <v>0.59916360000000002</v>
      </c>
    </row>
    <row r="9047" spans="1:3" x14ac:dyDescent="0.45">
      <c r="A9047" s="11">
        <v>107.18</v>
      </c>
      <c r="B9047" s="14">
        <v>0.73644359999999998</v>
      </c>
      <c r="C9047" s="15">
        <v>0.59979990000000005</v>
      </c>
    </row>
    <row r="9048" spans="1:3" x14ac:dyDescent="0.45">
      <c r="A9048" s="11">
        <v>107.19</v>
      </c>
      <c r="B9048" s="14">
        <v>0.73699919999999997</v>
      </c>
      <c r="C9048" s="15">
        <v>0.60043630000000003</v>
      </c>
    </row>
    <row r="9049" spans="1:3" x14ac:dyDescent="0.45">
      <c r="A9049" s="11">
        <v>107.2</v>
      </c>
      <c r="B9049" s="14">
        <v>0.73755479999999995</v>
      </c>
      <c r="C9049" s="15">
        <v>0.60107259999999996</v>
      </c>
    </row>
    <row r="9050" spans="1:3" x14ac:dyDescent="0.45">
      <c r="A9050" s="11">
        <v>107.21</v>
      </c>
      <c r="B9050" s="14">
        <v>0.73811040000000006</v>
      </c>
      <c r="C9050" s="15">
        <v>0.60170889999999999</v>
      </c>
    </row>
    <row r="9051" spans="1:3" x14ac:dyDescent="0.45">
      <c r="A9051" s="11">
        <v>107.22</v>
      </c>
      <c r="B9051" s="14">
        <v>0.73866600000000004</v>
      </c>
      <c r="C9051" s="15">
        <v>0.60234529999999997</v>
      </c>
    </row>
    <row r="9052" spans="1:3" x14ac:dyDescent="0.45">
      <c r="A9052" s="11">
        <v>107.23</v>
      </c>
      <c r="B9052" s="14">
        <v>0.73922160000000003</v>
      </c>
      <c r="C9052" s="15">
        <v>0.60298160000000001</v>
      </c>
    </row>
    <row r="9053" spans="1:3" x14ac:dyDescent="0.45">
      <c r="A9053" s="11">
        <v>107.24</v>
      </c>
      <c r="B9053" s="14">
        <v>0.73977720000000002</v>
      </c>
      <c r="C9053" s="15">
        <v>0.60361790000000004</v>
      </c>
    </row>
    <row r="9054" spans="1:3" x14ac:dyDescent="0.45">
      <c r="A9054" s="11">
        <v>107.25</v>
      </c>
      <c r="B9054" s="14">
        <v>0.74033269999999995</v>
      </c>
      <c r="C9054" s="15">
        <v>0.60425419999999996</v>
      </c>
    </row>
    <row r="9055" spans="1:3" x14ac:dyDescent="0.45">
      <c r="A9055" s="11">
        <v>107.26</v>
      </c>
      <c r="B9055" s="14">
        <v>0.74088830000000006</v>
      </c>
      <c r="C9055" s="15">
        <v>0.60489059999999994</v>
      </c>
    </row>
    <row r="9056" spans="1:3" x14ac:dyDescent="0.45">
      <c r="A9056" s="11">
        <v>107.27</v>
      </c>
      <c r="B9056" s="14">
        <v>0.74144399999999999</v>
      </c>
      <c r="C9056" s="15">
        <v>0.60552689999999998</v>
      </c>
    </row>
    <row r="9057" spans="1:3" x14ac:dyDescent="0.45">
      <c r="A9057" s="11">
        <v>107.28</v>
      </c>
      <c r="B9057" s="14">
        <v>0.74199950000000003</v>
      </c>
      <c r="C9057" s="15">
        <v>0.60616320000000001</v>
      </c>
    </row>
    <row r="9058" spans="1:3" x14ac:dyDescent="0.45">
      <c r="A9058" s="11">
        <v>107.29</v>
      </c>
      <c r="B9058" s="14">
        <v>0.74255510000000002</v>
      </c>
      <c r="C9058" s="15">
        <v>0.60679959999999999</v>
      </c>
    </row>
    <row r="9059" spans="1:3" x14ac:dyDescent="0.45">
      <c r="A9059" s="11">
        <v>107.3</v>
      </c>
      <c r="B9059" s="14">
        <v>0.74311070000000001</v>
      </c>
      <c r="C9059" s="15">
        <v>0.60743590000000003</v>
      </c>
    </row>
    <row r="9060" spans="1:3" x14ac:dyDescent="0.45">
      <c r="A9060" s="11">
        <v>107.31</v>
      </c>
      <c r="B9060" s="14">
        <v>0.7436663</v>
      </c>
      <c r="C9060" s="15">
        <v>0.60807219999999995</v>
      </c>
    </row>
    <row r="9061" spans="1:3" x14ac:dyDescent="0.45">
      <c r="A9061" s="11">
        <v>107.32</v>
      </c>
      <c r="B9061" s="14">
        <v>0.74422189999999999</v>
      </c>
      <c r="C9061" s="15">
        <v>0.60870860000000004</v>
      </c>
    </row>
    <row r="9062" spans="1:3" x14ac:dyDescent="0.45">
      <c r="A9062" s="11">
        <v>107.33</v>
      </c>
      <c r="B9062" s="14">
        <v>0.74477749999999998</v>
      </c>
      <c r="C9062" s="15">
        <v>0.60934489999999997</v>
      </c>
    </row>
    <row r="9063" spans="1:3" x14ac:dyDescent="0.45">
      <c r="A9063" s="11">
        <v>107.34</v>
      </c>
      <c r="B9063" s="14">
        <v>0.74533300000000002</v>
      </c>
      <c r="C9063" s="15">
        <v>0.6099812</v>
      </c>
    </row>
    <row r="9064" spans="1:3" x14ac:dyDescent="0.45">
      <c r="A9064" s="11">
        <v>107.35</v>
      </c>
      <c r="B9064" s="14">
        <v>0.74588860000000001</v>
      </c>
      <c r="C9064" s="15">
        <v>0.61061750000000004</v>
      </c>
    </row>
    <row r="9065" spans="1:3" x14ac:dyDescent="0.45">
      <c r="A9065" s="11">
        <v>107.36</v>
      </c>
      <c r="B9065" s="14">
        <v>0.7464442</v>
      </c>
      <c r="C9065" s="15">
        <v>0.61125390000000002</v>
      </c>
    </row>
    <row r="9066" spans="1:3" x14ac:dyDescent="0.45">
      <c r="A9066" s="11">
        <v>107.37</v>
      </c>
      <c r="B9066" s="14">
        <v>0.74699979999999999</v>
      </c>
      <c r="C9066" s="15">
        <v>0.61189020000000005</v>
      </c>
    </row>
    <row r="9067" spans="1:3" x14ac:dyDescent="0.45">
      <c r="A9067" s="11">
        <v>107.38</v>
      </c>
      <c r="B9067" s="14">
        <v>0.74755539999999998</v>
      </c>
      <c r="C9067" s="15">
        <v>0.61252649999999997</v>
      </c>
    </row>
    <row r="9068" spans="1:3" x14ac:dyDescent="0.45">
      <c r="A9068" s="11">
        <v>107.39</v>
      </c>
      <c r="B9068" s="14">
        <v>0.74811099999999997</v>
      </c>
      <c r="C9068" s="15">
        <v>0.61316289999999996</v>
      </c>
    </row>
    <row r="9069" spans="1:3" x14ac:dyDescent="0.45">
      <c r="A9069" s="11">
        <v>107.4</v>
      </c>
      <c r="B9069" s="14">
        <v>0.74866659999999996</v>
      </c>
      <c r="C9069" s="15">
        <v>0.61379919999999999</v>
      </c>
    </row>
    <row r="9070" spans="1:3" x14ac:dyDescent="0.45">
      <c r="A9070" s="11">
        <v>107.41</v>
      </c>
      <c r="B9070" s="14">
        <v>0.74922219999999995</v>
      </c>
      <c r="C9070" s="15">
        <v>0.61443550000000002</v>
      </c>
    </row>
    <row r="9071" spans="1:3" x14ac:dyDescent="0.45">
      <c r="A9071" s="11">
        <v>107.42</v>
      </c>
      <c r="B9071" s="14">
        <v>0.74977780000000005</v>
      </c>
      <c r="C9071" s="15">
        <v>0.6150719</v>
      </c>
    </row>
    <row r="9072" spans="1:3" x14ac:dyDescent="0.45">
      <c r="A9072" s="11">
        <v>107.43</v>
      </c>
      <c r="B9072" s="14">
        <v>0.75033340000000004</v>
      </c>
      <c r="C9072" s="15">
        <v>0.61570820000000004</v>
      </c>
    </row>
    <row r="9073" spans="1:3" x14ac:dyDescent="0.45">
      <c r="A9073" s="11">
        <v>107.44</v>
      </c>
      <c r="B9073" s="14">
        <v>0.75088900000000003</v>
      </c>
      <c r="C9073" s="15">
        <v>0.61634449999999996</v>
      </c>
    </row>
    <row r="9074" spans="1:3" x14ac:dyDescent="0.45">
      <c r="A9074" s="11">
        <v>107.45</v>
      </c>
      <c r="B9074" s="14">
        <v>0.75144460000000002</v>
      </c>
      <c r="C9074" s="15">
        <v>0.61698090000000005</v>
      </c>
    </row>
    <row r="9075" spans="1:3" x14ac:dyDescent="0.45">
      <c r="A9075" s="11">
        <v>107.46</v>
      </c>
      <c r="B9075" s="14">
        <v>0.75200009999999995</v>
      </c>
      <c r="C9075" s="15">
        <v>0.61761719999999998</v>
      </c>
    </row>
    <row r="9076" spans="1:3" x14ac:dyDescent="0.45">
      <c r="A9076" s="11">
        <v>107.47</v>
      </c>
      <c r="B9076" s="14">
        <v>0.75255570000000005</v>
      </c>
      <c r="C9076" s="15">
        <v>0.61825350000000001</v>
      </c>
    </row>
    <row r="9077" spans="1:3" x14ac:dyDescent="0.45">
      <c r="A9077" s="11">
        <v>107.48</v>
      </c>
      <c r="B9077" s="14">
        <v>0.75311130000000004</v>
      </c>
      <c r="C9077" s="15">
        <v>0.61888980000000005</v>
      </c>
    </row>
    <row r="9078" spans="1:3" x14ac:dyDescent="0.45">
      <c r="A9078" s="11">
        <v>107.49</v>
      </c>
      <c r="B9078" s="14">
        <v>0.75366690000000003</v>
      </c>
      <c r="C9078" s="15">
        <v>0.61952620000000003</v>
      </c>
    </row>
    <row r="9079" spans="1:3" x14ac:dyDescent="0.45">
      <c r="A9079" s="11">
        <v>107.5</v>
      </c>
      <c r="B9079" s="14">
        <v>0.75422250000000002</v>
      </c>
      <c r="C9079" s="15">
        <v>0.62016249999999995</v>
      </c>
    </row>
    <row r="9080" spans="1:3" x14ac:dyDescent="0.45">
      <c r="A9080" s="11">
        <v>107.51</v>
      </c>
      <c r="B9080" s="14">
        <v>0.75477810000000001</v>
      </c>
      <c r="C9080" s="15">
        <v>0.62079879999999998</v>
      </c>
    </row>
    <row r="9081" spans="1:3" x14ac:dyDescent="0.45">
      <c r="A9081" s="11">
        <v>107.52</v>
      </c>
      <c r="B9081" s="14">
        <v>0.7553337</v>
      </c>
      <c r="C9081" s="15">
        <v>0.62143519999999997</v>
      </c>
    </row>
    <row r="9082" spans="1:3" x14ac:dyDescent="0.45">
      <c r="A9082" s="11">
        <v>107.53</v>
      </c>
      <c r="B9082" s="14">
        <v>0.75588929999999999</v>
      </c>
      <c r="C9082" s="15">
        <v>0.6220715</v>
      </c>
    </row>
    <row r="9083" spans="1:3" x14ac:dyDescent="0.45">
      <c r="A9083" s="11">
        <v>107.54</v>
      </c>
      <c r="B9083" s="14">
        <v>0.75644489999999998</v>
      </c>
      <c r="C9083" s="15">
        <v>0.62270780000000003</v>
      </c>
    </row>
    <row r="9084" spans="1:3" x14ac:dyDescent="0.45">
      <c r="A9084" s="11">
        <v>107.55</v>
      </c>
      <c r="B9084" s="14">
        <v>0.75700040000000002</v>
      </c>
      <c r="C9084" s="15">
        <v>0.62334409999999996</v>
      </c>
    </row>
    <row r="9085" spans="1:3" x14ac:dyDescent="0.45">
      <c r="A9085" s="11">
        <v>107.56</v>
      </c>
      <c r="B9085" s="14">
        <v>0.75755600000000001</v>
      </c>
      <c r="C9085" s="15">
        <v>0.62398050000000005</v>
      </c>
    </row>
    <row r="9086" spans="1:3" x14ac:dyDescent="0.45">
      <c r="A9086" s="11">
        <v>107.57</v>
      </c>
      <c r="B9086" s="14">
        <v>0.7581116</v>
      </c>
      <c r="C9086" s="15">
        <v>0.62461679999999997</v>
      </c>
    </row>
    <row r="9087" spans="1:3" x14ac:dyDescent="0.45">
      <c r="A9087" s="11">
        <v>107.58</v>
      </c>
      <c r="B9087" s="14">
        <v>0.75866719999999999</v>
      </c>
      <c r="C9087" s="15">
        <v>0.62525310000000001</v>
      </c>
    </row>
    <row r="9088" spans="1:3" x14ac:dyDescent="0.45">
      <c r="A9088" s="11">
        <v>107.59</v>
      </c>
      <c r="B9088" s="14">
        <v>0.75922279999999998</v>
      </c>
      <c r="C9088" s="15">
        <v>0.62588949999999999</v>
      </c>
    </row>
    <row r="9089" spans="1:3" x14ac:dyDescent="0.45">
      <c r="A9089" s="11">
        <v>107.6</v>
      </c>
      <c r="B9089" s="14">
        <v>0.75977839999999996</v>
      </c>
      <c r="C9089" s="15">
        <v>0.62652580000000002</v>
      </c>
    </row>
    <row r="9090" spans="1:3" x14ac:dyDescent="0.45">
      <c r="A9090" s="11">
        <v>107.61</v>
      </c>
      <c r="B9090" s="14">
        <v>0.76033399999999995</v>
      </c>
      <c r="C9090" s="15">
        <v>0.62716209999999994</v>
      </c>
    </row>
    <row r="9091" spans="1:3" x14ac:dyDescent="0.45">
      <c r="A9091" s="11">
        <v>107.62</v>
      </c>
      <c r="B9091" s="14">
        <v>0.76088960000000005</v>
      </c>
      <c r="C9091" s="15">
        <v>0.62779850000000004</v>
      </c>
    </row>
    <row r="9092" spans="1:3" x14ac:dyDescent="0.45">
      <c r="A9092" s="11">
        <v>107.63</v>
      </c>
      <c r="B9092" s="14">
        <v>0.76144520000000004</v>
      </c>
      <c r="C9092" s="15">
        <v>0.62843479999999996</v>
      </c>
    </row>
    <row r="9093" spans="1:3" x14ac:dyDescent="0.45">
      <c r="A9093" s="11">
        <v>107.64</v>
      </c>
      <c r="B9093" s="14">
        <v>0.76200080000000003</v>
      </c>
      <c r="C9093" s="15">
        <v>0.62907109999999999</v>
      </c>
    </row>
    <row r="9094" spans="1:3" x14ac:dyDescent="0.45">
      <c r="A9094" s="11">
        <v>107.65</v>
      </c>
      <c r="B9094" s="14">
        <v>0.76255640000000002</v>
      </c>
      <c r="C9094" s="15">
        <v>0.62970749999999998</v>
      </c>
    </row>
    <row r="9095" spans="1:3" x14ac:dyDescent="0.45">
      <c r="A9095" s="11">
        <v>107.66</v>
      </c>
      <c r="B9095" s="14">
        <v>0.76311200000000001</v>
      </c>
      <c r="C9095" s="15">
        <v>0.63034380000000001</v>
      </c>
    </row>
    <row r="9096" spans="1:3" x14ac:dyDescent="0.45">
      <c r="A9096" s="11">
        <v>107.67</v>
      </c>
      <c r="B9096" s="14">
        <v>0.76366750000000005</v>
      </c>
      <c r="C9096" s="15">
        <v>0.63098010000000004</v>
      </c>
    </row>
    <row r="9097" spans="1:3" x14ac:dyDescent="0.45">
      <c r="A9097" s="11">
        <v>107.68</v>
      </c>
      <c r="B9097" s="14">
        <v>0.76422310000000004</v>
      </c>
      <c r="C9097" s="15">
        <v>0.63161639999999997</v>
      </c>
    </row>
    <row r="9098" spans="1:3" x14ac:dyDescent="0.45">
      <c r="A9098" s="11">
        <v>107.69</v>
      </c>
      <c r="B9098" s="14">
        <v>0.76477870000000003</v>
      </c>
      <c r="C9098" s="15">
        <v>0.63225279999999995</v>
      </c>
    </row>
    <row r="9099" spans="1:3" x14ac:dyDescent="0.45">
      <c r="A9099" s="11">
        <v>107.7</v>
      </c>
      <c r="B9099" s="14">
        <v>0.76533430000000002</v>
      </c>
      <c r="C9099" s="15">
        <v>0.63288909999999998</v>
      </c>
    </row>
    <row r="9100" spans="1:3" x14ac:dyDescent="0.45">
      <c r="A9100" s="11">
        <v>107.71</v>
      </c>
      <c r="B9100" s="14">
        <v>0.76588990000000001</v>
      </c>
      <c r="C9100" s="15">
        <v>0.63352540000000002</v>
      </c>
    </row>
    <row r="9101" spans="1:3" x14ac:dyDescent="0.45">
      <c r="A9101" s="11">
        <v>107.72</v>
      </c>
      <c r="B9101" s="14">
        <v>0.7664455</v>
      </c>
      <c r="C9101" s="15">
        <v>0.6341618</v>
      </c>
    </row>
    <row r="9102" spans="1:3" x14ac:dyDescent="0.45">
      <c r="A9102" s="11">
        <v>107.73</v>
      </c>
      <c r="B9102" s="14">
        <v>0.76700100000000004</v>
      </c>
      <c r="C9102" s="15">
        <v>0.63479810000000003</v>
      </c>
    </row>
    <row r="9103" spans="1:3" x14ac:dyDescent="0.45">
      <c r="A9103" s="11">
        <v>107.74</v>
      </c>
      <c r="B9103" s="14">
        <v>0.76755669999999998</v>
      </c>
      <c r="C9103" s="15">
        <v>0.63543439999999995</v>
      </c>
    </row>
    <row r="9104" spans="1:3" x14ac:dyDescent="0.45">
      <c r="A9104" s="11">
        <v>107.75</v>
      </c>
      <c r="B9104" s="14">
        <v>0.76811220000000002</v>
      </c>
      <c r="C9104" s="15">
        <v>0.63607080000000005</v>
      </c>
    </row>
    <row r="9105" spans="1:3" x14ac:dyDescent="0.45">
      <c r="A9105" s="11">
        <v>107.76</v>
      </c>
      <c r="B9105" s="14">
        <v>0.76866780000000001</v>
      </c>
      <c r="C9105" s="15">
        <v>0.63670709999999997</v>
      </c>
    </row>
    <row r="9106" spans="1:3" x14ac:dyDescent="0.45">
      <c r="A9106" s="11">
        <v>107.77</v>
      </c>
      <c r="B9106" s="14">
        <v>0.7692234</v>
      </c>
      <c r="C9106" s="15">
        <v>0.6373434</v>
      </c>
    </row>
    <row r="9107" spans="1:3" x14ac:dyDescent="0.45">
      <c r="A9107" s="11">
        <v>107.78</v>
      </c>
      <c r="B9107" s="14">
        <v>0.76977899999999999</v>
      </c>
      <c r="C9107" s="15">
        <v>0.63797970000000004</v>
      </c>
    </row>
    <row r="9108" spans="1:3" x14ac:dyDescent="0.45">
      <c r="A9108" s="11">
        <v>107.79</v>
      </c>
      <c r="B9108" s="14">
        <v>0.77033459999999998</v>
      </c>
      <c r="C9108" s="15">
        <v>0.63861610000000002</v>
      </c>
    </row>
    <row r="9109" spans="1:3" x14ac:dyDescent="0.45">
      <c r="A9109" s="11">
        <v>107.8</v>
      </c>
      <c r="B9109" s="14">
        <v>0.77089019999999997</v>
      </c>
      <c r="C9109" s="15">
        <v>0.63925240000000005</v>
      </c>
    </row>
    <row r="9110" spans="1:3" x14ac:dyDescent="0.45">
      <c r="A9110" s="11">
        <v>107.81</v>
      </c>
      <c r="B9110" s="14">
        <v>0.77144579999999996</v>
      </c>
      <c r="C9110" s="15">
        <v>0.63988869999999998</v>
      </c>
    </row>
    <row r="9111" spans="1:3" x14ac:dyDescent="0.45">
      <c r="A9111" s="11">
        <v>107.82</v>
      </c>
      <c r="B9111" s="14">
        <v>0.77200139999999995</v>
      </c>
      <c r="C9111" s="15">
        <v>0.64052500000000001</v>
      </c>
    </row>
    <row r="9112" spans="1:3" x14ac:dyDescent="0.45">
      <c r="A9112" s="11">
        <v>107.83</v>
      </c>
      <c r="B9112" s="14">
        <v>0.77255700000000005</v>
      </c>
      <c r="C9112" s="15">
        <v>0.64116139999999999</v>
      </c>
    </row>
    <row r="9113" spans="1:3" x14ac:dyDescent="0.45">
      <c r="A9113" s="11">
        <v>107.84</v>
      </c>
      <c r="B9113" s="14">
        <v>0.77311260000000004</v>
      </c>
      <c r="C9113" s="15">
        <v>0.64179770000000003</v>
      </c>
    </row>
    <row r="9114" spans="1:3" x14ac:dyDescent="0.45">
      <c r="A9114" s="11">
        <v>107.85</v>
      </c>
      <c r="B9114" s="14">
        <v>0.77366809999999997</v>
      </c>
      <c r="C9114" s="15">
        <v>0.64243399999999995</v>
      </c>
    </row>
    <row r="9115" spans="1:3" x14ac:dyDescent="0.45">
      <c r="A9115" s="11">
        <v>107.86</v>
      </c>
      <c r="B9115" s="14">
        <v>0.77422369999999996</v>
      </c>
      <c r="C9115" s="15">
        <v>0.64307040000000004</v>
      </c>
    </row>
    <row r="9116" spans="1:3" x14ac:dyDescent="0.45">
      <c r="A9116" s="11">
        <v>107.87</v>
      </c>
      <c r="B9116" s="14">
        <v>0.77477929999999995</v>
      </c>
      <c r="C9116" s="15">
        <v>0.64370669999999997</v>
      </c>
    </row>
    <row r="9117" spans="1:3" x14ac:dyDescent="0.45">
      <c r="A9117" s="11">
        <v>107.88</v>
      </c>
      <c r="B9117" s="14">
        <v>0.77533490000000005</v>
      </c>
      <c r="C9117" s="15">
        <v>0.644343</v>
      </c>
    </row>
    <row r="9118" spans="1:3" x14ac:dyDescent="0.45">
      <c r="A9118" s="11">
        <v>107.89</v>
      </c>
      <c r="B9118" s="14">
        <v>0.77589050000000004</v>
      </c>
      <c r="C9118" s="15">
        <v>0.64497939999999998</v>
      </c>
    </row>
    <row r="9119" spans="1:3" x14ac:dyDescent="0.45">
      <c r="A9119" s="11">
        <v>107.9</v>
      </c>
      <c r="B9119" s="14">
        <v>0.77644610000000003</v>
      </c>
      <c r="C9119" s="15">
        <v>0.64561570000000001</v>
      </c>
    </row>
    <row r="9120" spans="1:3" x14ac:dyDescent="0.45">
      <c r="A9120" s="11">
        <v>107.91</v>
      </c>
      <c r="B9120" s="14">
        <v>0.77700170000000002</v>
      </c>
      <c r="C9120" s="15">
        <v>0.64625200000000005</v>
      </c>
    </row>
    <row r="9121" spans="1:3" x14ac:dyDescent="0.45">
      <c r="A9121" s="11">
        <v>107.92</v>
      </c>
      <c r="B9121" s="14">
        <v>0.77755730000000001</v>
      </c>
      <c r="C9121" s="15">
        <v>0.64688840000000003</v>
      </c>
    </row>
    <row r="9122" spans="1:3" x14ac:dyDescent="0.45">
      <c r="A9122" s="11">
        <v>107.93</v>
      </c>
      <c r="B9122" s="14">
        <v>0.7781129</v>
      </c>
      <c r="C9122" s="15">
        <v>0.64752469999999995</v>
      </c>
    </row>
    <row r="9123" spans="1:3" x14ac:dyDescent="0.45">
      <c r="A9123" s="11">
        <v>107.94</v>
      </c>
      <c r="B9123" s="14">
        <v>0.77866849999999999</v>
      </c>
      <c r="C9123" s="15">
        <v>0.64816099999999999</v>
      </c>
    </row>
    <row r="9124" spans="1:3" x14ac:dyDescent="0.45">
      <c r="A9124" s="11">
        <v>107.95</v>
      </c>
      <c r="B9124" s="14">
        <v>0.77922400000000003</v>
      </c>
      <c r="C9124" s="15">
        <v>0.64879739999999997</v>
      </c>
    </row>
    <row r="9125" spans="1:3" x14ac:dyDescent="0.45">
      <c r="A9125" s="11">
        <v>107.96</v>
      </c>
      <c r="B9125" s="14">
        <v>0.77977960000000002</v>
      </c>
      <c r="C9125" s="15">
        <v>0.6494337</v>
      </c>
    </row>
    <row r="9126" spans="1:3" x14ac:dyDescent="0.45">
      <c r="A9126" s="11">
        <v>107.97</v>
      </c>
      <c r="B9126" s="14">
        <v>0.78033520000000001</v>
      </c>
      <c r="C9126" s="15">
        <v>0.65007000000000004</v>
      </c>
    </row>
    <row r="9127" spans="1:3" x14ac:dyDescent="0.45">
      <c r="A9127" s="11">
        <v>107.98</v>
      </c>
      <c r="B9127" s="14">
        <v>0.7808908</v>
      </c>
      <c r="C9127" s="15">
        <v>0.65070629999999996</v>
      </c>
    </row>
    <row r="9128" spans="1:3" x14ac:dyDescent="0.45">
      <c r="A9128" s="11">
        <v>107.99</v>
      </c>
      <c r="B9128" s="14">
        <v>0.78144639999999999</v>
      </c>
      <c r="C9128" s="15">
        <v>0.65134270000000005</v>
      </c>
    </row>
    <row r="9129" spans="1:3" x14ac:dyDescent="0.45">
      <c r="A9129" s="11">
        <v>108</v>
      </c>
      <c r="B9129" s="14">
        <v>0.78200199999999997</v>
      </c>
      <c r="C9129" s="15">
        <v>0.65197899999999998</v>
      </c>
    </row>
    <row r="9130" spans="1:3" x14ac:dyDescent="0.45">
      <c r="A9130" s="11">
        <v>108.01</v>
      </c>
      <c r="B9130" s="14">
        <v>0.7825917</v>
      </c>
      <c r="C9130" s="15">
        <v>0.65268420000000005</v>
      </c>
    </row>
    <row r="9131" spans="1:3" x14ac:dyDescent="0.45">
      <c r="A9131" s="11">
        <v>108.02</v>
      </c>
      <c r="B9131" s="14">
        <v>0.78318140000000003</v>
      </c>
      <c r="C9131" s="15">
        <v>0.65338929999999995</v>
      </c>
    </row>
    <row r="9132" spans="1:3" x14ac:dyDescent="0.45">
      <c r="A9132" s="11">
        <v>108.03</v>
      </c>
      <c r="B9132" s="14">
        <v>0.78377110000000005</v>
      </c>
      <c r="C9132" s="15">
        <v>0.65409450000000002</v>
      </c>
    </row>
    <row r="9133" spans="1:3" x14ac:dyDescent="0.45">
      <c r="A9133" s="11">
        <v>108.04</v>
      </c>
      <c r="B9133" s="14">
        <v>0.78436079999999997</v>
      </c>
      <c r="C9133" s="15">
        <v>0.65479969999999998</v>
      </c>
    </row>
    <row r="9134" spans="1:3" x14ac:dyDescent="0.45">
      <c r="A9134" s="11">
        <v>108.05</v>
      </c>
      <c r="B9134" s="14">
        <v>0.7849505</v>
      </c>
      <c r="C9134" s="15">
        <v>0.6555048</v>
      </c>
    </row>
    <row r="9135" spans="1:3" x14ac:dyDescent="0.45">
      <c r="A9135" s="11">
        <v>108.06</v>
      </c>
      <c r="B9135" s="14">
        <v>0.78554029999999997</v>
      </c>
      <c r="C9135" s="15">
        <v>0.65620999999999996</v>
      </c>
    </row>
    <row r="9136" spans="1:3" x14ac:dyDescent="0.45">
      <c r="A9136" s="11">
        <v>108.07</v>
      </c>
      <c r="B9136" s="14">
        <v>0.78613</v>
      </c>
      <c r="C9136" s="15">
        <v>0.65691520000000003</v>
      </c>
    </row>
    <row r="9137" spans="1:3" x14ac:dyDescent="0.45">
      <c r="A9137" s="11">
        <v>108.08</v>
      </c>
      <c r="B9137" s="14">
        <v>0.78671970000000002</v>
      </c>
      <c r="C9137" s="15">
        <v>0.65762039999999999</v>
      </c>
    </row>
    <row r="9138" spans="1:3" x14ac:dyDescent="0.45">
      <c r="A9138" s="11">
        <v>108.09</v>
      </c>
      <c r="B9138" s="14">
        <v>0.78730940000000005</v>
      </c>
      <c r="C9138" s="15">
        <v>0.65832550000000001</v>
      </c>
    </row>
    <row r="9139" spans="1:3" x14ac:dyDescent="0.45">
      <c r="A9139" s="11">
        <v>108.1</v>
      </c>
      <c r="B9139" s="14">
        <v>0.78789909999999996</v>
      </c>
      <c r="C9139" s="15">
        <v>0.65903069999999997</v>
      </c>
    </row>
    <row r="9140" spans="1:3" x14ac:dyDescent="0.45">
      <c r="A9140" s="11">
        <v>108.11</v>
      </c>
      <c r="B9140" s="14">
        <v>0.78848879999999999</v>
      </c>
      <c r="C9140" s="15">
        <v>0.65973590000000004</v>
      </c>
    </row>
    <row r="9141" spans="1:3" x14ac:dyDescent="0.45">
      <c r="A9141" s="11">
        <v>108.12</v>
      </c>
      <c r="B9141" s="14">
        <v>0.78907850000000002</v>
      </c>
      <c r="C9141" s="15">
        <v>0.66044099999999994</v>
      </c>
    </row>
    <row r="9142" spans="1:3" x14ac:dyDescent="0.45">
      <c r="A9142" s="11">
        <v>108.13</v>
      </c>
      <c r="B9142" s="14">
        <v>0.78966820000000004</v>
      </c>
      <c r="C9142" s="15">
        <v>0.66114620000000002</v>
      </c>
    </row>
    <row r="9143" spans="1:3" x14ac:dyDescent="0.45">
      <c r="A9143" s="11">
        <v>108.14</v>
      </c>
      <c r="B9143" s="14">
        <v>0.79025800000000002</v>
      </c>
      <c r="C9143" s="15">
        <v>0.66185139999999998</v>
      </c>
    </row>
    <row r="9144" spans="1:3" x14ac:dyDescent="0.45">
      <c r="A9144" s="11">
        <v>108.15</v>
      </c>
      <c r="B9144" s="14">
        <v>0.79084770000000004</v>
      </c>
      <c r="C9144" s="15">
        <v>0.66255660000000005</v>
      </c>
    </row>
    <row r="9145" spans="1:3" x14ac:dyDescent="0.45">
      <c r="A9145" s="11">
        <v>108.16</v>
      </c>
      <c r="B9145" s="14">
        <v>0.79143739999999996</v>
      </c>
      <c r="C9145" s="15">
        <v>0.66326169999999995</v>
      </c>
    </row>
    <row r="9146" spans="1:3" x14ac:dyDescent="0.45">
      <c r="A9146" s="11">
        <v>108.17</v>
      </c>
      <c r="B9146" s="14">
        <v>0.79202700000000004</v>
      </c>
      <c r="C9146" s="15">
        <v>0.66396690000000003</v>
      </c>
    </row>
    <row r="9147" spans="1:3" x14ac:dyDescent="0.45">
      <c r="A9147" s="11">
        <v>108.18</v>
      </c>
      <c r="B9147" s="14">
        <v>0.79261680000000001</v>
      </c>
      <c r="C9147" s="15">
        <v>0.66467200000000004</v>
      </c>
    </row>
    <row r="9148" spans="1:3" x14ac:dyDescent="0.45">
      <c r="A9148" s="11">
        <v>108.19</v>
      </c>
      <c r="B9148" s="14">
        <v>0.79320650000000004</v>
      </c>
      <c r="C9148" s="15">
        <v>0.6653772</v>
      </c>
    </row>
    <row r="9149" spans="1:3" x14ac:dyDescent="0.45">
      <c r="A9149" s="11">
        <v>108.2</v>
      </c>
      <c r="B9149" s="14">
        <v>0.79379619999999995</v>
      </c>
      <c r="C9149" s="15">
        <v>0.66608239999999996</v>
      </c>
    </row>
    <row r="9150" spans="1:3" x14ac:dyDescent="0.45">
      <c r="A9150" s="11">
        <v>108.21</v>
      </c>
      <c r="B9150" s="14">
        <v>0.79438589999999998</v>
      </c>
      <c r="C9150" s="15">
        <v>0.66678760000000004</v>
      </c>
    </row>
    <row r="9151" spans="1:3" x14ac:dyDescent="0.45">
      <c r="A9151" s="11">
        <v>108.22</v>
      </c>
      <c r="B9151" s="14">
        <v>0.7949756</v>
      </c>
      <c r="C9151" s="15">
        <v>0.66749270000000005</v>
      </c>
    </row>
    <row r="9152" spans="1:3" x14ac:dyDescent="0.45">
      <c r="A9152" s="11">
        <v>108.23</v>
      </c>
      <c r="B9152" s="14">
        <v>0.79556530000000003</v>
      </c>
      <c r="C9152" s="15">
        <v>0.66819790000000001</v>
      </c>
    </row>
    <row r="9153" spans="1:3" x14ac:dyDescent="0.45">
      <c r="A9153" s="11">
        <v>108.24</v>
      </c>
      <c r="B9153" s="14">
        <v>0.79615499999999995</v>
      </c>
      <c r="C9153" s="15">
        <v>0.66890309999999997</v>
      </c>
    </row>
    <row r="9154" spans="1:3" x14ac:dyDescent="0.45">
      <c r="A9154" s="11">
        <v>108.25</v>
      </c>
      <c r="B9154" s="14">
        <v>0.79674480000000003</v>
      </c>
      <c r="C9154" s="15">
        <v>0.66960830000000005</v>
      </c>
    </row>
    <row r="9155" spans="1:3" x14ac:dyDescent="0.45">
      <c r="A9155" s="11">
        <v>108.26</v>
      </c>
      <c r="B9155" s="14">
        <v>0.79733449999999995</v>
      </c>
      <c r="C9155" s="15">
        <v>0.67031339999999995</v>
      </c>
    </row>
    <row r="9156" spans="1:3" x14ac:dyDescent="0.45">
      <c r="A9156" s="11">
        <v>108.27</v>
      </c>
      <c r="B9156" s="14">
        <v>0.79792419999999997</v>
      </c>
      <c r="C9156" s="15">
        <v>0.67101860000000002</v>
      </c>
    </row>
    <row r="9157" spans="1:3" x14ac:dyDescent="0.45">
      <c r="A9157" s="11">
        <v>108.28</v>
      </c>
      <c r="B9157" s="14">
        <v>0.7985139</v>
      </c>
      <c r="C9157" s="15">
        <v>0.67172379999999998</v>
      </c>
    </row>
    <row r="9158" spans="1:3" x14ac:dyDescent="0.45">
      <c r="A9158" s="11">
        <v>108.29</v>
      </c>
      <c r="B9158" s="14">
        <v>0.79910360000000003</v>
      </c>
      <c r="C9158" s="15">
        <v>0.6724289</v>
      </c>
    </row>
    <row r="9159" spans="1:3" x14ac:dyDescent="0.45">
      <c r="A9159" s="11">
        <v>108.3</v>
      </c>
      <c r="B9159" s="14">
        <v>0.79969330000000005</v>
      </c>
      <c r="C9159" s="15">
        <v>0.67313409999999996</v>
      </c>
    </row>
    <row r="9160" spans="1:3" x14ac:dyDescent="0.45">
      <c r="A9160" s="11">
        <v>108.31</v>
      </c>
      <c r="B9160" s="14">
        <v>0.80028299999999997</v>
      </c>
      <c r="C9160" s="15">
        <v>0.67383930000000003</v>
      </c>
    </row>
    <row r="9161" spans="1:3" x14ac:dyDescent="0.45">
      <c r="A9161" s="11">
        <v>108.32</v>
      </c>
      <c r="B9161" s="14">
        <v>0.80087269999999999</v>
      </c>
      <c r="C9161" s="15">
        <v>0.67454440000000004</v>
      </c>
    </row>
    <row r="9162" spans="1:3" x14ac:dyDescent="0.45">
      <c r="A9162" s="11">
        <v>108.33</v>
      </c>
      <c r="B9162" s="14">
        <v>0.80146240000000002</v>
      </c>
      <c r="C9162" s="15">
        <v>0.67524960000000001</v>
      </c>
    </row>
    <row r="9163" spans="1:3" x14ac:dyDescent="0.45">
      <c r="A9163" s="11">
        <v>108.34</v>
      </c>
      <c r="B9163" s="14">
        <v>0.80205210000000005</v>
      </c>
      <c r="C9163" s="15">
        <v>0.67595479999999997</v>
      </c>
    </row>
    <row r="9164" spans="1:3" x14ac:dyDescent="0.45">
      <c r="A9164" s="11">
        <v>108.35</v>
      </c>
      <c r="B9164" s="14">
        <v>0.80264179999999996</v>
      </c>
      <c r="C9164" s="15">
        <v>0.67666000000000004</v>
      </c>
    </row>
    <row r="9165" spans="1:3" x14ac:dyDescent="0.45">
      <c r="A9165" s="11">
        <v>108.36</v>
      </c>
      <c r="B9165" s="14">
        <v>0.80323160000000005</v>
      </c>
      <c r="C9165" s="15">
        <v>0.67736510000000005</v>
      </c>
    </row>
    <row r="9166" spans="1:3" x14ac:dyDescent="0.45">
      <c r="A9166" s="11">
        <v>108.37</v>
      </c>
      <c r="B9166" s="14">
        <v>0.80382129999999996</v>
      </c>
      <c r="C9166" s="15">
        <v>0.67807030000000001</v>
      </c>
    </row>
    <row r="9167" spans="1:3" x14ac:dyDescent="0.45">
      <c r="A9167" s="11">
        <v>108.38</v>
      </c>
      <c r="B9167" s="14">
        <v>0.80441099999999999</v>
      </c>
      <c r="C9167" s="15">
        <v>0.67877549999999998</v>
      </c>
    </row>
    <row r="9168" spans="1:3" x14ac:dyDescent="0.45">
      <c r="A9168" s="11">
        <v>108.39</v>
      </c>
      <c r="B9168" s="14">
        <v>0.80500070000000001</v>
      </c>
      <c r="C9168" s="15">
        <v>0.67948059999999999</v>
      </c>
    </row>
    <row r="9169" spans="1:3" x14ac:dyDescent="0.45">
      <c r="A9169" s="11">
        <v>108.4</v>
      </c>
      <c r="B9169" s="14">
        <v>0.80559040000000004</v>
      </c>
      <c r="C9169" s="15">
        <v>0.68018579999999995</v>
      </c>
    </row>
    <row r="9170" spans="1:3" x14ac:dyDescent="0.45">
      <c r="A9170" s="11">
        <v>108.41</v>
      </c>
      <c r="B9170" s="14">
        <v>0.80618009999999996</v>
      </c>
      <c r="C9170" s="15">
        <v>0.68089100000000002</v>
      </c>
    </row>
    <row r="9171" spans="1:3" x14ac:dyDescent="0.45">
      <c r="A9171" s="11">
        <v>108.42</v>
      </c>
      <c r="B9171" s="14">
        <v>0.80676979999999998</v>
      </c>
      <c r="C9171" s="15">
        <v>0.68159610000000004</v>
      </c>
    </row>
    <row r="9172" spans="1:3" x14ac:dyDescent="0.45">
      <c r="A9172" s="11">
        <v>108.43</v>
      </c>
      <c r="B9172" s="14">
        <v>0.80735950000000001</v>
      </c>
      <c r="C9172" s="15">
        <v>0.6823013</v>
      </c>
    </row>
    <row r="9173" spans="1:3" x14ac:dyDescent="0.45">
      <c r="A9173" s="11">
        <v>108.44</v>
      </c>
      <c r="B9173" s="14">
        <v>0.80794920000000003</v>
      </c>
      <c r="C9173" s="15">
        <v>0.68300649999999996</v>
      </c>
    </row>
    <row r="9174" spans="1:3" x14ac:dyDescent="0.45">
      <c r="A9174" s="11">
        <v>108.45</v>
      </c>
      <c r="B9174" s="14">
        <v>0.80853900000000001</v>
      </c>
      <c r="C9174" s="15">
        <v>0.68371170000000003</v>
      </c>
    </row>
    <row r="9175" spans="1:3" x14ac:dyDescent="0.45">
      <c r="A9175" s="11">
        <v>108.46</v>
      </c>
      <c r="B9175" s="14">
        <v>0.80912870000000003</v>
      </c>
      <c r="C9175" s="15">
        <v>0.68441680000000005</v>
      </c>
    </row>
    <row r="9176" spans="1:3" x14ac:dyDescent="0.45">
      <c r="A9176" s="11">
        <v>108.47</v>
      </c>
      <c r="B9176" s="14">
        <v>0.80971839999999995</v>
      </c>
      <c r="C9176" s="15">
        <v>0.68512200000000001</v>
      </c>
    </row>
    <row r="9177" spans="1:3" x14ac:dyDescent="0.45">
      <c r="A9177" s="11">
        <v>108.48</v>
      </c>
      <c r="B9177" s="14">
        <v>0.81030800000000003</v>
      </c>
      <c r="C9177" s="15">
        <v>0.68582719999999997</v>
      </c>
    </row>
    <row r="9178" spans="1:3" x14ac:dyDescent="0.45">
      <c r="A9178" s="11">
        <v>108.49</v>
      </c>
      <c r="B9178" s="14">
        <v>0.8108978</v>
      </c>
      <c r="C9178" s="15">
        <v>0.68653229999999998</v>
      </c>
    </row>
    <row r="9179" spans="1:3" x14ac:dyDescent="0.45">
      <c r="A9179" s="11">
        <v>108.5</v>
      </c>
      <c r="B9179" s="14">
        <v>0.81148750000000003</v>
      </c>
      <c r="C9179" s="15">
        <v>0.68723749999999995</v>
      </c>
    </row>
    <row r="9180" spans="1:3" x14ac:dyDescent="0.45">
      <c r="A9180" s="11">
        <v>108.51</v>
      </c>
      <c r="B9180" s="14">
        <v>0.81207720000000005</v>
      </c>
      <c r="C9180" s="15">
        <v>0.68794270000000002</v>
      </c>
    </row>
    <row r="9181" spans="1:3" x14ac:dyDescent="0.45">
      <c r="A9181" s="11">
        <v>108.52</v>
      </c>
      <c r="B9181" s="14">
        <v>0.81266700000000003</v>
      </c>
      <c r="C9181" s="15">
        <v>0.68864780000000003</v>
      </c>
    </row>
    <row r="9182" spans="1:3" x14ac:dyDescent="0.45">
      <c r="A9182" s="11">
        <v>108.53</v>
      </c>
      <c r="B9182" s="14">
        <v>0.8132566</v>
      </c>
      <c r="C9182" s="15">
        <v>0.68935299999999999</v>
      </c>
    </row>
    <row r="9183" spans="1:3" x14ac:dyDescent="0.45">
      <c r="A9183" s="11">
        <v>108.54</v>
      </c>
      <c r="B9183" s="14">
        <v>0.81384630000000002</v>
      </c>
      <c r="C9183" s="15">
        <v>0.69005819999999995</v>
      </c>
    </row>
    <row r="9184" spans="1:3" x14ac:dyDescent="0.45">
      <c r="A9184" s="11">
        <v>108.55</v>
      </c>
      <c r="B9184" s="14">
        <v>0.81443600000000005</v>
      </c>
      <c r="C9184" s="15">
        <v>0.69076329999999997</v>
      </c>
    </row>
    <row r="9185" spans="1:3" x14ac:dyDescent="0.45">
      <c r="A9185" s="11">
        <v>108.56</v>
      </c>
      <c r="B9185" s="14">
        <v>0.81502580000000002</v>
      </c>
      <c r="C9185" s="15">
        <v>0.69146850000000004</v>
      </c>
    </row>
    <row r="9186" spans="1:3" x14ac:dyDescent="0.45">
      <c r="A9186" s="11">
        <v>108.57</v>
      </c>
      <c r="B9186" s="14">
        <v>0.81561550000000005</v>
      </c>
      <c r="C9186" s="15">
        <v>0.6921737</v>
      </c>
    </row>
    <row r="9187" spans="1:3" x14ac:dyDescent="0.45">
      <c r="A9187" s="11">
        <v>108.58</v>
      </c>
      <c r="B9187" s="14">
        <v>0.81620519999999996</v>
      </c>
      <c r="C9187" s="15">
        <v>0.69287889999999996</v>
      </c>
    </row>
    <row r="9188" spans="1:3" x14ac:dyDescent="0.45">
      <c r="A9188" s="11">
        <v>108.59</v>
      </c>
      <c r="B9188" s="14">
        <v>0.81679489999999999</v>
      </c>
      <c r="C9188" s="15">
        <v>0.69358399999999998</v>
      </c>
    </row>
    <row r="9189" spans="1:3" x14ac:dyDescent="0.45">
      <c r="A9189" s="11">
        <v>108.6</v>
      </c>
      <c r="B9189" s="14">
        <v>0.81738460000000002</v>
      </c>
      <c r="C9189" s="15">
        <v>0.69428920000000005</v>
      </c>
    </row>
    <row r="9190" spans="1:3" x14ac:dyDescent="0.45">
      <c r="A9190" s="11">
        <v>108.61</v>
      </c>
      <c r="B9190" s="14">
        <v>0.81797430000000004</v>
      </c>
      <c r="C9190" s="15">
        <v>0.69499440000000001</v>
      </c>
    </row>
    <row r="9191" spans="1:3" x14ac:dyDescent="0.45">
      <c r="A9191" s="11">
        <v>108.62</v>
      </c>
      <c r="B9191" s="14">
        <v>0.81856399999999996</v>
      </c>
      <c r="C9191" s="15">
        <v>0.69569950000000003</v>
      </c>
    </row>
    <row r="9192" spans="1:3" x14ac:dyDescent="0.45">
      <c r="A9192" s="11">
        <v>108.63</v>
      </c>
      <c r="B9192" s="14">
        <v>0.81915369999999998</v>
      </c>
      <c r="C9192" s="15">
        <v>0.69640469999999999</v>
      </c>
    </row>
    <row r="9193" spans="1:3" x14ac:dyDescent="0.45">
      <c r="A9193" s="11">
        <v>108.64</v>
      </c>
      <c r="B9193" s="14">
        <v>0.81974340000000001</v>
      </c>
      <c r="C9193" s="15">
        <v>0.69710989999999995</v>
      </c>
    </row>
    <row r="9194" spans="1:3" x14ac:dyDescent="0.45">
      <c r="A9194" s="11">
        <v>108.65</v>
      </c>
      <c r="B9194" s="14">
        <v>0.82033319999999998</v>
      </c>
      <c r="C9194" s="15">
        <v>0.69781499999999996</v>
      </c>
    </row>
    <row r="9195" spans="1:3" x14ac:dyDescent="0.45">
      <c r="A9195" s="11">
        <v>108.66</v>
      </c>
      <c r="B9195" s="14">
        <v>0.82092290000000001</v>
      </c>
      <c r="C9195" s="15">
        <v>0.69852020000000004</v>
      </c>
    </row>
    <row r="9196" spans="1:3" x14ac:dyDescent="0.45">
      <c r="A9196" s="11">
        <v>108.67</v>
      </c>
      <c r="B9196" s="14">
        <v>0.82151260000000004</v>
      </c>
      <c r="C9196" s="15">
        <v>0.6992254</v>
      </c>
    </row>
    <row r="9197" spans="1:3" x14ac:dyDescent="0.45">
      <c r="A9197" s="11">
        <v>108.68</v>
      </c>
      <c r="B9197" s="14">
        <v>0.82210229999999995</v>
      </c>
      <c r="C9197" s="15">
        <v>0.69993059999999996</v>
      </c>
    </row>
    <row r="9198" spans="1:3" x14ac:dyDescent="0.45">
      <c r="A9198" s="11">
        <v>108.69</v>
      </c>
      <c r="B9198" s="14">
        <v>0.82269199999999998</v>
      </c>
      <c r="C9198" s="15">
        <v>0.70063569999999997</v>
      </c>
    </row>
    <row r="9199" spans="1:3" x14ac:dyDescent="0.45">
      <c r="A9199" s="11">
        <v>108.7</v>
      </c>
      <c r="B9199" s="14">
        <v>0.82328170000000001</v>
      </c>
      <c r="C9199" s="15">
        <v>0.70134090000000004</v>
      </c>
    </row>
    <row r="9200" spans="1:3" x14ac:dyDescent="0.45">
      <c r="A9200" s="11">
        <v>108.71</v>
      </c>
      <c r="B9200" s="14">
        <v>0.82387140000000003</v>
      </c>
      <c r="C9200" s="15">
        <v>0.70204599999999995</v>
      </c>
    </row>
    <row r="9201" spans="1:3" x14ac:dyDescent="0.45">
      <c r="A9201" s="11">
        <v>108.72</v>
      </c>
      <c r="B9201" s="14">
        <v>0.82446109999999995</v>
      </c>
      <c r="C9201" s="15">
        <v>0.70275120000000002</v>
      </c>
    </row>
    <row r="9202" spans="1:3" x14ac:dyDescent="0.45">
      <c r="A9202" s="11">
        <v>108.73</v>
      </c>
      <c r="B9202" s="14">
        <v>0.82505079999999997</v>
      </c>
      <c r="C9202" s="15">
        <v>0.70345639999999998</v>
      </c>
    </row>
    <row r="9203" spans="1:3" x14ac:dyDescent="0.45">
      <c r="A9203" s="11">
        <v>108.74</v>
      </c>
      <c r="B9203" s="14">
        <v>0.8256405</v>
      </c>
      <c r="C9203" s="15">
        <v>0.70416160000000005</v>
      </c>
    </row>
    <row r="9204" spans="1:3" x14ac:dyDescent="0.45">
      <c r="A9204" s="11">
        <v>108.75</v>
      </c>
      <c r="B9204" s="14">
        <v>0.82623020000000003</v>
      </c>
      <c r="C9204" s="15">
        <v>0.70486669999999996</v>
      </c>
    </row>
    <row r="9205" spans="1:3" x14ac:dyDescent="0.45">
      <c r="A9205" s="11">
        <v>108.76</v>
      </c>
      <c r="B9205" s="14">
        <v>0.82682</v>
      </c>
      <c r="C9205" s="15">
        <v>0.70557190000000003</v>
      </c>
    </row>
    <row r="9206" spans="1:3" x14ac:dyDescent="0.45">
      <c r="A9206" s="11">
        <v>108.77</v>
      </c>
      <c r="B9206" s="14">
        <v>0.82740970000000003</v>
      </c>
      <c r="C9206" s="15">
        <v>0.70627709999999999</v>
      </c>
    </row>
    <row r="9207" spans="1:3" x14ac:dyDescent="0.45">
      <c r="A9207" s="11">
        <v>108.78</v>
      </c>
      <c r="B9207" s="14">
        <v>0.82799940000000005</v>
      </c>
      <c r="C9207" s="15">
        <v>0.70698229999999995</v>
      </c>
    </row>
    <row r="9208" spans="1:3" x14ac:dyDescent="0.45">
      <c r="A9208" s="11">
        <v>108.79</v>
      </c>
      <c r="B9208" s="14">
        <v>0.82858909999999997</v>
      </c>
      <c r="C9208" s="15">
        <v>0.70768739999999997</v>
      </c>
    </row>
    <row r="9209" spans="1:3" x14ac:dyDescent="0.45">
      <c r="A9209" s="11">
        <v>108.8</v>
      </c>
      <c r="B9209" s="14">
        <v>0.82917879999999999</v>
      </c>
      <c r="C9209" s="15">
        <v>0.70839260000000004</v>
      </c>
    </row>
    <row r="9210" spans="1:3" x14ac:dyDescent="0.45">
      <c r="A9210" s="11">
        <v>108.81</v>
      </c>
      <c r="B9210" s="14">
        <v>0.82976850000000002</v>
      </c>
      <c r="C9210" s="15">
        <v>0.7090978</v>
      </c>
    </row>
    <row r="9211" spans="1:3" x14ac:dyDescent="0.45">
      <c r="A9211" s="11">
        <v>108.82</v>
      </c>
      <c r="B9211" s="14">
        <v>0.83035820000000005</v>
      </c>
      <c r="C9211" s="15">
        <v>0.70980299999999996</v>
      </c>
    </row>
    <row r="9212" spans="1:3" x14ac:dyDescent="0.45">
      <c r="A9212" s="11">
        <v>108.83</v>
      </c>
      <c r="B9212" s="14">
        <v>0.83094800000000002</v>
      </c>
      <c r="C9212" s="15">
        <v>0.71050809999999998</v>
      </c>
    </row>
    <row r="9213" spans="1:3" x14ac:dyDescent="0.45">
      <c r="A9213" s="11">
        <v>108.84</v>
      </c>
      <c r="B9213" s="14">
        <v>0.83153759999999999</v>
      </c>
      <c r="C9213" s="15">
        <v>0.71121330000000005</v>
      </c>
    </row>
    <row r="9214" spans="1:3" x14ac:dyDescent="0.45">
      <c r="A9214" s="11">
        <v>108.85</v>
      </c>
      <c r="B9214" s="14">
        <v>0.83212730000000001</v>
      </c>
      <c r="C9214" s="15">
        <v>0.71191839999999995</v>
      </c>
    </row>
    <row r="9215" spans="1:3" x14ac:dyDescent="0.45">
      <c r="A9215" s="11">
        <v>108.86</v>
      </c>
      <c r="B9215" s="14">
        <v>0.83271700000000004</v>
      </c>
      <c r="C9215" s="15">
        <v>0.71262360000000002</v>
      </c>
    </row>
    <row r="9216" spans="1:3" x14ac:dyDescent="0.45">
      <c r="A9216" s="11">
        <v>108.87</v>
      </c>
      <c r="B9216" s="14">
        <v>0.83330680000000001</v>
      </c>
      <c r="C9216" s="15">
        <v>0.71332879999999999</v>
      </c>
    </row>
    <row r="9217" spans="1:3" x14ac:dyDescent="0.45">
      <c r="A9217" s="11">
        <v>108.88</v>
      </c>
      <c r="B9217" s="14">
        <v>0.83389650000000004</v>
      </c>
      <c r="C9217" s="15">
        <v>0.71403399999999995</v>
      </c>
    </row>
    <row r="9218" spans="1:3" x14ac:dyDescent="0.45">
      <c r="A9218" s="11">
        <v>108.89</v>
      </c>
      <c r="B9218" s="14">
        <v>0.83448619999999996</v>
      </c>
      <c r="C9218" s="15">
        <v>0.71473909999999996</v>
      </c>
    </row>
    <row r="9219" spans="1:3" x14ac:dyDescent="0.45">
      <c r="A9219" s="11">
        <v>108.9</v>
      </c>
      <c r="B9219" s="14">
        <v>0.83507589999999998</v>
      </c>
      <c r="C9219" s="15">
        <v>0.71544430000000003</v>
      </c>
    </row>
    <row r="9220" spans="1:3" x14ac:dyDescent="0.45">
      <c r="A9220" s="11">
        <v>108.91</v>
      </c>
      <c r="B9220" s="14">
        <v>0.83566560000000001</v>
      </c>
      <c r="C9220" s="15">
        <v>0.71614949999999999</v>
      </c>
    </row>
    <row r="9221" spans="1:3" x14ac:dyDescent="0.45">
      <c r="A9221" s="11">
        <v>108.92</v>
      </c>
      <c r="B9221" s="14">
        <v>0.83625530000000003</v>
      </c>
      <c r="C9221" s="15">
        <v>0.71685460000000001</v>
      </c>
    </row>
    <row r="9222" spans="1:3" x14ac:dyDescent="0.45">
      <c r="A9222" s="11">
        <v>108.93</v>
      </c>
      <c r="B9222" s="14">
        <v>0.83684499999999995</v>
      </c>
      <c r="C9222" s="15">
        <v>0.71755979999999997</v>
      </c>
    </row>
    <row r="9223" spans="1:3" x14ac:dyDescent="0.45">
      <c r="A9223" s="11">
        <v>108.94</v>
      </c>
      <c r="B9223" s="14">
        <v>0.83743469999999998</v>
      </c>
      <c r="C9223" s="15">
        <v>0.71826500000000004</v>
      </c>
    </row>
    <row r="9224" spans="1:3" x14ac:dyDescent="0.45">
      <c r="A9224" s="11">
        <v>108.95</v>
      </c>
      <c r="B9224" s="14">
        <v>0.83802449999999995</v>
      </c>
      <c r="C9224" s="15">
        <v>0.7189702</v>
      </c>
    </row>
    <row r="9225" spans="1:3" x14ac:dyDescent="0.45">
      <c r="A9225" s="11">
        <v>108.96</v>
      </c>
      <c r="B9225" s="14">
        <v>0.83861419999999998</v>
      </c>
      <c r="C9225" s="15">
        <v>0.71967530000000002</v>
      </c>
    </row>
    <row r="9226" spans="1:3" x14ac:dyDescent="0.45">
      <c r="A9226" s="11">
        <v>108.97</v>
      </c>
      <c r="B9226" s="14">
        <v>0.8392039</v>
      </c>
      <c r="C9226" s="15">
        <v>0.72038049999999998</v>
      </c>
    </row>
    <row r="9227" spans="1:3" x14ac:dyDescent="0.45">
      <c r="A9227" s="11">
        <v>108.98</v>
      </c>
      <c r="B9227" s="14">
        <v>0.83979360000000003</v>
      </c>
      <c r="C9227" s="15">
        <v>0.72108570000000005</v>
      </c>
    </row>
    <row r="9228" spans="1:3" x14ac:dyDescent="0.45">
      <c r="A9228" s="11">
        <v>108.99</v>
      </c>
      <c r="B9228" s="14">
        <v>0.84038330000000006</v>
      </c>
      <c r="C9228" s="15">
        <v>0.72179079999999995</v>
      </c>
    </row>
    <row r="9229" spans="1:3" x14ac:dyDescent="0.45">
      <c r="A9229" s="11">
        <v>109</v>
      </c>
      <c r="B9229" s="14">
        <v>0.84097299999999997</v>
      </c>
      <c r="C9229" s="15">
        <v>0.72249600000000003</v>
      </c>
    </row>
    <row r="9230" spans="1:3" x14ac:dyDescent="0.45">
      <c r="A9230" s="11">
        <v>109.01</v>
      </c>
      <c r="B9230" s="14">
        <v>0.84159819999999996</v>
      </c>
      <c r="C9230" s="15">
        <v>0.72327750000000002</v>
      </c>
    </row>
    <row r="9231" spans="1:3" x14ac:dyDescent="0.45">
      <c r="A9231" s="11">
        <v>109.02</v>
      </c>
      <c r="B9231" s="14">
        <v>0.84222339999999996</v>
      </c>
      <c r="C9231" s="15">
        <v>0.72405889999999995</v>
      </c>
    </row>
    <row r="9232" spans="1:3" x14ac:dyDescent="0.45">
      <c r="A9232" s="11">
        <v>109.03</v>
      </c>
      <c r="B9232" s="14">
        <v>0.84284859999999995</v>
      </c>
      <c r="C9232" s="15">
        <v>0.72484040000000005</v>
      </c>
    </row>
    <row r="9233" spans="1:3" x14ac:dyDescent="0.45">
      <c r="A9233" s="11">
        <v>109.04</v>
      </c>
      <c r="B9233" s="14">
        <v>0.84347380000000005</v>
      </c>
      <c r="C9233" s="15">
        <v>0.72562179999999998</v>
      </c>
    </row>
    <row r="9234" spans="1:3" x14ac:dyDescent="0.45">
      <c r="A9234" s="11">
        <v>109.05</v>
      </c>
      <c r="B9234" s="14">
        <v>0.84409900000000004</v>
      </c>
      <c r="C9234" s="15">
        <v>0.72640329999999997</v>
      </c>
    </row>
    <row r="9235" spans="1:3" x14ac:dyDescent="0.45">
      <c r="A9235" s="11">
        <v>109.06</v>
      </c>
      <c r="B9235" s="14">
        <v>0.84472429999999998</v>
      </c>
      <c r="C9235" s="15">
        <v>0.72718479999999996</v>
      </c>
    </row>
    <row r="9236" spans="1:3" x14ac:dyDescent="0.45">
      <c r="A9236" s="11">
        <v>109.07</v>
      </c>
      <c r="B9236" s="14">
        <v>0.84534949999999998</v>
      </c>
      <c r="C9236" s="15">
        <v>0.72796620000000001</v>
      </c>
    </row>
    <row r="9237" spans="1:3" x14ac:dyDescent="0.45">
      <c r="A9237" s="11">
        <v>109.08</v>
      </c>
      <c r="B9237" s="14">
        <v>0.84597469999999997</v>
      </c>
      <c r="C9237" s="15">
        <v>0.7287477</v>
      </c>
    </row>
    <row r="9238" spans="1:3" x14ac:dyDescent="0.45">
      <c r="A9238" s="11">
        <v>109.09</v>
      </c>
      <c r="B9238" s="14">
        <v>0.84659989999999996</v>
      </c>
      <c r="C9238" s="15">
        <v>0.72952910000000004</v>
      </c>
    </row>
    <row r="9239" spans="1:3" x14ac:dyDescent="0.45">
      <c r="A9239" s="11">
        <v>109.1</v>
      </c>
      <c r="B9239" s="14">
        <v>0.84722509999999995</v>
      </c>
      <c r="C9239" s="15">
        <v>0.73031060000000003</v>
      </c>
    </row>
    <row r="9240" spans="1:3" x14ac:dyDescent="0.45">
      <c r="A9240" s="11">
        <v>109.11</v>
      </c>
      <c r="B9240" s="14">
        <v>0.84785029999999995</v>
      </c>
      <c r="C9240" s="15">
        <v>0.73109199999999996</v>
      </c>
    </row>
    <row r="9241" spans="1:3" x14ac:dyDescent="0.45">
      <c r="A9241" s="11">
        <v>109.12</v>
      </c>
      <c r="B9241" s="14">
        <v>0.84847550000000005</v>
      </c>
      <c r="C9241" s="15">
        <v>0.73187349999999995</v>
      </c>
    </row>
    <row r="9242" spans="1:3" x14ac:dyDescent="0.45">
      <c r="A9242" s="11">
        <v>109.13</v>
      </c>
      <c r="B9242" s="14">
        <v>0.84910070000000004</v>
      </c>
      <c r="C9242" s="15">
        <v>0.73265499999999995</v>
      </c>
    </row>
    <row r="9243" spans="1:3" x14ac:dyDescent="0.45">
      <c r="A9243" s="11">
        <v>109.14</v>
      </c>
      <c r="B9243" s="14">
        <v>0.84972599999999998</v>
      </c>
      <c r="C9243" s="15">
        <v>0.73343639999999999</v>
      </c>
    </row>
    <row r="9244" spans="1:3" x14ac:dyDescent="0.45">
      <c r="A9244" s="11">
        <v>109.15</v>
      </c>
      <c r="B9244" s="14">
        <v>0.85035119999999997</v>
      </c>
      <c r="C9244" s="15">
        <v>0.73421789999999998</v>
      </c>
    </row>
    <row r="9245" spans="1:3" x14ac:dyDescent="0.45">
      <c r="A9245" s="11">
        <v>109.16</v>
      </c>
      <c r="B9245" s="14">
        <v>0.85097639999999997</v>
      </c>
      <c r="C9245" s="15">
        <v>0.73499939999999997</v>
      </c>
    </row>
    <row r="9246" spans="1:3" x14ac:dyDescent="0.45">
      <c r="A9246" s="11">
        <v>109.17</v>
      </c>
      <c r="B9246" s="14">
        <v>0.85160159999999996</v>
      </c>
      <c r="C9246" s="15">
        <v>0.73578080000000001</v>
      </c>
    </row>
    <row r="9247" spans="1:3" x14ac:dyDescent="0.45">
      <c r="A9247" s="11">
        <v>109.18</v>
      </c>
      <c r="B9247" s="14">
        <v>0.85222679999999995</v>
      </c>
      <c r="C9247" s="15">
        <v>0.7365623</v>
      </c>
    </row>
    <row r="9248" spans="1:3" x14ac:dyDescent="0.45">
      <c r="A9248" s="11">
        <v>109.19</v>
      </c>
      <c r="B9248" s="14">
        <v>0.85285200000000005</v>
      </c>
      <c r="C9248" s="15">
        <v>0.73734370000000005</v>
      </c>
    </row>
    <row r="9249" spans="1:3" x14ac:dyDescent="0.45">
      <c r="A9249" s="11">
        <v>109.2</v>
      </c>
      <c r="B9249" s="14">
        <v>0.85347720000000005</v>
      </c>
      <c r="C9249" s="15">
        <v>0.73812520000000004</v>
      </c>
    </row>
    <row r="9250" spans="1:3" x14ac:dyDescent="0.45">
      <c r="A9250" s="11">
        <v>109.21</v>
      </c>
      <c r="B9250" s="14">
        <v>0.85410240000000004</v>
      </c>
      <c r="C9250" s="15">
        <v>0.73890670000000003</v>
      </c>
    </row>
    <row r="9251" spans="1:3" x14ac:dyDescent="0.45">
      <c r="A9251" s="11">
        <v>109.22</v>
      </c>
      <c r="B9251" s="14">
        <v>0.85472760000000003</v>
      </c>
      <c r="C9251" s="15">
        <v>0.73968809999999996</v>
      </c>
    </row>
    <row r="9252" spans="1:3" x14ac:dyDescent="0.45">
      <c r="A9252" s="11">
        <v>109.23</v>
      </c>
      <c r="B9252" s="14">
        <v>0.85535280000000002</v>
      </c>
      <c r="C9252" s="15">
        <v>0.74046959999999995</v>
      </c>
    </row>
    <row r="9253" spans="1:3" x14ac:dyDescent="0.45">
      <c r="A9253" s="11">
        <v>109.24</v>
      </c>
      <c r="B9253" s="14">
        <v>0.85597800000000002</v>
      </c>
      <c r="C9253" s="15">
        <v>0.74125099999999999</v>
      </c>
    </row>
    <row r="9254" spans="1:3" x14ac:dyDescent="0.45">
      <c r="A9254" s="11">
        <v>109.25</v>
      </c>
      <c r="B9254" s="14">
        <v>0.85660329999999996</v>
      </c>
      <c r="C9254" s="15">
        <v>0.74203249999999998</v>
      </c>
    </row>
    <row r="9255" spans="1:3" x14ac:dyDescent="0.45">
      <c r="A9255" s="11">
        <v>109.26</v>
      </c>
      <c r="B9255" s="14">
        <v>0.85722849999999995</v>
      </c>
      <c r="C9255" s="15">
        <v>0.74281399999999997</v>
      </c>
    </row>
    <row r="9256" spans="1:3" x14ac:dyDescent="0.45">
      <c r="A9256" s="11">
        <v>109.27</v>
      </c>
      <c r="B9256" s="14">
        <v>0.85785370000000005</v>
      </c>
      <c r="C9256" s="15">
        <v>0.74359540000000002</v>
      </c>
    </row>
    <row r="9257" spans="1:3" x14ac:dyDescent="0.45">
      <c r="A9257" s="11">
        <v>109.28</v>
      </c>
      <c r="B9257" s="14">
        <v>0.85847890000000004</v>
      </c>
      <c r="C9257" s="15">
        <v>0.74437690000000001</v>
      </c>
    </row>
    <row r="9258" spans="1:3" x14ac:dyDescent="0.45">
      <c r="A9258" s="11">
        <v>109.29</v>
      </c>
      <c r="B9258" s="14">
        <v>0.85910410000000004</v>
      </c>
      <c r="C9258" s="15">
        <v>0.74515830000000005</v>
      </c>
    </row>
    <row r="9259" spans="1:3" x14ac:dyDescent="0.45">
      <c r="A9259" s="11">
        <v>109.3</v>
      </c>
      <c r="B9259" s="14">
        <v>0.85972930000000003</v>
      </c>
      <c r="C9259" s="15">
        <v>0.74593980000000004</v>
      </c>
    </row>
    <row r="9260" spans="1:3" x14ac:dyDescent="0.45">
      <c r="A9260" s="11">
        <v>109.31</v>
      </c>
      <c r="B9260" s="14">
        <v>0.86035450000000002</v>
      </c>
      <c r="C9260" s="15">
        <v>0.74672130000000003</v>
      </c>
    </row>
    <row r="9261" spans="1:3" x14ac:dyDescent="0.45">
      <c r="A9261" s="11">
        <v>109.32</v>
      </c>
      <c r="B9261" s="14">
        <v>0.86097970000000001</v>
      </c>
      <c r="C9261" s="15">
        <v>0.74750269999999996</v>
      </c>
    </row>
    <row r="9262" spans="1:3" x14ac:dyDescent="0.45">
      <c r="A9262" s="11">
        <v>109.33</v>
      </c>
      <c r="B9262" s="14">
        <v>0.86160499999999995</v>
      </c>
      <c r="C9262" s="15">
        <v>0.74828419999999995</v>
      </c>
    </row>
    <row r="9263" spans="1:3" x14ac:dyDescent="0.45">
      <c r="A9263" s="11">
        <v>109.34</v>
      </c>
      <c r="B9263" s="14">
        <v>0.8622301</v>
      </c>
      <c r="C9263" s="15">
        <v>0.7490656</v>
      </c>
    </row>
    <row r="9264" spans="1:3" x14ac:dyDescent="0.45">
      <c r="A9264" s="11">
        <v>109.35</v>
      </c>
      <c r="B9264" s="14">
        <v>0.86285529999999999</v>
      </c>
      <c r="C9264" s="15">
        <v>0.74984709999999999</v>
      </c>
    </row>
    <row r="9265" spans="1:3" x14ac:dyDescent="0.45">
      <c r="A9265" s="11">
        <v>109.36</v>
      </c>
      <c r="B9265" s="14">
        <v>0.86348060000000004</v>
      </c>
      <c r="C9265" s="15">
        <v>0.75062859999999998</v>
      </c>
    </row>
    <row r="9266" spans="1:3" x14ac:dyDescent="0.45">
      <c r="A9266" s="11">
        <v>109.37</v>
      </c>
      <c r="B9266" s="14">
        <v>0.86410580000000003</v>
      </c>
      <c r="C9266" s="15">
        <v>0.75141000000000002</v>
      </c>
    </row>
    <row r="9267" spans="1:3" x14ac:dyDescent="0.45">
      <c r="A9267" s="11">
        <v>109.38</v>
      </c>
      <c r="B9267" s="14">
        <v>0.86473100000000003</v>
      </c>
      <c r="C9267" s="15">
        <v>0.75219150000000001</v>
      </c>
    </row>
    <row r="9268" spans="1:3" x14ac:dyDescent="0.45">
      <c r="A9268" s="11">
        <v>109.39</v>
      </c>
      <c r="B9268" s="14">
        <v>0.86535620000000002</v>
      </c>
      <c r="C9268" s="15">
        <v>0.752973</v>
      </c>
    </row>
    <row r="9269" spans="1:3" x14ac:dyDescent="0.45">
      <c r="A9269" s="11">
        <v>109.4</v>
      </c>
      <c r="B9269" s="14">
        <v>0.86598140000000001</v>
      </c>
      <c r="C9269" s="15">
        <v>0.75375440000000005</v>
      </c>
    </row>
    <row r="9270" spans="1:3" x14ac:dyDescent="0.45">
      <c r="A9270" s="11">
        <v>109.41</v>
      </c>
      <c r="B9270" s="14">
        <v>0.8666066</v>
      </c>
      <c r="C9270" s="15">
        <v>0.75453590000000004</v>
      </c>
    </row>
    <row r="9271" spans="1:3" x14ac:dyDescent="0.45">
      <c r="A9271" s="11">
        <v>109.42</v>
      </c>
      <c r="B9271" s="14">
        <v>0.8672318</v>
      </c>
      <c r="C9271" s="15">
        <v>0.75531729999999997</v>
      </c>
    </row>
    <row r="9272" spans="1:3" x14ac:dyDescent="0.45">
      <c r="A9272" s="11">
        <v>109.43</v>
      </c>
      <c r="B9272" s="14">
        <v>0.86785699999999999</v>
      </c>
      <c r="C9272" s="15">
        <v>0.75609879999999996</v>
      </c>
    </row>
    <row r="9273" spans="1:3" x14ac:dyDescent="0.45">
      <c r="A9273" s="11">
        <v>109.44</v>
      </c>
      <c r="B9273" s="14">
        <v>0.86848219999999998</v>
      </c>
      <c r="C9273" s="15">
        <v>0.7568802</v>
      </c>
    </row>
    <row r="9274" spans="1:3" x14ac:dyDescent="0.45">
      <c r="A9274" s="11">
        <v>109.45</v>
      </c>
      <c r="B9274" s="14">
        <v>0.86910750000000003</v>
      </c>
      <c r="C9274" s="15">
        <v>0.75766169999999999</v>
      </c>
    </row>
    <row r="9275" spans="1:3" x14ac:dyDescent="0.45">
      <c r="A9275" s="11">
        <v>109.46</v>
      </c>
      <c r="B9275" s="14">
        <v>0.86973270000000003</v>
      </c>
      <c r="C9275" s="15">
        <v>0.75844319999999998</v>
      </c>
    </row>
    <row r="9276" spans="1:3" x14ac:dyDescent="0.45">
      <c r="A9276" s="11">
        <v>109.47</v>
      </c>
      <c r="B9276" s="14">
        <v>0.87035790000000002</v>
      </c>
      <c r="C9276" s="15">
        <v>0.75922460000000003</v>
      </c>
    </row>
    <row r="9277" spans="1:3" x14ac:dyDescent="0.45">
      <c r="A9277" s="11">
        <v>109.48</v>
      </c>
      <c r="B9277" s="14">
        <v>0.87098299999999995</v>
      </c>
      <c r="C9277" s="15">
        <v>0.76000610000000002</v>
      </c>
    </row>
    <row r="9278" spans="1:3" x14ac:dyDescent="0.45">
      <c r="A9278" s="11">
        <v>109.49</v>
      </c>
      <c r="B9278" s="14">
        <v>0.8716083</v>
      </c>
      <c r="C9278" s="15">
        <v>0.76078749999999995</v>
      </c>
    </row>
    <row r="9279" spans="1:3" x14ac:dyDescent="0.45">
      <c r="A9279" s="11">
        <v>109.5</v>
      </c>
      <c r="B9279" s="14">
        <v>0.87223349999999999</v>
      </c>
      <c r="C9279" s="15">
        <v>0.76156900000000005</v>
      </c>
    </row>
    <row r="9280" spans="1:3" x14ac:dyDescent="0.45">
      <c r="A9280" s="11">
        <v>109.51</v>
      </c>
      <c r="B9280" s="14">
        <v>0.87285869999999999</v>
      </c>
      <c r="C9280" s="15">
        <v>0.76235050000000004</v>
      </c>
    </row>
    <row r="9281" spans="1:3" x14ac:dyDescent="0.45">
      <c r="A9281" s="11">
        <v>109.52</v>
      </c>
      <c r="B9281" s="14">
        <v>0.87348400000000004</v>
      </c>
      <c r="C9281" s="15">
        <v>0.76313189999999997</v>
      </c>
    </row>
    <row r="9282" spans="1:3" x14ac:dyDescent="0.45">
      <c r="A9282" s="11">
        <v>109.53</v>
      </c>
      <c r="B9282" s="14">
        <v>0.87410909999999997</v>
      </c>
      <c r="C9282" s="15">
        <v>0.76391339999999996</v>
      </c>
    </row>
    <row r="9283" spans="1:3" x14ac:dyDescent="0.45">
      <c r="A9283" s="11">
        <v>109.54</v>
      </c>
      <c r="B9283" s="14">
        <v>0.87473429999999996</v>
      </c>
      <c r="C9283" s="15">
        <v>0.76469480000000001</v>
      </c>
    </row>
    <row r="9284" spans="1:3" x14ac:dyDescent="0.45">
      <c r="A9284" s="11">
        <v>109.55</v>
      </c>
      <c r="B9284" s="14">
        <v>0.87535949999999996</v>
      </c>
      <c r="C9284" s="15">
        <v>0.7654763</v>
      </c>
    </row>
    <row r="9285" spans="1:3" x14ac:dyDescent="0.45">
      <c r="A9285" s="11">
        <v>109.56</v>
      </c>
      <c r="B9285" s="14">
        <v>0.87598480000000001</v>
      </c>
      <c r="C9285" s="15">
        <v>0.76625779999999999</v>
      </c>
    </row>
    <row r="9286" spans="1:3" x14ac:dyDescent="0.45">
      <c r="A9286" s="11">
        <v>109.57</v>
      </c>
      <c r="B9286" s="14">
        <v>0.87661</v>
      </c>
      <c r="C9286" s="15">
        <v>0.76703920000000003</v>
      </c>
    </row>
    <row r="9287" spans="1:3" x14ac:dyDescent="0.45">
      <c r="A9287" s="11">
        <v>109.58</v>
      </c>
      <c r="B9287" s="14">
        <v>0.87723519999999999</v>
      </c>
      <c r="C9287" s="15">
        <v>0.76782070000000002</v>
      </c>
    </row>
    <row r="9288" spans="1:3" x14ac:dyDescent="0.45">
      <c r="A9288" s="11">
        <v>109.59</v>
      </c>
      <c r="B9288" s="14">
        <v>0.87786039999999999</v>
      </c>
      <c r="C9288" s="15">
        <v>0.76860209999999995</v>
      </c>
    </row>
    <row r="9289" spans="1:3" x14ac:dyDescent="0.45">
      <c r="A9289" s="11">
        <v>109.6</v>
      </c>
      <c r="B9289" s="14">
        <v>0.87848559999999998</v>
      </c>
      <c r="C9289" s="15">
        <v>0.76938359999999995</v>
      </c>
    </row>
    <row r="9290" spans="1:3" x14ac:dyDescent="0.45">
      <c r="A9290" s="11">
        <v>109.61</v>
      </c>
      <c r="B9290" s="14">
        <v>0.87911079999999997</v>
      </c>
      <c r="C9290" s="15">
        <v>0.77016499999999999</v>
      </c>
    </row>
    <row r="9291" spans="1:3" x14ac:dyDescent="0.45">
      <c r="A9291" s="11">
        <v>109.62</v>
      </c>
      <c r="B9291" s="14">
        <v>0.87973599999999996</v>
      </c>
      <c r="C9291" s="15">
        <v>0.77094649999999998</v>
      </c>
    </row>
    <row r="9292" spans="1:3" x14ac:dyDescent="0.45">
      <c r="A9292" s="11">
        <v>109.63</v>
      </c>
      <c r="B9292" s="14">
        <v>0.88036119999999995</v>
      </c>
      <c r="C9292" s="15">
        <v>0.77172799999999997</v>
      </c>
    </row>
    <row r="9293" spans="1:3" x14ac:dyDescent="0.45">
      <c r="A9293" s="11">
        <v>109.64</v>
      </c>
      <c r="B9293" s="14">
        <v>0.88098639999999995</v>
      </c>
      <c r="C9293" s="15">
        <v>0.77250940000000001</v>
      </c>
    </row>
    <row r="9294" spans="1:3" x14ac:dyDescent="0.45">
      <c r="A9294" s="11">
        <v>109.65</v>
      </c>
      <c r="B9294" s="14">
        <v>0.8816117</v>
      </c>
      <c r="C9294" s="15">
        <v>0.7732909</v>
      </c>
    </row>
    <row r="9295" spans="1:3" x14ac:dyDescent="0.45">
      <c r="A9295" s="11">
        <v>109.66</v>
      </c>
      <c r="B9295" s="14">
        <v>0.88223689999999999</v>
      </c>
      <c r="C9295" s="15">
        <v>0.77407239999999999</v>
      </c>
    </row>
    <row r="9296" spans="1:3" x14ac:dyDescent="0.45">
      <c r="A9296" s="11">
        <v>109.67</v>
      </c>
      <c r="B9296" s="14">
        <v>0.88286200000000004</v>
      </c>
      <c r="C9296" s="15">
        <v>0.77485380000000004</v>
      </c>
    </row>
    <row r="9297" spans="1:3" x14ac:dyDescent="0.45">
      <c r="A9297" s="11">
        <v>109.68</v>
      </c>
      <c r="B9297" s="14">
        <v>0.88348729999999998</v>
      </c>
      <c r="C9297" s="15">
        <v>0.77563530000000003</v>
      </c>
    </row>
    <row r="9298" spans="1:3" x14ac:dyDescent="0.45">
      <c r="A9298" s="11">
        <v>109.69</v>
      </c>
      <c r="B9298" s="14">
        <v>0.88411249999999997</v>
      </c>
      <c r="C9298" s="15">
        <v>0.77641669999999996</v>
      </c>
    </row>
    <row r="9299" spans="1:3" x14ac:dyDescent="0.45">
      <c r="A9299" s="11">
        <v>109.7</v>
      </c>
      <c r="B9299" s="14">
        <v>0.88473769999999996</v>
      </c>
      <c r="C9299" s="15">
        <v>0.77719819999999995</v>
      </c>
    </row>
    <row r="9300" spans="1:3" x14ac:dyDescent="0.45">
      <c r="A9300" s="11">
        <v>109.71</v>
      </c>
      <c r="B9300" s="14">
        <v>0.88536289999999995</v>
      </c>
      <c r="C9300" s="15">
        <v>0.77797970000000005</v>
      </c>
    </row>
    <row r="9301" spans="1:3" x14ac:dyDescent="0.45">
      <c r="A9301" s="11">
        <v>109.72</v>
      </c>
      <c r="B9301" s="14">
        <v>0.88598809999999995</v>
      </c>
      <c r="C9301" s="15">
        <v>0.77876109999999998</v>
      </c>
    </row>
    <row r="9302" spans="1:3" x14ac:dyDescent="0.45">
      <c r="A9302" s="11">
        <v>109.73</v>
      </c>
      <c r="B9302" s="14">
        <v>0.88661330000000005</v>
      </c>
      <c r="C9302" s="15">
        <v>0.77954259999999997</v>
      </c>
    </row>
    <row r="9303" spans="1:3" x14ac:dyDescent="0.45">
      <c r="A9303" s="11">
        <v>109.74</v>
      </c>
      <c r="B9303" s="14">
        <v>0.88723850000000004</v>
      </c>
      <c r="C9303" s="15">
        <v>0.78032400000000002</v>
      </c>
    </row>
    <row r="9304" spans="1:3" x14ac:dyDescent="0.45">
      <c r="A9304" s="11">
        <v>109.75</v>
      </c>
      <c r="B9304" s="14">
        <v>0.88786370000000003</v>
      </c>
      <c r="C9304" s="15">
        <v>0.78110550000000001</v>
      </c>
    </row>
    <row r="9305" spans="1:3" x14ac:dyDescent="0.45">
      <c r="A9305" s="11">
        <v>109.76</v>
      </c>
      <c r="B9305" s="14">
        <v>0.88848899999999997</v>
      </c>
      <c r="C9305" s="15">
        <v>0.781887</v>
      </c>
    </row>
    <row r="9306" spans="1:3" x14ac:dyDescent="0.45">
      <c r="A9306" s="11">
        <v>109.77</v>
      </c>
      <c r="B9306" s="14">
        <v>0.88911419999999997</v>
      </c>
      <c r="C9306" s="15">
        <v>0.78266840000000004</v>
      </c>
    </row>
    <row r="9307" spans="1:3" x14ac:dyDescent="0.45">
      <c r="A9307" s="11">
        <v>109.78</v>
      </c>
      <c r="B9307" s="14">
        <v>0.88973939999999996</v>
      </c>
      <c r="C9307" s="15">
        <v>0.78344990000000003</v>
      </c>
    </row>
    <row r="9308" spans="1:3" x14ac:dyDescent="0.45">
      <c r="A9308" s="11">
        <v>109.79</v>
      </c>
      <c r="B9308" s="14">
        <v>0.89036459999999995</v>
      </c>
      <c r="C9308" s="15">
        <v>0.78423129999999996</v>
      </c>
    </row>
    <row r="9309" spans="1:3" x14ac:dyDescent="0.45">
      <c r="A9309" s="11">
        <v>109.8</v>
      </c>
      <c r="B9309" s="14">
        <v>0.89098980000000005</v>
      </c>
      <c r="C9309" s="15">
        <v>0.78501279999999996</v>
      </c>
    </row>
    <row r="9310" spans="1:3" x14ac:dyDescent="0.45">
      <c r="A9310" s="11">
        <v>109.81</v>
      </c>
      <c r="B9310" s="14">
        <v>0.89161500000000005</v>
      </c>
      <c r="C9310" s="15">
        <v>0.78579429999999995</v>
      </c>
    </row>
    <row r="9311" spans="1:3" x14ac:dyDescent="0.45">
      <c r="A9311" s="11">
        <v>109.82</v>
      </c>
      <c r="B9311" s="14">
        <v>0.89224020000000004</v>
      </c>
      <c r="C9311" s="15">
        <v>0.78657569999999999</v>
      </c>
    </row>
    <row r="9312" spans="1:3" x14ac:dyDescent="0.45">
      <c r="A9312" s="11">
        <v>109.83</v>
      </c>
      <c r="B9312" s="14">
        <v>0.89286540000000003</v>
      </c>
      <c r="C9312" s="15">
        <v>0.78735719999999998</v>
      </c>
    </row>
    <row r="9313" spans="1:3" x14ac:dyDescent="0.45">
      <c r="A9313" s="11">
        <v>109.84</v>
      </c>
      <c r="B9313" s="14">
        <v>0.89349060000000002</v>
      </c>
      <c r="C9313" s="15">
        <v>0.78813860000000002</v>
      </c>
    </row>
    <row r="9314" spans="1:3" x14ac:dyDescent="0.45">
      <c r="A9314" s="11">
        <v>109.85</v>
      </c>
      <c r="B9314" s="14">
        <v>0.89411580000000002</v>
      </c>
      <c r="C9314" s="15">
        <v>0.78892010000000001</v>
      </c>
    </row>
    <row r="9315" spans="1:3" x14ac:dyDescent="0.45">
      <c r="A9315" s="11">
        <v>109.86</v>
      </c>
      <c r="B9315" s="14">
        <v>0.89474100000000001</v>
      </c>
      <c r="C9315" s="15">
        <v>0.7897016</v>
      </c>
    </row>
    <row r="9316" spans="1:3" x14ac:dyDescent="0.45">
      <c r="A9316" s="11">
        <v>109.87</v>
      </c>
      <c r="B9316" s="14">
        <v>0.89536629999999995</v>
      </c>
      <c r="C9316" s="15">
        <v>0.79048300000000005</v>
      </c>
    </row>
    <row r="9317" spans="1:3" x14ac:dyDescent="0.45">
      <c r="A9317" s="11">
        <v>109.88</v>
      </c>
      <c r="B9317" s="14">
        <v>0.89599150000000005</v>
      </c>
      <c r="C9317" s="15">
        <v>0.79126450000000004</v>
      </c>
    </row>
    <row r="9318" spans="1:3" x14ac:dyDescent="0.45">
      <c r="A9318" s="11">
        <v>109.89</v>
      </c>
      <c r="B9318" s="14">
        <v>0.89661670000000004</v>
      </c>
      <c r="C9318" s="15">
        <v>0.79204600000000003</v>
      </c>
    </row>
    <row r="9319" spans="1:3" x14ac:dyDescent="0.45">
      <c r="A9319" s="11">
        <v>109.9</v>
      </c>
      <c r="B9319" s="14">
        <v>0.89724190000000004</v>
      </c>
      <c r="C9319" s="15">
        <v>0.79282739999999996</v>
      </c>
    </row>
    <row r="9320" spans="1:3" x14ac:dyDescent="0.45">
      <c r="A9320" s="11">
        <v>109.91</v>
      </c>
      <c r="B9320" s="14">
        <v>0.89786710000000003</v>
      </c>
      <c r="C9320" s="15">
        <v>0.79360889999999995</v>
      </c>
    </row>
    <row r="9321" spans="1:3" x14ac:dyDescent="0.45">
      <c r="A9321" s="11">
        <v>109.92</v>
      </c>
      <c r="B9321" s="14">
        <v>0.89849230000000002</v>
      </c>
      <c r="C9321" s="15">
        <v>0.79439029999999999</v>
      </c>
    </row>
    <row r="9322" spans="1:3" x14ac:dyDescent="0.45">
      <c r="A9322" s="11">
        <v>109.93</v>
      </c>
      <c r="B9322" s="14">
        <v>0.89911750000000001</v>
      </c>
      <c r="C9322" s="15">
        <v>0.79517179999999998</v>
      </c>
    </row>
    <row r="9323" spans="1:3" x14ac:dyDescent="0.45">
      <c r="A9323" s="11">
        <v>109.94</v>
      </c>
      <c r="B9323" s="14">
        <v>0.89974270000000001</v>
      </c>
      <c r="C9323" s="15">
        <v>0.79595320000000003</v>
      </c>
    </row>
    <row r="9324" spans="1:3" x14ac:dyDescent="0.45">
      <c r="A9324" s="11">
        <v>109.95</v>
      </c>
      <c r="B9324" s="14">
        <v>0.90036799999999995</v>
      </c>
      <c r="C9324" s="15">
        <v>0.79673470000000002</v>
      </c>
    </row>
    <row r="9325" spans="1:3" x14ac:dyDescent="0.45">
      <c r="A9325" s="11">
        <v>109.96</v>
      </c>
      <c r="B9325" s="14">
        <v>0.90099320000000005</v>
      </c>
      <c r="C9325" s="15">
        <v>0.79751620000000001</v>
      </c>
    </row>
    <row r="9326" spans="1:3" x14ac:dyDescent="0.45">
      <c r="A9326" s="11">
        <v>109.97</v>
      </c>
      <c r="B9326" s="14">
        <v>0.90161840000000004</v>
      </c>
      <c r="C9326" s="15">
        <v>0.79829760000000005</v>
      </c>
    </row>
    <row r="9327" spans="1:3" x14ac:dyDescent="0.45">
      <c r="A9327" s="11">
        <v>109.98</v>
      </c>
      <c r="B9327" s="14">
        <v>0.90224360000000003</v>
      </c>
      <c r="C9327" s="15">
        <v>0.79907910000000004</v>
      </c>
    </row>
    <row r="9328" spans="1:3" x14ac:dyDescent="0.45">
      <c r="A9328" s="11">
        <v>109.99</v>
      </c>
      <c r="B9328" s="14">
        <v>0.90286880000000003</v>
      </c>
      <c r="C9328" s="15">
        <v>0.79986049999999997</v>
      </c>
    </row>
    <row r="9329" spans="1:3" x14ac:dyDescent="0.45">
      <c r="A9329" s="11">
        <v>110</v>
      </c>
      <c r="B9329" s="14">
        <v>0.90349400000000002</v>
      </c>
      <c r="C9329" s="15">
        <v>0.80064199999999996</v>
      </c>
    </row>
    <row r="9330" spans="1:3" x14ac:dyDescent="0.45">
      <c r="A9330" s="11">
        <v>110.01</v>
      </c>
      <c r="B9330" s="14">
        <v>0.90415599999999996</v>
      </c>
      <c r="C9330" s="15">
        <v>0.801508</v>
      </c>
    </row>
    <row r="9331" spans="1:3" x14ac:dyDescent="0.45">
      <c r="A9331" s="11">
        <v>110.02</v>
      </c>
      <c r="B9331" s="14">
        <v>0.90481809999999996</v>
      </c>
      <c r="C9331" s="15">
        <v>0.80237400000000003</v>
      </c>
    </row>
    <row r="9332" spans="1:3" x14ac:dyDescent="0.45">
      <c r="A9332" s="11">
        <v>110.03</v>
      </c>
      <c r="B9332" s="14">
        <v>0.90548019999999996</v>
      </c>
      <c r="C9332" s="15">
        <v>0.80323999999999995</v>
      </c>
    </row>
    <row r="9333" spans="1:3" x14ac:dyDescent="0.45">
      <c r="A9333" s="11">
        <v>110.04</v>
      </c>
      <c r="B9333" s="14">
        <v>0.90614220000000001</v>
      </c>
      <c r="C9333" s="15">
        <v>0.80410599999999999</v>
      </c>
    </row>
    <row r="9334" spans="1:3" x14ac:dyDescent="0.45">
      <c r="A9334" s="11">
        <v>110.05</v>
      </c>
      <c r="B9334" s="14">
        <v>0.90680430000000001</v>
      </c>
      <c r="C9334" s="15">
        <v>0.80497200000000002</v>
      </c>
    </row>
    <row r="9335" spans="1:3" x14ac:dyDescent="0.45">
      <c r="A9335" s="11">
        <v>110.06</v>
      </c>
      <c r="B9335" s="14">
        <v>0.90746640000000001</v>
      </c>
      <c r="C9335" s="15">
        <v>0.80583800000000005</v>
      </c>
    </row>
    <row r="9336" spans="1:3" x14ac:dyDescent="0.45">
      <c r="A9336" s="11">
        <v>110.07</v>
      </c>
      <c r="B9336" s="14">
        <v>0.90812839999999995</v>
      </c>
      <c r="C9336" s="15">
        <v>0.80670399999999998</v>
      </c>
    </row>
    <row r="9337" spans="1:3" x14ac:dyDescent="0.45">
      <c r="A9337" s="11">
        <v>110.08</v>
      </c>
      <c r="B9337" s="14">
        <v>0.90879049999999995</v>
      </c>
      <c r="C9337" s="15">
        <v>0.80757000000000001</v>
      </c>
    </row>
    <row r="9338" spans="1:3" x14ac:dyDescent="0.45">
      <c r="A9338" s="11">
        <v>110.09</v>
      </c>
      <c r="B9338" s="14">
        <v>0.9094525</v>
      </c>
      <c r="C9338" s="15">
        <v>0.80843589999999999</v>
      </c>
    </row>
    <row r="9339" spans="1:3" x14ac:dyDescent="0.45">
      <c r="A9339" s="11">
        <v>110.1</v>
      </c>
      <c r="B9339" s="14">
        <v>0.9101146</v>
      </c>
      <c r="C9339" s="15">
        <v>0.80930190000000002</v>
      </c>
    </row>
    <row r="9340" spans="1:3" x14ac:dyDescent="0.45">
      <c r="A9340" s="11">
        <v>110.11</v>
      </c>
      <c r="B9340" s="14">
        <v>0.91077669999999999</v>
      </c>
      <c r="C9340" s="15">
        <v>0.81016790000000005</v>
      </c>
    </row>
    <row r="9341" spans="1:3" x14ac:dyDescent="0.45">
      <c r="A9341" s="11">
        <v>110.12</v>
      </c>
      <c r="B9341" s="14">
        <v>0.91143870000000005</v>
      </c>
      <c r="C9341" s="15">
        <v>0.81103389999999997</v>
      </c>
    </row>
    <row r="9342" spans="1:3" x14ac:dyDescent="0.45">
      <c r="A9342" s="11">
        <v>110.13</v>
      </c>
      <c r="B9342" s="14">
        <v>0.91210080000000004</v>
      </c>
      <c r="C9342" s="15">
        <v>0.81189990000000001</v>
      </c>
    </row>
    <row r="9343" spans="1:3" x14ac:dyDescent="0.45">
      <c r="A9343" s="11">
        <v>110.14</v>
      </c>
      <c r="B9343" s="14">
        <v>0.91276279999999999</v>
      </c>
      <c r="C9343" s="15">
        <v>0.81276590000000004</v>
      </c>
    </row>
    <row r="9344" spans="1:3" x14ac:dyDescent="0.45">
      <c r="A9344" s="11">
        <v>110.15</v>
      </c>
      <c r="B9344" s="14">
        <v>0.91342489999999998</v>
      </c>
      <c r="C9344" s="15">
        <v>0.81363189999999996</v>
      </c>
    </row>
    <row r="9345" spans="1:3" x14ac:dyDescent="0.45">
      <c r="A9345" s="11">
        <v>110.16</v>
      </c>
      <c r="B9345" s="14">
        <v>0.91408699999999998</v>
      </c>
      <c r="C9345" s="15">
        <v>0.81449780000000005</v>
      </c>
    </row>
    <row r="9346" spans="1:3" x14ac:dyDescent="0.45">
      <c r="A9346" s="11">
        <v>110.17</v>
      </c>
      <c r="B9346" s="14">
        <v>0.91474900000000003</v>
      </c>
      <c r="C9346" s="15">
        <v>0.81536379999999997</v>
      </c>
    </row>
    <row r="9347" spans="1:3" x14ac:dyDescent="0.45">
      <c r="A9347" s="11">
        <v>110.18</v>
      </c>
      <c r="B9347" s="14">
        <v>0.91541099999999997</v>
      </c>
      <c r="C9347" s="15">
        <v>0.81622980000000001</v>
      </c>
    </row>
    <row r="9348" spans="1:3" x14ac:dyDescent="0.45">
      <c r="A9348" s="11">
        <v>110.19</v>
      </c>
      <c r="B9348" s="14">
        <v>0.91607309999999997</v>
      </c>
      <c r="C9348" s="15">
        <v>0.81709580000000004</v>
      </c>
    </row>
    <row r="9349" spans="1:3" x14ac:dyDescent="0.45">
      <c r="A9349" s="11">
        <v>110.2</v>
      </c>
      <c r="B9349" s="14">
        <v>0.91673519999999997</v>
      </c>
      <c r="C9349" s="15">
        <v>0.81796179999999996</v>
      </c>
    </row>
    <row r="9350" spans="1:3" x14ac:dyDescent="0.45">
      <c r="A9350" s="11">
        <v>110.21</v>
      </c>
      <c r="B9350" s="14">
        <v>0.91739729999999997</v>
      </c>
      <c r="C9350" s="15">
        <v>0.81882779999999999</v>
      </c>
    </row>
    <row r="9351" spans="1:3" x14ac:dyDescent="0.45">
      <c r="A9351" s="11">
        <v>110.22</v>
      </c>
      <c r="B9351" s="14">
        <v>0.91805930000000002</v>
      </c>
      <c r="C9351" s="15">
        <v>0.81969380000000003</v>
      </c>
    </row>
    <row r="9352" spans="1:3" x14ac:dyDescent="0.45">
      <c r="A9352" s="11">
        <v>110.23</v>
      </c>
      <c r="B9352" s="14">
        <v>0.91872140000000002</v>
      </c>
      <c r="C9352" s="15">
        <v>0.82055979999999995</v>
      </c>
    </row>
    <row r="9353" spans="1:3" x14ac:dyDescent="0.45">
      <c r="A9353" s="11">
        <v>110.24</v>
      </c>
      <c r="B9353" s="14">
        <v>0.91938339999999996</v>
      </c>
      <c r="C9353" s="15">
        <v>0.82142579999999998</v>
      </c>
    </row>
    <row r="9354" spans="1:3" x14ac:dyDescent="0.45">
      <c r="A9354" s="11">
        <v>110.25</v>
      </c>
      <c r="B9354" s="14">
        <v>0.92004549999999996</v>
      </c>
      <c r="C9354" s="15">
        <v>0.82229169999999996</v>
      </c>
    </row>
    <row r="9355" spans="1:3" x14ac:dyDescent="0.45">
      <c r="A9355" s="11">
        <v>110.26</v>
      </c>
      <c r="B9355" s="14">
        <v>0.92070759999999996</v>
      </c>
      <c r="C9355" s="15">
        <v>0.82315769999999999</v>
      </c>
    </row>
    <row r="9356" spans="1:3" x14ac:dyDescent="0.45">
      <c r="A9356" s="11">
        <v>110.27</v>
      </c>
      <c r="B9356" s="14">
        <v>0.92136960000000001</v>
      </c>
      <c r="C9356" s="15">
        <v>0.82402370000000003</v>
      </c>
    </row>
    <row r="9357" spans="1:3" x14ac:dyDescent="0.45">
      <c r="A9357" s="11">
        <v>110.28</v>
      </c>
      <c r="B9357" s="14">
        <v>0.92203170000000001</v>
      </c>
      <c r="C9357" s="15">
        <v>0.82488969999999995</v>
      </c>
    </row>
    <row r="9358" spans="1:3" x14ac:dyDescent="0.45">
      <c r="A9358" s="11">
        <v>110.29</v>
      </c>
      <c r="B9358" s="14">
        <v>0.92269369999999995</v>
      </c>
      <c r="C9358" s="15">
        <v>0.82575569999999998</v>
      </c>
    </row>
    <row r="9359" spans="1:3" x14ac:dyDescent="0.45">
      <c r="A9359" s="11">
        <v>110.3</v>
      </c>
      <c r="B9359" s="14">
        <v>0.92335579999999995</v>
      </c>
      <c r="C9359" s="15">
        <v>0.82662170000000001</v>
      </c>
    </row>
    <row r="9360" spans="1:3" x14ac:dyDescent="0.45">
      <c r="A9360" s="11">
        <v>110.31</v>
      </c>
      <c r="B9360" s="14">
        <v>0.92401789999999995</v>
      </c>
      <c r="C9360" s="15">
        <v>0.82748770000000005</v>
      </c>
    </row>
    <row r="9361" spans="1:3" x14ac:dyDescent="0.45">
      <c r="A9361" s="11">
        <v>110.32</v>
      </c>
      <c r="B9361" s="14">
        <v>0.92467999999999995</v>
      </c>
      <c r="C9361" s="15">
        <v>0.82835369999999997</v>
      </c>
    </row>
    <row r="9362" spans="1:3" x14ac:dyDescent="0.45">
      <c r="A9362" s="11">
        <v>110.33</v>
      </c>
      <c r="B9362" s="14">
        <v>0.925342</v>
      </c>
      <c r="C9362" s="15">
        <v>0.8292197</v>
      </c>
    </row>
    <row r="9363" spans="1:3" x14ac:dyDescent="0.45">
      <c r="A9363" s="11">
        <v>110.34</v>
      </c>
      <c r="B9363" s="14">
        <v>0.92600400000000005</v>
      </c>
      <c r="C9363" s="15">
        <v>0.83008570000000004</v>
      </c>
    </row>
    <row r="9364" spans="1:3" x14ac:dyDescent="0.45">
      <c r="A9364" s="11">
        <v>110.35</v>
      </c>
      <c r="B9364" s="14">
        <v>0.92666610000000005</v>
      </c>
      <c r="C9364" s="15">
        <v>0.83095160000000001</v>
      </c>
    </row>
    <row r="9365" spans="1:3" x14ac:dyDescent="0.45">
      <c r="A9365" s="11">
        <v>110.36</v>
      </c>
      <c r="B9365" s="14">
        <v>0.92732820000000005</v>
      </c>
      <c r="C9365" s="15">
        <v>0.83181760000000005</v>
      </c>
    </row>
    <row r="9366" spans="1:3" x14ac:dyDescent="0.45">
      <c r="A9366" s="11">
        <v>110.37</v>
      </c>
      <c r="B9366" s="14">
        <v>0.92799019999999999</v>
      </c>
      <c r="C9366" s="15">
        <v>0.83268359999999997</v>
      </c>
    </row>
    <row r="9367" spans="1:3" x14ac:dyDescent="0.45">
      <c r="A9367" s="11">
        <v>110.38</v>
      </c>
      <c r="B9367" s="14">
        <v>0.92865229999999999</v>
      </c>
      <c r="C9367" s="15">
        <v>0.8335496</v>
      </c>
    </row>
    <row r="9368" spans="1:3" x14ac:dyDescent="0.45">
      <c r="A9368" s="11">
        <v>110.39</v>
      </c>
      <c r="B9368" s="14">
        <v>0.92931430000000004</v>
      </c>
      <c r="C9368" s="15">
        <v>0.83441560000000004</v>
      </c>
    </row>
    <row r="9369" spans="1:3" x14ac:dyDescent="0.45">
      <c r="A9369" s="11">
        <v>110.4</v>
      </c>
      <c r="B9369" s="14">
        <v>0.92997640000000004</v>
      </c>
      <c r="C9369" s="15">
        <v>0.83528159999999996</v>
      </c>
    </row>
    <row r="9370" spans="1:3" x14ac:dyDescent="0.45">
      <c r="A9370" s="11">
        <v>110.41</v>
      </c>
      <c r="B9370" s="14">
        <v>0.93063850000000004</v>
      </c>
      <c r="C9370" s="15">
        <v>0.83614759999999999</v>
      </c>
    </row>
    <row r="9371" spans="1:3" x14ac:dyDescent="0.45">
      <c r="A9371" s="11">
        <v>110.42</v>
      </c>
      <c r="B9371" s="14">
        <v>0.93130049999999998</v>
      </c>
      <c r="C9371" s="15">
        <v>0.83701360000000002</v>
      </c>
    </row>
    <row r="9372" spans="1:3" x14ac:dyDescent="0.45">
      <c r="A9372" s="11">
        <v>110.43</v>
      </c>
      <c r="B9372" s="14">
        <v>0.93196259999999997</v>
      </c>
      <c r="C9372" s="15">
        <v>0.83787959999999995</v>
      </c>
    </row>
    <row r="9373" spans="1:3" x14ac:dyDescent="0.45">
      <c r="A9373" s="11">
        <v>110.44</v>
      </c>
      <c r="B9373" s="14">
        <v>0.93262460000000003</v>
      </c>
      <c r="C9373" s="15">
        <v>0.83874559999999998</v>
      </c>
    </row>
    <row r="9374" spans="1:3" x14ac:dyDescent="0.45">
      <c r="A9374" s="11">
        <v>110.45</v>
      </c>
      <c r="B9374" s="14">
        <v>0.93328670000000002</v>
      </c>
      <c r="C9374" s="15">
        <v>0.83961160000000001</v>
      </c>
    </row>
    <row r="9375" spans="1:3" x14ac:dyDescent="0.45">
      <c r="A9375" s="11">
        <v>110.46</v>
      </c>
      <c r="B9375" s="14">
        <v>0.93394880000000002</v>
      </c>
      <c r="C9375" s="15">
        <v>0.84047749999999999</v>
      </c>
    </row>
    <row r="9376" spans="1:3" x14ac:dyDescent="0.45">
      <c r="A9376" s="11">
        <v>110.47</v>
      </c>
      <c r="B9376" s="14">
        <v>0.93461079999999996</v>
      </c>
      <c r="C9376" s="15">
        <v>0.84134350000000002</v>
      </c>
    </row>
    <row r="9377" spans="1:3" x14ac:dyDescent="0.45">
      <c r="A9377" s="11">
        <v>110.48</v>
      </c>
      <c r="B9377" s="14">
        <v>0.93527289999999996</v>
      </c>
      <c r="C9377" s="15">
        <v>0.84220950000000006</v>
      </c>
    </row>
    <row r="9378" spans="1:3" x14ac:dyDescent="0.45">
      <c r="A9378" s="11">
        <v>110.49</v>
      </c>
      <c r="B9378" s="14">
        <v>0.93593499999999996</v>
      </c>
      <c r="C9378" s="15">
        <v>0.84307549999999998</v>
      </c>
    </row>
    <row r="9379" spans="1:3" x14ac:dyDescent="0.45">
      <c r="A9379" s="11">
        <v>110.5</v>
      </c>
      <c r="B9379" s="14">
        <v>0.93659700000000001</v>
      </c>
      <c r="C9379" s="15">
        <v>0.84394150000000001</v>
      </c>
    </row>
    <row r="9380" spans="1:3" x14ac:dyDescent="0.45">
      <c r="A9380" s="11">
        <v>110.51</v>
      </c>
      <c r="B9380" s="14">
        <v>0.93725899999999995</v>
      </c>
      <c r="C9380" s="15">
        <v>0.84480750000000004</v>
      </c>
    </row>
    <row r="9381" spans="1:3" x14ac:dyDescent="0.45">
      <c r="A9381" s="11">
        <v>110.52</v>
      </c>
      <c r="B9381" s="14">
        <v>0.93792109999999995</v>
      </c>
      <c r="C9381" s="15">
        <v>0.84567349999999997</v>
      </c>
    </row>
    <row r="9382" spans="1:3" x14ac:dyDescent="0.45">
      <c r="A9382" s="11">
        <v>110.53</v>
      </c>
      <c r="B9382" s="14">
        <v>0.93858319999999995</v>
      </c>
      <c r="C9382" s="15">
        <v>0.8465395</v>
      </c>
    </row>
    <row r="9383" spans="1:3" x14ac:dyDescent="0.45">
      <c r="A9383" s="11">
        <v>110.54</v>
      </c>
      <c r="B9383" s="14">
        <v>0.9392452</v>
      </c>
      <c r="C9383" s="15">
        <v>0.84740550000000003</v>
      </c>
    </row>
    <row r="9384" spans="1:3" x14ac:dyDescent="0.45">
      <c r="A9384" s="11">
        <v>110.55</v>
      </c>
      <c r="B9384" s="14">
        <v>0.9399073</v>
      </c>
      <c r="C9384" s="15">
        <v>0.84827140000000001</v>
      </c>
    </row>
    <row r="9385" spans="1:3" x14ac:dyDescent="0.45">
      <c r="A9385" s="11">
        <v>110.56</v>
      </c>
      <c r="B9385" s="14">
        <v>0.9405694</v>
      </c>
      <c r="C9385" s="15">
        <v>0.84913740000000004</v>
      </c>
    </row>
    <row r="9386" spans="1:3" x14ac:dyDescent="0.45">
      <c r="A9386" s="11">
        <v>110.57</v>
      </c>
      <c r="B9386" s="14">
        <v>0.94123140000000005</v>
      </c>
      <c r="C9386" s="15">
        <v>0.85000339999999996</v>
      </c>
    </row>
    <row r="9387" spans="1:3" x14ac:dyDescent="0.45">
      <c r="A9387" s="11">
        <v>110.58</v>
      </c>
      <c r="B9387" s="14">
        <v>0.94189350000000005</v>
      </c>
      <c r="C9387" s="15">
        <v>0.8508694</v>
      </c>
    </row>
    <row r="9388" spans="1:3" x14ac:dyDescent="0.45">
      <c r="A9388" s="11">
        <v>110.59</v>
      </c>
      <c r="B9388" s="14">
        <v>0.94255549999999999</v>
      </c>
      <c r="C9388" s="15">
        <v>0.85173540000000003</v>
      </c>
    </row>
    <row r="9389" spans="1:3" x14ac:dyDescent="0.45">
      <c r="A9389" s="11">
        <v>110.6</v>
      </c>
      <c r="B9389" s="14">
        <v>0.94321759999999999</v>
      </c>
      <c r="C9389" s="15">
        <v>0.85260139999999995</v>
      </c>
    </row>
    <row r="9390" spans="1:3" x14ac:dyDescent="0.45">
      <c r="A9390" s="11">
        <v>110.61</v>
      </c>
      <c r="B9390" s="14">
        <v>0.94387969999999999</v>
      </c>
      <c r="C9390" s="15">
        <v>0.85346739999999999</v>
      </c>
    </row>
    <row r="9391" spans="1:3" x14ac:dyDescent="0.45">
      <c r="A9391" s="11">
        <v>110.62</v>
      </c>
      <c r="B9391" s="14">
        <v>0.94454170000000004</v>
      </c>
      <c r="C9391" s="15">
        <v>0.85433340000000002</v>
      </c>
    </row>
    <row r="9392" spans="1:3" x14ac:dyDescent="0.45">
      <c r="A9392" s="11">
        <v>110.63</v>
      </c>
      <c r="B9392" s="14">
        <v>0.94520380000000004</v>
      </c>
      <c r="C9392" s="15">
        <v>0.85519940000000005</v>
      </c>
    </row>
    <row r="9393" spans="1:3" x14ac:dyDescent="0.45">
      <c r="A9393" s="11">
        <v>110.64</v>
      </c>
      <c r="B9393" s="14">
        <v>0.94586579999999998</v>
      </c>
      <c r="C9393" s="15">
        <v>0.85606539999999998</v>
      </c>
    </row>
    <row r="9394" spans="1:3" x14ac:dyDescent="0.45">
      <c r="A9394" s="11">
        <v>110.65</v>
      </c>
      <c r="B9394" s="14">
        <v>0.94652789999999998</v>
      </c>
      <c r="C9394" s="15">
        <v>0.85693140000000001</v>
      </c>
    </row>
    <row r="9395" spans="1:3" x14ac:dyDescent="0.45">
      <c r="A9395" s="11">
        <v>110.66</v>
      </c>
      <c r="B9395" s="14">
        <v>0.94718999999999998</v>
      </c>
      <c r="C9395" s="15">
        <v>0.85779729999999998</v>
      </c>
    </row>
    <row r="9396" spans="1:3" x14ac:dyDescent="0.45">
      <c r="A9396" s="11">
        <v>110.67</v>
      </c>
      <c r="B9396" s="14">
        <v>0.94785200000000003</v>
      </c>
      <c r="C9396" s="15">
        <v>0.85866330000000002</v>
      </c>
    </row>
    <row r="9397" spans="1:3" x14ac:dyDescent="0.45">
      <c r="A9397" s="11">
        <v>110.68</v>
      </c>
      <c r="B9397" s="14">
        <v>0.94851399999999997</v>
      </c>
      <c r="C9397" s="15">
        <v>0.85952930000000005</v>
      </c>
    </row>
    <row r="9398" spans="1:3" x14ac:dyDescent="0.45">
      <c r="A9398" s="11">
        <v>110.69</v>
      </c>
      <c r="B9398" s="14">
        <v>0.94917609999999997</v>
      </c>
      <c r="C9398" s="15">
        <v>0.86039529999999997</v>
      </c>
    </row>
    <row r="9399" spans="1:3" x14ac:dyDescent="0.45">
      <c r="A9399" s="11">
        <v>110.7</v>
      </c>
      <c r="B9399" s="14">
        <v>0.94983819999999997</v>
      </c>
      <c r="C9399" s="15">
        <v>0.86126130000000001</v>
      </c>
    </row>
    <row r="9400" spans="1:3" x14ac:dyDescent="0.45">
      <c r="A9400" s="11">
        <v>110.71</v>
      </c>
      <c r="B9400" s="14">
        <v>0.95050029999999996</v>
      </c>
      <c r="C9400" s="15">
        <v>0.86212730000000004</v>
      </c>
    </row>
    <row r="9401" spans="1:3" x14ac:dyDescent="0.45">
      <c r="A9401" s="11">
        <v>110.72</v>
      </c>
      <c r="B9401" s="14">
        <v>0.95116230000000002</v>
      </c>
      <c r="C9401" s="15">
        <v>0.86299329999999996</v>
      </c>
    </row>
    <row r="9402" spans="1:3" x14ac:dyDescent="0.45">
      <c r="A9402" s="11">
        <v>110.73</v>
      </c>
      <c r="B9402" s="14">
        <v>0.95182440000000001</v>
      </c>
      <c r="C9402" s="15">
        <v>0.8638593</v>
      </c>
    </row>
    <row r="9403" spans="1:3" x14ac:dyDescent="0.45">
      <c r="A9403" s="11">
        <v>110.74</v>
      </c>
      <c r="B9403" s="14">
        <v>0.95248639999999996</v>
      </c>
      <c r="C9403" s="15">
        <v>0.86472530000000003</v>
      </c>
    </row>
    <row r="9404" spans="1:3" x14ac:dyDescent="0.45">
      <c r="A9404" s="11">
        <v>110.75</v>
      </c>
      <c r="B9404" s="14">
        <v>0.95314849999999995</v>
      </c>
      <c r="C9404" s="15">
        <v>0.86559120000000001</v>
      </c>
    </row>
    <row r="9405" spans="1:3" x14ac:dyDescent="0.45">
      <c r="A9405" s="11">
        <v>110.76</v>
      </c>
      <c r="B9405" s="14">
        <v>0.95381059999999995</v>
      </c>
      <c r="C9405" s="15">
        <v>0.86645720000000004</v>
      </c>
    </row>
    <row r="9406" spans="1:3" x14ac:dyDescent="0.45">
      <c r="A9406" s="11">
        <v>110.77</v>
      </c>
      <c r="B9406" s="14">
        <v>0.9544726</v>
      </c>
      <c r="C9406" s="15">
        <v>0.86732319999999996</v>
      </c>
    </row>
    <row r="9407" spans="1:3" x14ac:dyDescent="0.45">
      <c r="A9407" s="11">
        <v>110.78</v>
      </c>
      <c r="B9407" s="14">
        <v>0.9551347</v>
      </c>
      <c r="C9407" s="15">
        <v>0.86818919999999999</v>
      </c>
    </row>
    <row r="9408" spans="1:3" x14ac:dyDescent="0.45">
      <c r="A9408" s="11">
        <v>110.79</v>
      </c>
      <c r="B9408" s="14">
        <v>0.95579670000000005</v>
      </c>
      <c r="C9408" s="15">
        <v>0.86905520000000003</v>
      </c>
    </row>
    <row r="9409" spans="1:3" x14ac:dyDescent="0.45">
      <c r="A9409" s="11">
        <v>110.8</v>
      </c>
      <c r="B9409" s="14">
        <v>0.95645880000000005</v>
      </c>
      <c r="C9409" s="15">
        <v>0.86992119999999995</v>
      </c>
    </row>
    <row r="9410" spans="1:3" x14ac:dyDescent="0.45">
      <c r="A9410" s="11">
        <v>110.81</v>
      </c>
      <c r="B9410" s="14">
        <v>0.95712090000000005</v>
      </c>
      <c r="C9410" s="15">
        <v>0.87078719999999998</v>
      </c>
    </row>
    <row r="9411" spans="1:3" x14ac:dyDescent="0.45">
      <c r="A9411" s="11">
        <v>110.82</v>
      </c>
      <c r="B9411" s="14">
        <v>0.95778300000000005</v>
      </c>
      <c r="C9411" s="15">
        <v>0.87165320000000002</v>
      </c>
    </row>
    <row r="9412" spans="1:3" x14ac:dyDescent="0.45">
      <c r="A9412" s="11">
        <v>110.83</v>
      </c>
      <c r="B9412" s="14">
        <v>0.95844499999999999</v>
      </c>
      <c r="C9412" s="15">
        <v>0.87251920000000005</v>
      </c>
    </row>
    <row r="9413" spans="1:3" x14ac:dyDescent="0.45">
      <c r="A9413" s="11">
        <v>110.84</v>
      </c>
      <c r="B9413" s="14">
        <v>0.95910700000000004</v>
      </c>
      <c r="C9413" s="15">
        <v>0.87338519999999997</v>
      </c>
    </row>
    <row r="9414" spans="1:3" x14ac:dyDescent="0.45">
      <c r="A9414" s="11">
        <v>110.85</v>
      </c>
      <c r="B9414" s="14">
        <v>0.95976910000000004</v>
      </c>
      <c r="C9414" s="15">
        <v>0.87425109999999995</v>
      </c>
    </row>
    <row r="9415" spans="1:3" x14ac:dyDescent="0.45">
      <c r="A9415" s="11">
        <v>110.86</v>
      </c>
      <c r="B9415" s="14">
        <v>0.96043120000000004</v>
      </c>
      <c r="C9415" s="15">
        <v>0.87511709999999998</v>
      </c>
    </row>
    <row r="9416" spans="1:3" x14ac:dyDescent="0.45">
      <c r="A9416" s="11">
        <v>110.87</v>
      </c>
      <c r="B9416" s="14">
        <v>0.96109319999999998</v>
      </c>
      <c r="C9416" s="15">
        <v>0.87598310000000001</v>
      </c>
    </row>
    <row r="9417" spans="1:3" x14ac:dyDescent="0.45">
      <c r="A9417" s="11">
        <v>110.88</v>
      </c>
      <c r="B9417" s="14">
        <v>0.96175529999999998</v>
      </c>
      <c r="C9417" s="15">
        <v>0.87684910000000005</v>
      </c>
    </row>
    <row r="9418" spans="1:3" x14ac:dyDescent="0.45">
      <c r="A9418" s="11">
        <v>110.89</v>
      </c>
      <c r="B9418" s="14">
        <v>0.96241730000000003</v>
      </c>
      <c r="C9418" s="15">
        <v>0.87771509999999997</v>
      </c>
    </row>
    <row r="9419" spans="1:3" x14ac:dyDescent="0.45">
      <c r="A9419" s="11">
        <v>110.9</v>
      </c>
      <c r="B9419" s="14">
        <v>0.96307940000000003</v>
      </c>
      <c r="C9419" s="15">
        <v>0.8785811</v>
      </c>
    </row>
    <row r="9420" spans="1:3" x14ac:dyDescent="0.45">
      <c r="A9420" s="11">
        <v>110.91</v>
      </c>
      <c r="B9420" s="14">
        <v>0.96374150000000003</v>
      </c>
      <c r="C9420" s="15">
        <v>0.87944710000000004</v>
      </c>
    </row>
    <row r="9421" spans="1:3" x14ac:dyDescent="0.45">
      <c r="A9421" s="11">
        <v>110.92</v>
      </c>
      <c r="B9421" s="14">
        <v>0.96440349999999997</v>
      </c>
      <c r="C9421" s="15">
        <v>0.88031300000000001</v>
      </c>
    </row>
    <row r="9422" spans="1:3" x14ac:dyDescent="0.45">
      <c r="A9422" s="11">
        <v>110.93</v>
      </c>
      <c r="B9422" s="14">
        <v>0.96506559999999997</v>
      </c>
      <c r="C9422" s="15">
        <v>0.88117900000000005</v>
      </c>
    </row>
    <row r="9423" spans="1:3" x14ac:dyDescent="0.45">
      <c r="A9423" s="11">
        <v>110.94</v>
      </c>
      <c r="B9423" s="14">
        <v>0.96572760000000002</v>
      </c>
      <c r="C9423" s="15">
        <v>0.88204499999999997</v>
      </c>
    </row>
    <row r="9424" spans="1:3" x14ac:dyDescent="0.45">
      <c r="A9424" s="11">
        <v>110.95</v>
      </c>
      <c r="B9424" s="14">
        <v>0.96638970000000002</v>
      </c>
      <c r="C9424" s="15">
        <v>0.882911</v>
      </c>
    </row>
    <row r="9425" spans="1:3" x14ac:dyDescent="0.45">
      <c r="A9425" s="11">
        <v>110.96</v>
      </c>
      <c r="B9425" s="14">
        <v>0.96705180000000002</v>
      </c>
      <c r="C9425" s="15">
        <v>0.88377700000000003</v>
      </c>
    </row>
    <row r="9426" spans="1:3" x14ac:dyDescent="0.45">
      <c r="A9426" s="11">
        <v>110.97</v>
      </c>
      <c r="B9426" s="14">
        <v>0.96771379999999996</v>
      </c>
      <c r="C9426" s="15">
        <v>0.88464299999999996</v>
      </c>
    </row>
    <row r="9427" spans="1:3" x14ac:dyDescent="0.45">
      <c r="A9427" s="11">
        <v>110.98</v>
      </c>
      <c r="B9427" s="14">
        <v>0.96837589999999996</v>
      </c>
      <c r="C9427" s="15">
        <v>0.88550899999999999</v>
      </c>
    </row>
    <row r="9428" spans="1:3" x14ac:dyDescent="0.45">
      <c r="A9428" s="11">
        <v>110.99</v>
      </c>
      <c r="B9428" s="14">
        <v>0.96903799999999995</v>
      </c>
      <c r="C9428" s="15">
        <v>0.88637500000000002</v>
      </c>
    </row>
    <row r="9429" spans="1:3" x14ac:dyDescent="0.45">
      <c r="A9429" s="11">
        <v>111</v>
      </c>
      <c r="B9429" s="14">
        <v>0.96970000000000001</v>
      </c>
      <c r="C9429" s="15">
        <v>0.88724099999999995</v>
      </c>
    </row>
    <row r="9430" spans="1:3" x14ac:dyDescent="0.45">
      <c r="A9430" s="11">
        <v>111.01</v>
      </c>
      <c r="B9430" s="14">
        <v>0.97040020000000005</v>
      </c>
      <c r="C9430" s="15">
        <v>0.88820069999999995</v>
      </c>
    </row>
    <row r="9431" spans="1:3" x14ac:dyDescent="0.45">
      <c r="A9431" s="11">
        <v>111.02</v>
      </c>
      <c r="B9431" s="14">
        <v>0.97110039999999997</v>
      </c>
      <c r="C9431" s="15">
        <v>0.88916030000000001</v>
      </c>
    </row>
    <row r="9432" spans="1:3" x14ac:dyDescent="0.45">
      <c r="A9432" s="11">
        <v>111.03</v>
      </c>
      <c r="B9432" s="14">
        <v>0.97180060000000001</v>
      </c>
      <c r="C9432" s="15">
        <v>0.89012000000000002</v>
      </c>
    </row>
    <row r="9433" spans="1:3" x14ac:dyDescent="0.45">
      <c r="A9433" s="11">
        <v>111.04</v>
      </c>
      <c r="B9433" s="14">
        <v>0.97250080000000005</v>
      </c>
      <c r="C9433" s="15">
        <v>0.89107959999999997</v>
      </c>
    </row>
    <row r="9434" spans="1:3" x14ac:dyDescent="0.45">
      <c r="A9434" s="11">
        <v>111.05</v>
      </c>
      <c r="B9434" s="14">
        <v>0.97320099999999998</v>
      </c>
      <c r="C9434" s="15">
        <v>0.89203929999999998</v>
      </c>
    </row>
    <row r="9435" spans="1:3" x14ac:dyDescent="0.45">
      <c r="A9435" s="11">
        <v>111.06</v>
      </c>
      <c r="B9435" s="14">
        <v>0.97390120000000002</v>
      </c>
      <c r="C9435" s="15">
        <v>0.89299899999999999</v>
      </c>
    </row>
    <row r="9436" spans="1:3" x14ac:dyDescent="0.45">
      <c r="A9436" s="11">
        <v>111.07</v>
      </c>
      <c r="B9436" s="14">
        <v>0.97460139999999995</v>
      </c>
      <c r="C9436" s="15">
        <v>0.89395860000000005</v>
      </c>
    </row>
    <row r="9437" spans="1:3" x14ac:dyDescent="0.45">
      <c r="A9437" s="11">
        <v>111.08</v>
      </c>
      <c r="B9437" s="14">
        <v>0.97530159999999999</v>
      </c>
      <c r="C9437" s="15">
        <v>0.89491830000000006</v>
      </c>
    </row>
    <row r="9438" spans="1:3" x14ac:dyDescent="0.45">
      <c r="A9438" s="11">
        <v>111.09</v>
      </c>
      <c r="B9438" s="14">
        <v>0.97600180000000003</v>
      </c>
      <c r="C9438" s="15">
        <v>0.89587799999999995</v>
      </c>
    </row>
    <row r="9439" spans="1:3" x14ac:dyDescent="0.45">
      <c r="A9439" s="11">
        <v>111.1</v>
      </c>
      <c r="B9439" s="14">
        <v>0.97670199999999996</v>
      </c>
      <c r="C9439" s="15">
        <v>0.89683760000000001</v>
      </c>
    </row>
    <row r="9440" spans="1:3" x14ac:dyDescent="0.45">
      <c r="A9440" s="11">
        <v>111.11</v>
      </c>
      <c r="B9440" s="14">
        <v>0.9774022</v>
      </c>
      <c r="C9440" s="15">
        <v>0.89779730000000002</v>
      </c>
    </row>
    <row r="9441" spans="1:3" x14ac:dyDescent="0.45">
      <c r="A9441" s="11">
        <v>111.12</v>
      </c>
      <c r="B9441" s="14">
        <v>0.97810240000000004</v>
      </c>
      <c r="C9441" s="15">
        <v>0.89875700000000003</v>
      </c>
    </row>
    <row r="9442" spans="1:3" x14ac:dyDescent="0.45">
      <c r="A9442" s="11">
        <v>111.13</v>
      </c>
      <c r="B9442" s="14">
        <v>0.97880259999999997</v>
      </c>
      <c r="C9442" s="15">
        <v>0.89971659999999998</v>
      </c>
    </row>
    <row r="9443" spans="1:3" x14ac:dyDescent="0.45">
      <c r="A9443" s="11">
        <v>111.14</v>
      </c>
      <c r="B9443" s="14">
        <v>0.97950280000000001</v>
      </c>
      <c r="C9443" s="15">
        <v>0.90067620000000004</v>
      </c>
    </row>
    <row r="9444" spans="1:3" x14ac:dyDescent="0.45">
      <c r="A9444" s="11">
        <v>111.15</v>
      </c>
      <c r="B9444" s="14">
        <v>0.98020300000000005</v>
      </c>
      <c r="C9444" s="15">
        <v>0.90163590000000005</v>
      </c>
    </row>
    <row r="9445" spans="1:3" x14ac:dyDescent="0.45">
      <c r="A9445" s="11">
        <v>111.16</v>
      </c>
      <c r="B9445" s="14">
        <v>0.98090319999999998</v>
      </c>
      <c r="C9445" s="15">
        <v>0.90259560000000005</v>
      </c>
    </row>
    <row r="9446" spans="1:3" x14ac:dyDescent="0.45">
      <c r="A9446" s="11">
        <v>111.17</v>
      </c>
      <c r="B9446" s="14">
        <v>0.98160340000000001</v>
      </c>
      <c r="C9446" s="15">
        <v>0.9035552</v>
      </c>
    </row>
    <row r="9447" spans="1:3" x14ac:dyDescent="0.45">
      <c r="A9447" s="11">
        <v>111.18</v>
      </c>
      <c r="B9447" s="14">
        <v>0.98230360000000005</v>
      </c>
      <c r="C9447" s="15">
        <v>0.90451490000000001</v>
      </c>
    </row>
    <row r="9448" spans="1:3" x14ac:dyDescent="0.45">
      <c r="A9448" s="11">
        <v>111.19</v>
      </c>
      <c r="B9448" s="14">
        <v>0.98300379999999998</v>
      </c>
      <c r="C9448" s="15">
        <v>0.90547449999999996</v>
      </c>
    </row>
    <row r="9449" spans="1:3" x14ac:dyDescent="0.45">
      <c r="A9449" s="11">
        <v>111.2</v>
      </c>
      <c r="B9449" s="14">
        <v>0.98370400000000002</v>
      </c>
      <c r="C9449" s="15">
        <v>0.90643419999999997</v>
      </c>
    </row>
    <row r="9450" spans="1:3" x14ac:dyDescent="0.45">
      <c r="A9450" s="11">
        <v>111.21</v>
      </c>
      <c r="B9450" s="14">
        <v>0.98440419999999995</v>
      </c>
      <c r="C9450" s="15">
        <v>0.90739389999999998</v>
      </c>
    </row>
    <row r="9451" spans="1:3" x14ac:dyDescent="0.45">
      <c r="A9451" s="11">
        <v>111.22</v>
      </c>
      <c r="B9451" s="14">
        <v>0.98510439999999999</v>
      </c>
      <c r="C9451" s="15">
        <v>0.90835350000000004</v>
      </c>
    </row>
    <row r="9452" spans="1:3" x14ac:dyDescent="0.45">
      <c r="A9452" s="11">
        <v>111.23</v>
      </c>
      <c r="B9452" s="14">
        <v>0.98580460000000003</v>
      </c>
      <c r="C9452" s="15">
        <v>0.90931320000000004</v>
      </c>
    </row>
    <row r="9453" spans="1:3" x14ac:dyDescent="0.45">
      <c r="A9453" s="11">
        <v>111.24</v>
      </c>
      <c r="B9453" s="14">
        <v>0.98650479999999996</v>
      </c>
      <c r="C9453" s="15">
        <v>0.91027279999999999</v>
      </c>
    </row>
    <row r="9454" spans="1:3" x14ac:dyDescent="0.45">
      <c r="A9454" s="11">
        <v>111.25</v>
      </c>
      <c r="B9454" s="14">
        <v>0.987205</v>
      </c>
      <c r="C9454" s="15">
        <v>0.9112325</v>
      </c>
    </row>
    <row r="9455" spans="1:3" x14ac:dyDescent="0.45">
      <c r="A9455" s="11">
        <v>111.26</v>
      </c>
      <c r="B9455" s="14">
        <v>0.98790520000000004</v>
      </c>
      <c r="C9455" s="15">
        <v>0.91219220000000001</v>
      </c>
    </row>
    <row r="9456" spans="1:3" x14ac:dyDescent="0.45">
      <c r="A9456" s="11">
        <v>111.27</v>
      </c>
      <c r="B9456" s="14">
        <v>0.98860539999999997</v>
      </c>
      <c r="C9456" s="15">
        <v>0.91315179999999996</v>
      </c>
    </row>
    <row r="9457" spans="1:3" x14ac:dyDescent="0.45">
      <c r="A9457" s="11">
        <v>111.28</v>
      </c>
      <c r="B9457" s="14">
        <v>0.98930560000000001</v>
      </c>
      <c r="C9457" s="15">
        <v>0.91411149999999997</v>
      </c>
    </row>
    <row r="9458" spans="1:3" x14ac:dyDescent="0.45">
      <c r="A9458" s="11">
        <v>111.29</v>
      </c>
      <c r="B9458" s="14">
        <v>0.99000580000000005</v>
      </c>
      <c r="C9458" s="15">
        <v>0.91507110000000003</v>
      </c>
    </row>
    <row r="9459" spans="1:3" x14ac:dyDescent="0.45">
      <c r="A9459" s="11">
        <v>111.3</v>
      </c>
      <c r="B9459" s="14">
        <v>0.99070599999999998</v>
      </c>
      <c r="C9459" s="15">
        <v>0.91603080000000003</v>
      </c>
    </row>
    <row r="9460" spans="1:3" x14ac:dyDescent="0.45">
      <c r="A9460" s="11">
        <v>111.31</v>
      </c>
      <c r="B9460" s="14">
        <v>0.99140620000000002</v>
      </c>
      <c r="C9460" s="15">
        <v>0.91699050000000004</v>
      </c>
    </row>
    <row r="9461" spans="1:3" x14ac:dyDescent="0.45">
      <c r="A9461" s="11">
        <v>111.32</v>
      </c>
      <c r="B9461" s="14">
        <v>0.99210640000000005</v>
      </c>
      <c r="C9461" s="15">
        <v>0.91795009999999999</v>
      </c>
    </row>
    <row r="9462" spans="1:3" x14ac:dyDescent="0.45">
      <c r="A9462" s="11">
        <v>111.33</v>
      </c>
      <c r="B9462" s="14">
        <v>0.99280659999999998</v>
      </c>
      <c r="C9462" s="15">
        <v>0.9189098</v>
      </c>
    </row>
    <row r="9463" spans="1:3" x14ac:dyDescent="0.45">
      <c r="A9463" s="11">
        <v>111.34</v>
      </c>
      <c r="B9463" s="14">
        <v>0.99350680000000002</v>
      </c>
      <c r="C9463" s="15">
        <v>0.91986939999999995</v>
      </c>
    </row>
    <row r="9464" spans="1:3" x14ac:dyDescent="0.45">
      <c r="A9464" s="11">
        <v>111.35</v>
      </c>
      <c r="B9464" s="14">
        <v>0.99420699999999995</v>
      </c>
      <c r="C9464" s="15">
        <v>0.92082909999999996</v>
      </c>
    </row>
    <row r="9465" spans="1:3" x14ac:dyDescent="0.45">
      <c r="A9465" s="11">
        <v>111.36</v>
      </c>
      <c r="B9465" s="14">
        <v>0.99490719999999999</v>
      </c>
      <c r="C9465" s="15">
        <v>0.92178879999999996</v>
      </c>
    </row>
    <row r="9466" spans="1:3" x14ac:dyDescent="0.45">
      <c r="A9466" s="11">
        <v>111.37</v>
      </c>
      <c r="B9466" s="14">
        <v>0.99560740000000003</v>
      </c>
      <c r="C9466" s="15">
        <v>0.92274840000000002</v>
      </c>
    </row>
    <row r="9467" spans="1:3" x14ac:dyDescent="0.45">
      <c r="A9467" s="11">
        <v>111.38</v>
      </c>
      <c r="B9467" s="14">
        <v>0.99630759999999996</v>
      </c>
      <c r="C9467" s="15">
        <v>0.92370799999999997</v>
      </c>
    </row>
    <row r="9468" spans="1:3" x14ac:dyDescent="0.45">
      <c r="A9468" s="11">
        <v>111.39</v>
      </c>
      <c r="B9468" s="14">
        <v>0.9970078</v>
      </c>
      <c r="C9468" s="15">
        <v>0.92466769999999998</v>
      </c>
    </row>
    <row r="9469" spans="1:3" x14ac:dyDescent="0.45">
      <c r="A9469" s="11">
        <v>111.4</v>
      </c>
      <c r="B9469" s="14">
        <v>0.99770800000000004</v>
      </c>
      <c r="C9469" s="15">
        <v>0.92562739999999999</v>
      </c>
    </row>
    <row r="9470" spans="1:3" x14ac:dyDescent="0.45">
      <c r="A9470" s="11">
        <v>111.41</v>
      </c>
      <c r="B9470" s="14">
        <v>0.99840819999999997</v>
      </c>
      <c r="C9470" s="15">
        <v>0.92658700000000005</v>
      </c>
    </row>
    <row r="9471" spans="1:3" x14ac:dyDescent="0.45">
      <c r="A9471" s="11">
        <v>111.42</v>
      </c>
      <c r="B9471" s="14">
        <v>0.99910840000000001</v>
      </c>
      <c r="C9471" s="15">
        <v>0.92754669999999995</v>
      </c>
    </row>
    <row r="9472" spans="1:3" x14ac:dyDescent="0.45">
      <c r="A9472" s="11">
        <v>111.43</v>
      </c>
      <c r="B9472" s="14">
        <v>0.99980860000000005</v>
      </c>
      <c r="C9472" s="15">
        <v>0.92850639999999995</v>
      </c>
    </row>
    <row r="9473" spans="1:3" x14ac:dyDescent="0.45">
      <c r="A9473" s="11">
        <v>111.44</v>
      </c>
      <c r="B9473" s="14">
        <v>1.0005090000000001</v>
      </c>
      <c r="C9473" s="15">
        <v>0.92946600000000001</v>
      </c>
    </row>
    <row r="9474" spans="1:3" x14ac:dyDescent="0.45">
      <c r="A9474" s="11">
        <v>111.45</v>
      </c>
      <c r="B9474" s="14">
        <v>1.001209</v>
      </c>
      <c r="C9474" s="15">
        <v>0.93042570000000002</v>
      </c>
    </row>
    <row r="9475" spans="1:3" x14ac:dyDescent="0.45">
      <c r="A9475" s="11">
        <v>111.46</v>
      </c>
      <c r="B9475" s="14">
        <v>1.0019089999999999</v>
      </c>
      <c r="C9475" s="15">
        <v>0.93138540000000003</v>
      </c>
    </row>
    <row r="9476" spans="1:3" x14ac:dyDescent="0.45">
      <c r="A9476" s="11">
        <v>111.47</v>
      </c>
      <c r="B9476" s="14">
        <v>1.0026090000000001</v>
      </c>
      <c r="C9476" s="15">
        <v>0.93234499999999998</v>
      </c>
    </row>
    <row r="9477" spans="1:3" x14ac:dyDescent="0.45">
      <c r="A9477" s="11">
        <v>111.48</v>
      </c>
      <c r="B9477" s="14">
        <v>1.0033099999999999</v>
      </c>
      <c r="C9477" s="15">
        <v>0.93330469999999999</v>
      </c>
    </row>
    <row r="9478" spans="1:3" x14ac:dyDescent="0.45">
      <c r="A9478" s="11">
        <v>111.49</v>
      </c>
      <c r="B9478" s="14">
        <v>1.0040100000000001</v>
      </c>
      <c r="C9478" s="15">
        <v>0.93426430000000005</v>
      </c>
    </row>
    <row r="9479" spans="1:3" x14ac:dyDescent="0.45">
      <c r="A9479" s="11">
        <v>111.5</v>
      </c>
      <c r="B9479" s="14">
        <v>1.00471</v>
      </c>
      <c r="C9479" s="15">
        <v>0.93522400000000006</v>
      </c>
    </row>
    <row r="9480" spans="1:3" x14ac:dyDescent="0.45">
      <c r="A9480" s="11">
        <v>111.51</v>
      </c>
      <c r="B9480" s="14">
        <v>1.0054099999999999</v>
      </c>
      <c r="C9480" s="15">
        <v>0.93618369999999995</v>
      </c>
    </row>
    <row r="9481" spans="1:3" x14ac:dyDescent="0.45">
      <c r="A9481" s="11">
        <v>111.52</v>
      </c>
      <c r="B9481" s="14">
        <v>1.0061100000000001</v>
      </c>
      <c r="C9481" s="15">
        <v>0.93714330000000001</v>
      </c>
    </row>
    <row r="9482" spans="1:3" x14ac:dyDescent="0.45">
      <c r="A9482" s="11">
        <v>111.53</v>
      </c>
      <c r="B9482" s="14">
        <v>1.0068109999999999</v>
      </c>
      <c r="C9482" s="15">
        <v>0.93810300000000002</v>
      </c>
    </row>
    <row r="9483" spans="1:3" x14ac:dyDescent="0.45">
      <c r="A9483" s="11">
        <v>111.54</v>
      </c>
      <c r="B9483" s="14">
        <v>1.007511</v>
      </c>
      <c r="C9483" s="15">
        <v>0.93906259999999997</v>
      </c>
    </row>
    <row r="9484" spans="1:3" x14ac:dyDescent="0.45">
      <c r="A9484" s="11">
        <v>111.55</v>
      </c>
      <c r="B9484" s="14">
        <v>1.008211</v>
      </c>
      <c r="C9484" s="15">
        <v>0.94002229999999998</v>
      </c>
    </row>
    <row r="9485" spans="1:3" x14ac:dyDescent="0.45">
      <c r="A9485" s="11">
        <v>111.56</v>
      </c>
      <c r="B9485" s="14">
        <v>1.0089109999999999</v>
      </c>
      <c r="C9485" s="15">
        <v>0.94098199999999999</v>
      </c>
    </row>
    <row r="9486" spans="1:3" x14ac:dyDescent="0.45">
      <c r="A9486" s="11">
        <v>111.57</v>
      </c>
      <c r="B9486" s="14">
        <v>1.009611</v>
      </c>
      <c r="C9486" s="15">
        <v>0.94194160000000005</v>
      </c>
    </row>
    <row r="9487" spans="1:3" x14ac:dyDescent="0.45">
      <c r="A9487" s="11">
        <v>111.58</v>
      </c>
      <c r="B9487" s="14">
        <v>1.0103120000000001</v>
      </c>
      <c r="C9487" s="15">
        <v>0.94290130000000005</v>
      </c>
    </row>
    <row r="9488" spans="1:3" x14ac:dyDescent="0.45">
      <c r="A9488" s="11">
        <v>111.59</v>
      </c>
      <c r="B9488" s="14">
        <v>1.011012</v>
      </c>
      <c r="C9488" s="15">
        <v>0.94386099999999995</v>
      </c>
    </row>
    <row r="9489" spans="1:3" x14ac:dyDescent="0.45">
      <c r="A9489" s="11">
        <v>111.6</v>
      </c>
      <c r="B9489" s="14">
        <v>1.0117119999999999</v>
      </c>
      <c r="C9489" s="15">
        <v>0.94482060000000001</v>
      </c>
    </row>
    <row r="9490" spans="1:3" x14ac:dyDescent="0.45">
      <c r="A9490" s="11">
        <v>111.61</v>
      </c>
      <c r="B9490" s="14">
        <v>1.0124120000000001</v>
      </c>
      <c r="C9490" s="15">
        <v>0.94578030000000002</v>
      </c>
    </row>
    <row r="9491" spans="1:3" x14ac:dyDescent="0.45">
      <c r="A9491" s="11">
        <v>111.62</v>
      </c>
      <c r="B9491" s="14">
        <v>1.013112</v>
      </c>
      <c r="C9491" s="15">
        <v>0.94674000000000003</v>
      </c>
    </row>
    <row r="9492" spans="1:3" x14ac:dyDescent="0.45">
      <c r="A9492" s="11">
        <v>111.63</v>
      </c>
      <c r="B9492" s="14">
        <v>1.0138130000000001</v>
      </c>
      <c r="C9492" s="15">
        <v>0.94769959999999998</v>
      </c>
    </row>
    <row r="9493" spans="1:3" x14ac:dyDescent="0.45">
      <c r="A9493" s="11">
        <v>111.64</v>
      </c>
      <c r="B9493" s="14">
        <v>1.014513</v>
      </c>
      <c r="C9493" s="15">
        <v>0.94865920000000004</v>
      </c>
    </row>
    <row r="9494" spans="1:3" x14ac:dyDescent="0.45">
      <c r="A9494" s="11">
        <v>111.65</v>
      </c>
      <c r="B9494" s="14">
        <v>1.0152129999999999</v>
      </c>
      <c r="C9494" s="15">
        <v>0.94961890000000004</v>
      </c>
    </row>
    <row r="9495" spans="1:3" x14ac:dyDescent="0.45">
      <c r="A9495" s="11">
        <v>111.66</v>
      </c>
      <c r="B9495" s="14">
        <v>1.0159130000000001</v>
      </c>
      <c r="C9495" s="15">
        <v>0.95057860000000005</v>
      </c>
    </row>
    <row r="9496" spans="1:3" x14ac:dyDescent="0.45">
      <c r="A9496" s="11">
        <v>111.67</v>
      </c>
      <c r="B9496" s="14">
        <v>1.016613</v>
      </c>
      <c r="C9496" s="15">
        <v>0.9515382</v>
      </c>
    </row>
    <row r="9497" spans="1:3" x14ac:dyDescent="0.45">
      <c r="A9497" s="11">
        <v>111.68</v>
      </c>
      <c r="B9497" s="14">
        <v>1.0173140000000001</v>
      </c>
      <c r="C9497" s="15">
        <v>0.95249790000000001</v>
      </c>
    </row>
    <row r="9498" spans="1:3" x14ac:dyDescent="0.45">
      <c r="A9498" s="11">
        <v>111.69</v>
      </c>
      <c r="B9498" s="14">
        <v>1.018014</v>
      </c>
      <c r="C9498" s="15">
        <v>0.95345749999999996</v>
      </c>
    </row>
    <row r="9499" spans="1:3" x14ac:dyDescent="0.45">
      <c r="A9499" s="11">
        <v>111.7</v>
      </c>
      <c r="B9499" s="14">
        <v>1.0187139999999999</v>
      </c>
      <c r="C9499" s="15">
        <v>0.95441719999999997</v>
      </c>
    </row>
    <row r="9500" spans="1:3" x14ac:dyDescent="0.45">
      <c r="A9500" s="11">
        <v>111.71</v>
      </c>
      <c r="B9500" s="14">
        <v>1.019414</v>
      </c>
      <c r="C9500" s="15">
        <v>0.95537689999999997</v>
      </c>
    </row>
    <row r="9501" spans="1:3" x14ac:dyDescent="0.45">
      <c r="A9501" s="11">
        <v>111.72</v>
      </c>
      <c r="B9501" s="14">
        <v>1.020114</v>
      </c>
      <c r="C9501" s="15">
        <v>0.95633650000000003</v>
      </c>
    </row>
    <row r="9502" spans="1:3" x14ac:dyDescent="0.45">
      <c r="A9502" s="11">
        <v>111.73</v>
      </c>
      <c r="B9502" s="14">
        <v>1.020815</v>
      </c>
      <c r="C9502" s="15">
        <v>0.95729620000000004</v>
      </c>
    </row>
    <row r="9503" spans="1:3" x14ac:dyDescent="0.45">
      <c r="A9503" s="11">
        <v>111.74</v>
      </c>
      <c r="B9503" s="14">
        <v>1.021515</v>
      </c>
      <c r="C9503" s="15">
        <v>0.95825579999999999</v>
      </c>
    </row>
    <row r="9504" spans="1:3" x14ac:dyDescent="0.45">
      <c r="A9504" s="11">
        <v>111.75</v>
      </c>
      <c r="B9504" s="14">
        <v>1.0222150000000001</v>
      </c>
      <c r="C9504" s="15">
        <v>0.9592155</v>
      </c>
    </row>
    <row r="9505" spans="1:3" x14ac:dyDescent="0.45">
      <c r="A9505" s="11">
        <v>111.76</v>
      </c>
      <c r="B9505" s="14">
        <v>1.022915</v>
      </c>
      <c r="C9505" s="15">
        <v>0.96017520000000001</v>
      </c>
    </row>
    <row r="9506" spans="1:3" x14ac:dyDescent="0.45">
      <c r="A9506" s="11">
        <v>111.77</v>
      </c>
      <c r="B9506" s="14">
        <v>1.0236149999999999</v>
      </c>
      <c r="C9506" s="15">
        <v>0.96113479999999996</v>
      </c>
    </row>
    <row r="9507" spans="1:3" x14ac:dyDescent="0.45">
      <c r="A9507" s="11">
        <v>111.78</v>
      </c>
      <c r="B9507" s="14">
        <v>1.024316</v>
      </c>
      <c r="C9507" s="15">
        <v>0.96209449999999996</v>
      </c>
    </row>
    <row r="9508" spans="1:3" x14ac:dyDescent="0.45">
      <c r="A9508" s="11">
        <v>111.79</v>
      </c>
      <c r="B9508" s="14">
        <v>1.0250159999999999</v>
      </c>
      <c r="C9508" s="15">
        <v>0.96305410000000002</v>
      </c>
    </row>
    <row r="9509" spans="1:3" x14ac:dyDescent="0.45">
      <c r="A9509" s="11">
        <v>111.8</v>
      </c>
      <c r="B9509" s="14">
        <v>1.0257160000000001</v>
      </c>
      <c r="C9509" s="15">
        <v>0.96401380000000003</v>
      </c>
    </row>
    <row r="9510" spans="1:3" x14ac:dyDescent="0.45">
      <c r="A9510" s="11">
        <v>111.81</v>
      </c>
      <c r="B9510" s="14">
        <v>1.026416</v>
      </c>
      <c r="C9510" s="15">
        <v>0.96497350000000004</v>
      </c>
    </row>
    <row r="9511" spans="1:3" x14ac:dyDescent="0.45">
      <c r="A9511" s="11">
        <v>111.82</v>
      </c>
      <c r="B9511" s="14">
        <v>1.0271159999999999</v>
      </c>
      <c r="C9511" s="15">
        <v>0.96593309999999999</v>
      </c>
    </row>
    <row r="9512" spans="1:3" x14ac:dyDescent="0.45">
      <c r="A9512" s="11">
        <v>111.83</v>
      </c>
      <c r="B9512" s="14">
        <v>1.027817</v>
      </c>
      <c r="C9512" s="15">
        <v>0.9668928</v>
      </c>
    </row>
    <row r="9513" spans="1:3" x14ac:dyDescent="0.45">
      <c r="A9513" s="11">
        <v>111.84</v>
      </c>
      <c r="B9513" s="14">
        <v>1.0285169999999999</v>
      </c>
      <c r="C9513" s="15">
        <v>0.96785239999999995</v>
      </c>
    </row>
    <row r="9514" spans="1:3" x14ac:dyDescent="0.45">
      <c r="A9514" s="11">
        <v>111.85</v>
      </c>
      <c r="B9514" s="14">
        <v>1.029217</v>
      </c>
      <c r="C9514" s="15">
        <v>0.96881209999999995</v>
      </c>
    </row>
    <row r="9515" spans="1:3" x14ac:dyDescent="0.45">
      <c r="A9515" s="11">
        <v>111.86</v>
      </c>
      <c r="B9515" s="14">
        <v>1.029917</v>
      </c>
      <c r="C9515" s="15">
        <v>0.96977179999999996</v>
      </c>
    </row>
    <row r="9516" spans="1:3" x14ac:dyDescent="0.45">
      <c r="A9516" s="11">
        <v>111.87</v>
      </c>
      <c r="B9516" s="14">
        <v>1.0306169999999999</v>
      </c>
      <c r="C9516" s="15">
        <v>0.97073140000000002</v>
      </c>
    </row>
    <row r="9517" spans="1:3" x14ac:dyDescent="0.45">
      <c r="A9517" s="11">
        <v>111.88</v>
      </c>
      <c r="B9517" s="14">
        <v>1.031318</v>
      </c>
      <c r="C9517" s="15">
        <v>0.97169099999999997</v>
      </c>
    </row>
    <row r="9518" spans="1:3" x14ac:dyDescent="0.45">
      <c r="A9518" s="11">
        <v>111.89</v>
      </c>
      <c r="B9518" s="14">
        <v>1.0320180000000001</v>
      </c>
      <c r="C9518" s="15">
        <v>0.97265069999999998</v>
      </c>
    </row>
    <row r="9519" spans="1:3" x14ac:dyDescent="0.45">
      <c r="A9519" s="11">
        <v>111.9</v>
      </c>
      <c r="B9519" s="14">
        <v>1.032718</v>
      </c>
      <c r="C9519" s="15">
        <v>0.97361039999999999</v>
      </c>
    </row>
    <row r="9520" spans="1:3" x14ac:dyDescent="0.45">
      <c r="A9520" s="11">
        <v>111.91</v>
      </c>
      <c r="B9520" s="14">
        <v>1.0334179999999999</v>
      </c>
      <c r="C9520" s="15">
        <v>0.97457000000000005</v>
      </c>
    </row>
    <row r="9521" spans="1:3" x14ac:dyDescent="0.45">
      <c r="A9521" s="11">
        <v>111.92</v>
      </c>
      <c r="B9521" s="14">
        <v>1.0341180000000001</v>
      </c>
      <c r="C9521" s="15">
        <v>0.97552970000000006</v>
      </c>
    </row>
    <row r="9522" spans="1:3" x14ac:dyDescent="0.45">
      <c r="A9522" s="11">
        <v>111.93</v>
      </c>
      <c r="B9522" s="14">
        <v>1.0348189999999999</v>
      </c>
      <c r="C9522" s="15">
        <v>0.97648939999999995</v>
      </c>
    </row>
    <row r="9523" spans="1:3" x14ac:dyDescent="0.45">
      <c r="A9523" s="11">
        <v>111.94</v>
      </c>
      <c r="B9523" s="14">
        <v>1.0355190000000001</v>
      </c>
      <c r="C9523" s="15">
        <v>0.97744900000000001</v>
      </c>
    </row>
    <row r="9524" spans="1:3" x14ac:dyDescent="0.45">
      <c r="A9524" s="11">
        <v>111.95</v>
      </c>
      <c r="B9524" s="14">
        <v>1.036219</v>
      </c>
      <c r="C9524" s="15">
        <v>0.97840870000000002</v>
      </c>
    </row>
    <row r="9525" spans="1:3" x14ac:dyDescent="0.45">
      <c r="A9525" s="11">
        <v>111.96</v>
      </c>
      <c r="B9525" s="14">
        <v>1.0369189999999999</v>
      </c>
      <c r="C9525" s="15">
        <v>0.97936840000000003</v>
      </c>
    </row>
    <row r="9526" spans="1:3" x14ac:dyDescent="0.45">
      <c r="A9526" s="11">
        <v>111.97</v>
      </c>
      <c r="B9526" s="14">
        <v>1.0376190000000001</v>
      </c>
      <c r="C9526" s="15">
        <v>0.98032799999999998</v>
      </c>
    </row>
    <row r="9527" spans="1:3" x14ac:dyDescent="0.45">
      <c r="A9527" s="11">
        <v>111.98</v>
      </c>
      <c r="B9527" s="14">
        <v>1.0383199999999999</v>
      </c>
      <c r="C9527" s="15">
        <v>0.98128769999999998</v>
      </c>
    </row>
    <row r="9528" spans="1:3" x14ac:dyDescent="0.45">
      <c r="A9528" s="11">
        <v>111.99</v>
      </c>
      <c r="B9528" s="14">
        <v>1.0390200000000001</v>
      </c>
      <c r="C9528" s="15">
        <v>0.98224730000000005</v>
      </c>
    </row>
    <row r="9529" spans="1:3" x14ac:dyDescent="0.45">
      <c r="A9529" s="11">
        <v>112</v>
      </c>
      <c r="B9529" s="14">
        <v>1.03972</v>
      </c>
      <c r="C9529" s="15">
        <v>0.98320700000000005</v>
      </c>
    </row>
    <row r="9530" spans="1:3" x14ac:dyDescent="0.45">
      <c r="A9530" s="11">
        <v>112.01</v>
      </c>
      <c r="B9530" s="14">
        <v>1.0404599999999999</v>
      </c>
      <c r="C9530" s="15">
        <v>0.98427039999999999</v>
      </c>
    </row>
    <row r="9531" spans="1:3" x14ac:dyDescent="0.45">
      <c r="A9531" s="11">
        <v>112.02</v>
      </c>
      <c r="B9531" s="14">
        <v>1.041199</v>
      </c>
      <c r="C9531" s="15">
        <v>0.98533389999999998</v>
      </c>
    </row>
    <row r="9532" spans="1:3" x14ac:dyDescent="0.45">
      <c r="A9532" s="11">
        <v>112.03</v>
      </c>
      <c r="B9532" s="14">
        <v>1.0419389999999999</v>
      </c>
      <c r="C9532" s="15">
        <v>0.98639730000000003</v>
      </c>
    </row>
    <row r="9533" spans="1:3" x14ac:dyDescent="0.45">
      <c r="A9533" s="11">
        <v>112.04</v>
      </c>
      <c r="B9533" s="14">
        <v>1.0426789999999999</v>
      </c>
      <c r="C9533" s="15">
        <v>0.98746069999999997</v>
      </c>
    </row>
    <row r="9534" spans="1:3" x14ac:dyDescent="0.45">
      <c r="A9534" s="11">
        <v>112.05</v>
      </c>
      <c r="B9534" s="14">
        <v>1.043418</v>
      </c>
      <c r="C9534" s="15">
        <v>0.98852410000000002</v>
      </c>
    </row>
    <row r="9535" spans="1:3" x14ac:dyDescent="0.45">
      <c r="A9535" s="11">
        <v>112.06</v>
      </c>
      <c r="B9535" s="14">
        <v>1.0441579999999999</v>
      </c>
      <c r="C9535" s="15">
        <v>0.98958760000000001</v>
      </c>
    </row>
    <row r="9536" spans="1:3" x14ac:dyDescent="0.45">
      <c r="A9536" s="11">
        <v>112.07</v>
      </c>
      <c r="B9536" s="14">
        <v>1.0448980000000001</v>
      </c>
      <c r="C9536" s="15">
        <v>0.99065099999999995</v>
      </c>
    </row>
    <row r="9537" spans="1:3" x14ac:dyDescent="0.45">
      <c r="A9537" s="11">
        <v>112.08</v>
      </c>
      <c r="B9537" s="14">
        <v>1.0456380000000001</v>
      </c>
      <c r="C9537" s="15">
        <v>0.9917144</v>
      </c>
    </row>
    <row r="9538" spans="1:3" x14ac:dyDescent="0.45">
      <c r="A9538" s="11">
        <v>112.09</v>
      </c>
      <c r="B9538" s="14">
        <v>1.0463769999999999</v>
      </c>
      <c r="C9538" s="15">
        <v>0.99277789999999999</v>
      </c>
    </row>
    <row r="9539" spans="1:3" x14ac:dyDescent="0.45">
      <c r="A9539" s="11">
        <v>112.1</v>
      </c>
      <c r="B9539" s="14">
        <v>1.0471170000000001</v>
      </c>
      <c r="C9539" s="15">
        <v>0.99384130000000004</v>
      </c>
    </row>
    <row r="9540" spans="1:3" x14ac:dyDescent="0.45">
      <c r="A9540" s="11">
        <v>112.11</v>
      </c>
      <c r="B9540" s="14">
        <v>1.047857</v>
      </c>
      <c r="C9540" s="15">
        <v>0.99490469999999998</v>
      </c>
    </row>
    <row r="9541" spans="1:3" x14ac:dyDescent="0.45">
      <c r="A9541" s="11">
        <v>112.12</v>
      </c>
      <c r="B9541" s="14">
        <v>1.0485960000000001</v>
      </c>
      <c r="C9541" s="15">
        <v>0.99596819999999997</v>
      </c>
    </row>
    <row r="9542" spans="1:3" x14ac:dyDescent="0.45">
      <c r="A9542" s="11">
        <v>112.13</v>
      </c>
      <c r="B9542" s="14">
        <v>1.049336</v>
      </c>
      <c r="C9542" s="15">
        <v>0.99703160000000002</v>
      </c>
    </row>
    <row r="9543" spans="1:3" x14ac:dyDescent="0.45">
      <c r="A9543" s="11">
        <v>112.14</v>
      </c>
      <c r="B9543" s="14">
        <v>1.050076</v>
      </c>
      <c r="C9543" s="15">
        <v>0.99809499999999995</v>
      </c>
    </row>
    <row r="9544" spans="1:3" x14ac:dyDescent="0.45">
      <c r="A9544" s="11">
        <v>112.15</v>
      </c>
      <c r="B9544" s="14">
        <v>1.050816</v>
      </c>
      <c r="C9544" s="15">
        <v>0.99915849999999995</v>
      </c>
    </row>
    <row r="9545" spans="1:3" x14ac:dyDescent="0.45">
      <c r="A9545" s="11">
        <v>112.16</v>
      </c>
      <c r="B9545" s="14">
        <v>1.051555</v>
      </c>
      <c r="C9545" s="15">
        <v>1.0002219999999999</v>
      </c>
    </row>
    <row r="9546" spans="1:3" x14ac:dyDescent="0.45">
      <c r="A9546" s="11">
        <v>112.17</v>
      </c>
      <c r="B9546" s="14">
        <v>1.052295</v>
      </c>
      <c r="C9546" s="15">
        <v>1.001285</v>
      </c>
    </row>
    <row r="9547" spans="1:3" x14ac:dyDescent="0.45">
      <c r="A9547" s="11">
        <v>112.18</v>
      </c>
      <c r="B9547" s="14">
        <v>1.0530349999999999</v>
      </c>
      <c r="C9547" s="15">
        <v>1.0023489999999999</v>
      </c>
    </row>
    <row r="9548" spans="1:3" x14ac:dyDescent="0.45">
      <c r="A9548" s="11">
        <v>112.19</v>
      </c>
      <c r="B9548" s="14">
        <v>1.053774</v>
      </c>
      <c r="C9548" s="15">
        <v>1.003412</v>
      </c>
    </row>
    <row r="9549" spans="1:3" x14ac:dyDescent="0.45">
      <c r="A9549" s="11">
        <v>112.2</v>
      </c>
      <c r="B9549" s="14">
        <v>1.054514</v>
      </c>
      <c r="C9549" s="15">
        <v>1.0044759999999999</v>
      </c>
    </row>
    <row r="9550" spans="1:3" x14ac:dyDescent="0.45">
      <c r="A9550" s="11">
        <v>112.21</v>
      </c>
      <c r="B9550" s="14">
        <v>1.0552539999999999</v>
      </c>
      <c r="C9550" s="15">
        <v>1.005539</v>
      </c>
    </row>
    <row r="9551" spans="1:3" x14ac:dyDescent="0.45">
      <c r="A9551" s="11">
        <v>112.22</v>
      </c>
      <c r="B9551" s="14">
        <v>1.055993</v>
      </c>
      <c r="C9551" s="15">
        <v>1.006602</v>
      </c>
    </row>
    <row r="9552" spans="1:3" x14ac:dyDescent="0.45">
      <c r="A9552" s="11">
        <v>112.23</v>
      </c>
      <c r="B9552" s="14">
        <v>1.0567329999999999</v>
      </c>
      <c r="C9552" s="15">
        <v>1.007666</v>
      </c>
    </row>
    <row r="9553" spans="1:3" x14ac:dyDescent="0.45">
      <c r="A9553" s="11">
        <v>112.24</v>
      </c>
      <c r="B9553" s="14">
        <v>1.0574730000000001</v>
      </c>
      <c r="C9553" s="15">
        <v>1.008729</v>
      </c>
    </row>
    <row r="9554" spans="1:3" x14ac:dyDescent="0.45">
      <c r="A9554" s="11">
        <v>112.25</v>
      </c>
      <c r="B9554" s="14">
        <v>1.0582130000000001</v>
      </c>
      <c r="C9554" s="15">
        <v>1.0097929999999999</v>
      </c>
    </row>
    <row r="9555" spans="1:3" x14ac:dyDescent="0.45">
      <c r="A9555" s="11">
        <v>112.26</v>
      </c>
      <c r="B9555" s="14">
        <v>1.0589519999999999</v>
      </c>
      <c r="C9555" s="15">
        <v>1.010856</v>
      </c>
    </row>
    <row r="9556" spans="1:3" x14ac:dyDescent="0.45">
      <c r="A9556" s="11">
        <v>112.27</v>
      </c>
      <c r="B9556" s="14">
        <v>1.0596920000000001</v>
      </c>
      <c r="C9556" s="15">
        <v>1.0119199999999999</v>
      </c>
    </row>
    <row r="9557" spans="1:3" x14ac:dyDescent="0.45">
      <c r="A9557" s="11">
        <v>112.28</v>
      </c>
      <c r="B9557" s="14">
        <v>1.060432</v>
      </c>
      <c r="C9557" s="15">
        <v>1.012983</v>
      </c>
    </row>
    <row r="9558" spans="1:3" x14ac:dyDescent="0.45">
      <c r="A9558" s="11">
        <v>112.29</v>
      </c>
      <c r="B9558" s="14">
        <v>1.0611710000000001</v>
      </c>
      <c r="C9558" s="15">
        <v>1.014046</v>
      </c>
    </row>
    <row r="9559" spans="1:3" x14ac:dyDescent="0.45">
      <c r="A9559" s="11">
        <v>112.3</v>
      </c>
      <c r="B9559" s="14">
        <v>1.061911</v>
      </c>
      <c r="C9559" s="15">
        <v>1.01511</v>
      </c>
    </row>
    <row r="9560" spans="1:3" x14ac:dyDescent="0.45">
      <c r="A9560" s="11">
        <v>112.31</v>
      </c>
      <c r="B9560" s="14">
        <v>1.062651</v>
      </c>
      <c r="C9560" s="15">
        <v>1.016173</v>
      </c>
    </row>
    <row r="9561" spans="1:3" x14ac:dyDescent="0.45">
      <c r="A9561" s="11">
        <v>112.32</v>
      </c>
      <c r="B9561" s="14">
        <v>1.0633900000000001</v>
      </c>
      <c r="C9561" s="15">
        <v>1.0172369999999999</v>
      </c>
    </row>
    <row r="9562" spans="1:3" x14ac:dyDescent="0.45">
      <c r="A9562" s="11">
        <v>112.33</v>
      </c>
      <c r="B9562" s="14">
        <v>1.06413</v>
      </c>
      <c r="C9562" s="15">
        <v>1.0183</v>
      </c>
    </row>
    <row r="9563" spans="1:3" x14ac:dyDescent="0.45">
      <c r="A9563" s="11">
        <v>112.34</v>
      </c>
      <c r="B9563" s="14">
        <v>1.06487</v>
      </c>
      <c r="C9563" s="15">
        <v>1.0193639999999999</v>
      </c>
    </row>
    <row r="9564" spans="1:3" x14ac:dyDescent="0.45">
      <c r="A9564" s="11">
        <v>112.35</v>
      </c>
      <c r="B9564" s="14">
        <v>1.065609</v>
      </c>
      <c r="C9564" s="15">
        <v>1.020427</v>
      </c>
    </row>
    <row r="9565" spans="1:3" x14ac:dyDescent="0.45">
      <c r="A9565" s="11">
        <v>112.36</v>
      </c>
      <c r="B9565" s="14">
        <v>1.066349</v>
      </c>
      <c r="C9565" s="15">
        <v>1.02149</v>
      </c>
    </row>
    <row r="9566" spans="1:3" x14ac:dyDescent="0.45">
      <c r="A9566" s="11">
        <v>112.37</v>
      </c>
      <c r="B9566" s="14">
        <v>1.067089</v>
      </c>
      <c r="C9566" s="15">
        <v>1.022554</v>
      </c>
    </row>
    <row r="9567" spans="1:3" x14ac:dyDescent="0.45">
      <c r="A9567" s="11">
        <v>112.38</v>
      </c>
      <c r="B9567" s="14">
        <v>1.0678289999999999</v>
      </c>
      <c r="C9567" s="15">
        <v>1.023617</v>
      </c>
    </row>
    <row r="9568" spans="1:3" x14ac:dyDescent="0.45">
      <c r="A9568" s="11">
        <v>112.39</v>
      </c>
      <c r="B9568" s="14">
        <v>1.068568</v>
      </c>
      <c r="C9568" s="15">
        <v>1.024681</v>
      </c>
    </row>
    <row r="9569" spans="1:3" x14ac:dyDescent="0.45">
      <c r="A9569" s="11">
        <v>112.4</v>
      </c>
      <c r="B9569" s="14">
        <v>1.0693079999999999</v>
      </c>
      <c r="C9569" s="15">
        <v>1.025744</v>
      </c>
    </row>
    <row r="9570" spans="1:3" x14ac:dyDescent="0.45">
      <c r="A9570" s="11">
        <v>112.41</v>
      </c>
      <c r="B9570" s="14">
        <v>1.0700480000000001</v>
      </c>
      <c r="C9570" s="15">
        <v>1.0268079999999999</v>
      </c>
    </row>
    <row r="9571" spans="1:3" x14ac:dyDescent="0.45">
      <c r="A9571" s="11">
        <v>112.42</v>
      </c>
      <c r="B9571" s="14">
        <v>1.0707869999999999</v>
      </c>
      <c r="C9571" s="15">
        <v>1.027871</v>
      </c>
    </row>
    <row r="9572" spans="1:3" x14ac:dyDescent="0.45">
      <c r="A9572" s="11">
        <v>112.43</v>
      </c>
      <c r="B9572" s="14">
        <v>1.0715269999999999</v>
      </c>
      <c r="C9572" s="15">
        <v>1.028934</v>
      </c>
    </row>
    <row r="9573" spans="1:3" x14ac:dyDescent="0.45">
      <c r="A9573" s="11">
        <v>112.44</v>
      </c>
      <c r="B9573" s="14">
        <v>1.0722670000000001</v>
      </c>
      <c r="C9573" s="15">
        <v>1.029998</v>
      </c>
    </row>
    <row r="9574" spans="1:3" x14ac:dyDescent="0.45">
      <c r="A9574" s="11">
        <v>112.45</v>
      </c>
      <c r="B9574" s="14">
        <v>1.073007</v>
      </c>
      <c r="C9574" s="15">
        <v>1.031061</v>
      </c>
    </row>
    <row r="9575" spans="1:3" x14ac:dyDescent="0.45">
      <c r="A9575" s="11">
        <v>112.46</v>
      </c>
      <c r="B9575" s="14">
        <v>1.0737460000000001</v>
      </c>
      <c r="C9575" s="15">
        <v>1.032125</v>
      </c>
    </row>
    <row r="9576" spans="1:3" x14ac:dyDescent="0.45">
      <c r="A9576" s="11">
        <v>112.47</v>
      </c>
      <c r="B9576" s="14">
        <v>1.0744860000000001</v>
      </c>
      <c r="C9576" s="15">
        <v>1.033188</v>
      </c>
    </row>
    <row r="9577" spans="1:3" x14ac:dyDescent="0.45">
      <c r="A9577" s="11">
        <v>112.48</v>
      </c>
      <c r="B9577" s="14">
        <v>1.075226</v>
      </c>
      <c r="C9577" s="15">
        <v>1.0342519999999999</v>
      </c>
    </row>
    <row r="9578" spans="1:3" x14ac:dyDescent="0.45">
      <c r="A9578" s="11">
        <v>112.49</v>
      </c>
      <c r="B9578" s="14">
        <v>1.0759650000000001</v>
      </c>
      <c r="C9578" s="15">
        <v>1.035315</v>
      </c>
    </row>
    <row r="9579" spans="1:3" x14ac:dyDescent="0.45">
      <c r="A9579" s="11">
        <v>112.5</v>
      </c>
      <c r="B9579" s="14">
        <v>1.076705</v>
      </c>
      <c r="C9579" s="15">
        <v>1.0363789999999999</v>
      </c>
    </row>
    <row r="9580" spans="1:3" x14ac:dyDescent="0.45">
      <c r="A9580" s="11">
        <v>112.51</v>
      </c>
      <c r="B9580" s="14">
        <v>1.077445</v>
      </c>
      <c r="C9580" s="15">
        <v>1.037442</v>
      </c>
    </row>
    <row r="9581" spans="1:3" x14ac:dyDescent="0.45">
      <c r="A9581" s="11">
        <v>112.52</v>
      </c>
      <c r="B9581" s="14">
        <v>1.078184</v>
      </c>
      <c r="C9581" s="15">
        <v>1.038505</v>
      </c>
    </row>
    <row r="9582" spans="1:3" x14ac:dyDescent="0.45">
      <c r="A9582" s="11">
        <v>112.53</v>
      </c>
      <c r="B9582" s="14">
        <v>1.078924</v>
      </c>
      <c r="C9582" s="15">
        <v>1.039569</v>
      </c>
    </row>
    <row r="9583" spans="1:3" x14ac:dyDescent="0.45">
      <c r="A9583" s="11">
        <v>112.54</v>
      </c>
      <c r="B9583" s="14">
        <v>1.079664</v>
      </c>
      <c r="C9583" s="15">
        <v>1.040632</v>
      </c>
    </row>
    <row r="9584" spans="1:3" x14ac:dyDescent="0.45">
      <c r="A9584" s="11">
        <v>112.55</v>
      </c>
      <c r="B9584" s="14">
        <v>1.080403</v>
      </c>
      <c r="C9584" s="15">
        <v>1.041696</v>
      </c>
    </row>
    <row r="9585" spans="1:3" x14ac:dyDescent="0.45">
      <c r="A9585" s="11">
        <v>112.56</v>
      </c>
      <c r="B9585" s="14">
        <v>1.081143</v>
      </c>
      <c r="C9585" s="15">
        <v>1.042759</v>
      </c>
    </row>
    <row r="9586" spans="1:3" x14ac:dyDescent="0.45">
      <c r="A9586" s="11">
        <v>112.57</v>
      </c>
      <c r="B9586" s="14">
        <v>1.0818829999999999</v>
      </c>
      <c r="C9586" s="15">
        <v>1.0438229999999999</v>
      </c>
    </row>
    <row r="9587" spans="1:3" x14ac:dyDescent="0.45">
      <c r="A9587" s="11">
        <v>112.58</v>
      </c>
      <c r="B9587" s="14">
        <v>1.0826229999999999</v>
      </c>
      <c r="C9587" s="15">
        <v>1.044886</v>
      </c>
    </row>
    <row r="9588" spans="1:3" x14ac:dyDescent="0.45">
      <c r="A9588" s="11">
        <v>112.59</v>
      </c>
      <c r="B9588" s="14">
        <v>1.0833619999999999</v>
      </c>
      <c r="C9588" s="15">
        <v>1.045949</v>
      </c>
    </row>
    <row r="9589" spans="1:3" x14ac:dyDescent="0.45">
      <c r="A9589" s="11">
        <v>112.6</v>
      </c>
      <c r="B9589" s="14">
        <v>1.0841019999999999</v>
      </c>
      <c r="C9589" s="15">
        <v>1.047013</v>
      </c>
    </row>
    <row r="9590" spans="1:3" x14ac:dyDescent="0.45">
      <c r="A9590" s="11">
        <v>112.61</v>
      </c>
      <c r="B9590" s="14">
        <v>1.0848420000000001</v>
      </c>
      <c r="C9590" s="15">
        <v>1.048076</v>
      </c>
    </row>
    <row r="9591" spans="1:3" x14ac:dyDescent="0.45">
      <c r="A9591" s="11">
        <v>112.62</v>
      </c>
      <c r="B9591" s="14">
        <v>1.0855809999999999</v>
      </c>
      <c r="C9591" s="15">
        <v>1.04914</v>
      </c>
    </row>
    <row r="9592" spans="1:3" x14ac:dyDescent="0.45">
      <c r="A9592" s="11">
        <v>112.63</v>
      </c>
      <c r="B9592" s="14">
        <v>1.0863210000000001</v>
      </c>
      <c r="C9592" s="15">
        <v>1.050203</v>
      </c>
    </row>
    <row r="9593" spans="1:3" x14ac:dyDescent="0.45">
      <c r="A9593" s="11">
        <v>112.64</v>
      </c>
      <c r="B9593" s="14">
        <v>1.0870610000000001</v>
      </c>
      <c r="C9593" s="15">
        <v>1.051267</v>
      </c>
    </row>
    <row r="9594" spans="1:3" x14ac:dyDescent="0.45">
      <c r="A9594" s="11">
        <v>112.65</v>
      </c>
      <c r="B9594" s="14">
        <v>1.087801</v>
      </c>
      <c r="C9594" s="15">
        <v>1.05233</v>
      </c>
    </row>
    <row r="9595" spans="1:3" x14ac:dyDescent="0.45">
      <c r="A9595" s="11">
        <v>112.66</v>
      </c>
      <c r="B9595" s="14">
        <v>1.0885400000000001</v>
      </c>
      <c r="C9595" s="15">
        <v>1.053393</v>
      </c>
    </row>
    <row r="9596" spans="1:3" x14ac:dyDescent="0.45">
      <c r="A9596" s="11">
        <v>112.67</v>
      </c>
      <c r="B9596" s="14">
        <v>1.08928</v>
      </c>
      <c r="C9596" s="15">
        <v>1.054457</v>
      </c>
    </row>
    <row r="9597" spans="1:3" x14ac:dyDescent="0.45">
      <c r="A9597" s="11">
        <v>112.68</v>
      </c>
      <c r="B9597" s="14">
        <v>1.09002</v>
      </c>
      <c r="C9597" s="15">
        <v>1.05552</v>
      </c>
    </row>
    <row r="9598" spans="1:3" x14ac:dyDescent="0.45">
      <c r="A9598" s="11">
        <v>112.69</v>
      </c>
      <c r="B9598" s="14">
        <v>1.090759</v>
      </c>
      <c r="C9598" s="15">
        <v>1.056584</v>
      </c>
    </row>
    <row r="9599" spans="1:3" x14ac:dyDescent="0.45">
      <c r="A9599" s="11">
        <v>112.7</v>
      </c>
      <c r="B9599" s="14">
        <v>1.091499</v>
      </c>
      <c r="C9599" s="15">
        <v>1.057647</v>
      </c>
    </row>
    <row r="9600" spans="1:3" x14ac:dyDescent="0.45">
      <c r="A9600" s="11">
        <v>112.71</v>
      </c>
      <c r="B9600" s="14">
        <v>1.092239</v>
      </c>
      <c r="C9600" s="15">
        <v>1.058711</v>
      </c>
    </row>
    <row r="9601" spans="1:3" x14ac:dyDescent="0.45">
      <c r="A9601" s="11">
        <v>112.72</v>
      </c>
      <c r="B9601" s="14">
        <v>1.092978</v>
      </c>
      <c r="C9601" s="15">
        <v>1.059774</v>
      </c>
    </row>
    <row r="9602" spans="1:3" x14ac:dyDescent="0.45">
      <c r="A9602" s="11">
        <v>112.73</v>
      </c>
      <c r="B9602" s="14">
        <v>1.093718</v>
      </c>
      <c r="C9602" s="15">
        <v>1.060837</v>
      </c>
    </row>
    <row r="9603" spans="1:3" x14ac:dyDescent="0.45">
      <c r="A9603" s="11">
        <v>112.74</v>
      </c>
      <c r="B9603" s="14">
        <v>1.0944579999999999</v>
      </c>
      <c r="C9603" s="15">
        <v>1.061901</v>
      </c>
    </row>
    <row r="9604" spans="1:3" x14ac:dyDescent="0.45">
      <c r="A9604" s="11">
        <v>112.75</v>
      </c>
      <c r="B9604" s="14">
        <v>1.0951979999999999</v>
      </c>
      <c r="C9604" s="15">
        <v>1.062964</v>
      </c>
    </row>
    <row r="9605" spans="1:3" x14ac:dyDescent="0.45">
      <c r="A9605" s="11">
        <v>112.76</v>
      </c>
      <c r="B9605" s="14">
        <v>1.0959369999999999</v>
      </c>
      <c r="C9605" s="15">
        <v>1.064028</v>
      </c>
    </row>
    <row r="9606" spans="1:3" x14ac:dyDescent="0.45">
      <c r="A9606" s="11">
        <v>112.77</v>
      </c>
      <c r="B9606" s="14">
        <v>1.0966769999999999</v>
      </c>
      <c r="C9606" s="15">
        <v>1.065091</v>
      </c>
    </row>
    <row r="9607" spans="1:3" x14ac:dyDescent="0.45">
      <c r="A9607" s="11">
        <v>112.78</v>
      </c>
      <c r="B9607" s="14">
        <v>1.0974170000000001</v>
      </c>
      <c r="C9607" s="15">
        <v>1.066155</v>
      </c>
    </row>
    <row r="9608" spans="1:3" x14ac:dyDescent="0.45">
      <c r="A9608" s="11">
        <v>112.79</v>
      </c>
      <c r="B9608" s="14">
        <v>1.0981559999999999</v>
      </c>
      <c r="C9608" s="15">
        <v>1.067218</v>
      </c>
    </row>
    <row r="9609" spans="1:3" x14ac:dyDescent="0.45">
      <c r="A9609" s="11">
        <v>112.8</v>
      </c>
      <c r="B9609" s="14">
        <v>1.0988960000000001</v>
      </c>
      <c r="C9609" s="15">
        <v>1.068281</v>
      </c>
    </row>
    <row r="9610" spans="1:3" x14ac:dyDescent="0.45">
      <c r="A9610" s="11">
        <v>112.81</v>
      </c>
      <c r="B9610" s="14">
        <v>1.0996360000000001</v>
      </c>
      <c r="C9610" s="15">
        <v>1.069345</v>
      </c>
    </row>
    <row r="9611" spans="1:3" x14ac:dyDescent="0.45">
      <c r="A9611" s="11">
        <v>112.82</v>
      </c>
      <c r="B9611" s="14">
        <v>1.1003750000000001</v>
      </c>
      <c r="C9611" s="15">
        <v>1.070408</v>
      </c>
    </row>
    <row r="9612" spans="1:3" x14ac:dyDescent="0.45">
      <c r="A9612" s="11">
        <v>112.83</v>
      </c>
      <c r="B9612" s="14">
        <v>1.1011150000000001</v>
      </c>
      <c r="C9612" s="15">
        <v>1.071472</v>
      </c>
    </row>
    <row r="9613" spans="1:3" x14ac:dyDescent="0.45">
      <c r="A9613" s="11">
        <v>112.84</v>
      </c>
      <c r="B9613" s="14">
        <v>1.101855</v>
      </c>
      <c r="C9613" s="15">
        <v>1.072535</v>
      </c>
    </row>
    <row r="9614" spans="1:3" x14ac:dyDescent="0.45">
      <c r="A9614" s="11">
        <v>112.85</v>
      </c>
      <c r="B9614" s="14">
        <v>1.1025940000000001</v>
      </c>
      <c r="C9614" s="15">
        <v>1.073599</v>
      </c>
    </row>
    <row r="9615" spans="1:3" x14ac:dyDescent="0.45">
      <c r="A9615" s="11">
        <v>112.86</v>
      </c>
      <c r="B9615" s="14">
        <v>1.103334</v>
      </c>
      <c r="C9615" s="15">
        <v>1.074662</v>
      </c>
    </row>
    <row r="9616" spans="1:3" x14ac:dyDescent="0.45">
      <c r="A9616" s="11">
        <v>112.87</v>
      </c>
      <c r="B9616" s="14">
        <v>1.104074</v>
      </c>
      <c r="C9616" s="15">
        <v>1.075725</v>
      </c>
    </row>
    <row r="9617" spans="1:3" x14ac:dyDescent="0.45">
      <c r="A9617" s="11">
        <v>112.88</v>
      </c>
      <c r="B9617" s="14">
        <v>1.104814</v>
      </c>
      <c r="C9617" s="15">
        <v>1.076789</v>
      </c>
    </row>
    <row r="9618" spans="1:3" x14ac:dyDescent="0.45">
      <c r="A9618" s="11">
        <v>112.89</v>
      </c>
      <c r="B9618" s="14">
        <v>1.105553</v>
      </c>
      <c r="C9618" s="15">
        <v>1.077852</v>
      </c>
    </row>
    <row r="9619" spans="1:3" x14ac:dyDescent="0.45">
      <c r="A9619" s="11">
        <v>112.9</v>
      </c>
      <c r="B9619" s="14">
        <v>1.106293</v>
      </c>
      <c r="C9619" s="15">
        <v>1.078916</v>
      </c>
    </row>
    <row r="9620" spans="1:3" x14ac:dyDescent="0.45">
      <c r="A9620" s="11">
        <v>112.91</v>
      </c>
      <c r="B9620" s="14">
        <v>1.1070329999999999</v>
      </c>
      <c r="C9620" s="15">
        <v>1.079979</v>
      </c>
    </row>
    <row r="9621" spans="1:3" x14ac:dyDescent="0.45">
      <c r="A9621" s="11">
        <v>112.92</v>
      </c>
      <c r="B9621" s="14">
        <v>1.107772</v>
      </c>
      <c r="C9621" s="15">
        <v>1.081043</v>
      </c>
    </row>
    <row r="9622" spans="1:3" x14ac:dyDescent="0.45">
      <c r="A9622" s="11">
        <v>112.93</v>
      </c>
      <c r="B9622" s="14">
        <v>1.1085119999999999</v>
      </c>
      <c r="C9622" s="15">
        <v>1.082106</v>
      </c>
    </row>
    <row r="9623" spans="1:3" x14ac:dyDescent="0.45">
      <c r="A9623" s="11">
        <v>112.94</v>
      </c>
      <c r="B9623" s="14">
        <v>1.1092519999999999</v>
      </c>
      <c r="C9623" s="15">
        <v>1.083169</v>
      </c>
    </row>
    <row r="9624" spans="1:3" x14ac:dyDescent="0.45">
      <c r="A9624" s="11">
        <v>112.95</v>
      </c>
      <c r="B9624" s="14">
        <v>1.1099920000000001</v>
      </c>
      <c r="C9624" s="15">
        <v>1.084233</v>
      </c>
    </row>
    <row r="9625" spans="1:3" x14ac:dyDescent="0.45">
      <c r="A9625" s="11">
        <v>112.96</v>
      </c>
      <c r="B9625" s="14">
        <v>1.1107309999999999</v>
      </c>
      <c r="C9625" s="15">
        <v>1.085296</v>
      </c>
    </row>
    <row r="9626" spans="1:3" x14ac:dyDescent="0.45">
      <c r="A9626" s="11">
        <v>112.97</v>
      </c>
      <c r="B9626" s="14">
        <v>1.1114710000000001</v>
      </c>
      <c r="C9626" s="15">
        <v>1.08636</v>
      </c>
    </row>
    <row r="9627" spans="1:3" x14ac:dyDescent="0.45">
      <c r="A9627" s="11">
        <v>112.98</v>
      </c>
      <c r="B9627" s="14">
        <v>1.1122110000000001</v>
      </c>
      <c r="C9627" s="15">
        <v>1.087423</v>
      </c>
    </row>
    <row r="9628" spans="1:3" x14ac:dyDescent="0.45">
      <c r="A9628" s="11">
        <v>112.99</v>
      </c>
      <c r="B9628" s="14">
        <v>1.1129500000000001</v>
      </c>
      <c r="C9628" s="15">
        <v>1.088487</v>
      </c>
    </row>
    <row r="9629" spans="1:3" x14ac:dyDescent="0.45">
      <c r="A9629" s="11">
        <v>113</v>
      </c>
      <c r="B9629" s="14">
        <v>1.1136900000000001</v>
      </c>
      <c r="C9629" s="15">
        <v>1.08955</v>
      </c>
    </row>
    <row r="9630" spans="1:3" x14ac:dyDescent="0.45">
      <c r="A9630" s="11">
        <v>113.01</v>
      </c>
      <c r="B9630" s="14">
        <v>1.114471</v>
      </c>
      <c r="C9630" s="15">
        <v>1.0907290000000001</v>
      </c>
    </row>
    <row r="9631" spans="1:3" x14ac:dyDescent="0.45">
      <c r="A9631" s="11">
        <v>113.02</v>
      </c>
      <c r="B9631" s="14">
        <v>1.115251</v>
      </c>
      <c r="C9631" s="15">
        <v>1.091907</v>
      </c>
    </row>
    <row r="9632" spans="1:3" x14ac:dyDescent="0.45">
      <c r="A9632" s="11">
        <v>113.03</v>
      </c>
      <c r="B9632" s="14">
        <v>1.1160319999999999</v>
      </c>
      <c r="C9632" s="15">
        <v>1.093086</v>
      </c>
    </row>
    <row r="9633" spans="1:3" x14ac:dyDescent="0.45">
      <c r="A9633" s="11">
        <v>113.04</v>
      </c>
      <c r="B9633" s="14">
        <v>1.1168119999999999</v>
      </c>
      <c r="C9633" s="15">
        <v>1.0942639999999999</v>
      </c>
    </row>
    <row r="9634" spans="1:3" x14ac:dyDescent="0.45">
      <c r="A9634" s="11">
        <v>113.05</v>
      </c>
      <c r="B9634" s="14">
        <v>1.1175919999999999</v>
      </c>
      <c r="C9634" s="15">
        <v>1.0954429999999999</v>
      </c>
    </row>
    <row r="9635" spans="1:3" x14ac:dyDescent="0.45">
      <c r="A9635" s="11">
        <v>113.06</v>
      </c>
      <c r="B9635" s="14">
        <v>1.1183730000000001</v>
      </c>
      <c r="C9635" s="15">
        <v>1.096622</v>
      </c>
    </row>
    <row r="9636" spans="1:3" x14ac:dyDescent="0.45">
      <c r="A9636" s="11">
        <v>113.07</v>
      </c>
      <c r="B9636" s="14">
        <v>1.1191530000000001</v>
      </c>
      <c r="C9636" s="15">
        <v>1.0978000000000001</v>
      </c>
    </row>
    <row r="9637" spans="1:3" x14ac:dyDescent="0.45">
      <c r="A9637" s="11">
        <v>113.08</v>
      </c>
      <c r="B9637" s="14">
        <v>1.119934</v>
      </c>
      <c r="C9637" s="15">
        <v>1.0989789999999999</v>
      </c>
    </row>
    <row r="9638" spans="1:3" x14ac:dyDescent="0.45">
      <c r="A9638" s="11">
        <v>113.09</v>
      </c>
      <c r="B9638" s="14">
        <v>1.1207149999999999</v>
      </c>
      <c r="C9638" s="15">
        <v>1.1001570000000001</v>
      </c>
    </row>
    <row r="9639" spans="1:3" x14ac:dyDescent="0.45">
      <c r="A9639" s="11">
        <v>113.1</v>
      </c>
      <c r="B9639" s="14">
        <v>1.1214949999999999</v>
      </c>
      <c r="C9639" s="15">
        <v>1.1013360000000001</v>
      </c>
    </row>
    <row r="9640" spans="1:3" x14ac:dyDescent="0.45">
      <c r="A9640" s="11">
        <v>113.11</v>
      </c>
      <c r="B9640" s="14">
        <v>1.1222760000000001</v>
      </c>
      <c r="C9640" s="15">
        <v>1.1025149999999999</v>
      </c>
    </row>
    <row r="9641" spans="1:3" x14ac:dyDescent="0.45">
      <c r="A9641" s="11">
        <v>113.12</v>
      </c>
      <c r="B9641" s="14">
        <v>1.1230560000000001</v>
      </c>
      <c r="C9641" s="15">
        <v>1.103693</v>
      </c>
    </row>
    <row r="9642" spans="1:3" x14ac:dyDescent="0.45">
      <c r="A9642" s="11">
        <v>113.13</v>
      </c>
      <c r="B9642" s="14">
        <v>1.1238360000000001</v>
      </c>
      <c r="C9642" s="15">
        <v>1.1048720000000001</v>
      </c>
    </row>
    <row r="9643" spans="1:3" x14ac:dyDescent="0.45">
      <c r="A9643" s="11">
        <v>113.14</v>
      </c>
      <c r="B9643" s="14">
        <v>1.124617</v>
      </c>
      <c r="C9643" s="15">
        <v>1.10605</v>
      </c>
    </row>
    <row r="9644" spans="1:3" x14ac:dyDescent="0.45">
      <c r="A9644" s="11">
        <v>113.15</v>
      </c>
      <c r="B9644" s="14">
        <v>1.1253979999999999</v>
      </c>
      <c r="C9644" s="15">
        <v>1.107229</v>
      </c>
    </row>
    <row r="9645" spans="1:3" x14ac:dyDescent="0.45">
      <c r="A9645" s="11">
        <v>113.16</v>
      </c>
      <c r="B9645" s="14">
        <v>1.1261779999999999</v>
      </c>
      <c r="C9645" s="15">
        <v>1.1084080000000001</v>
      </c>
    </row>
    <row r="9646" spans="1:3" x14ac:dyDescent="0.45">
      <c r="A9646" s="11">
        <v>113.17</v>
      </c>
      <c r="B9646" s="14">
        <v>1.126959</v>
      </c>
      <c r="C9646" s="15">
        <v>1.109586</v>
      </c>
    </row>
    <row r="9647" spans="1:3" x14ac:dyDescent="0.45">
      <c r="A9647" s="11">
        <v>113.18</v>
      </c>
      <c r="B9647" s="14">
        <v>1.127739</v>
      </c>
      <c r="C9647" s="15">
        <v>1.110765</v>
      </c>
    </row>
    <row r="9648" spans="1:3" x14ac:dyDescent="0.45">
      <c r="A9648" s="11">
        <v>113.19</v>
      </c>
      <c r="B9648" s="14">
        <v>1.128519</v>
      </c>
      <c r="C9648" s="15">
        <v>1.1119429999999999</v>
      </c>
    </row>
    <row r="9649" spans="1:3" x14ac:dyDescent="0.45">
      <c r="A9649" s="11">
        <v>113.2</v>
      </c>
      <c r="B9649" s="14">
        <v>1.1293</v>
      </c>
      <c r="C9649" s="15">
        <v>1.1131219999999999</v>
      </c>
    </row>
    <row r="9650" spans="1:3" x14ac:dyDescent="0.45">
      <c r="A9650" s="11">
        <v>113.21</v>
      </c>
      <c r="B9650" s="14">
        <v>1.13008</v>
      </c>
      <c r="C9650" s="15">
        <v>1.114301</v>
      </c>
    </row>
    <row r="9651" spans="1:3" x14ac:dyDescent="0.45">
      <c r="A9651" s="11">
        <v>113.22</v>
      </c>
      <c r="B9651" s="14">
        <v>1.1308609999999999</v>
      </c>
      <c r="C9651" s="15">
        <v>1.1154790000000001</v>
      </c>
    </row>
    <row r="9652" spans="1:3" x14ac:dyDescent="0.45">
      <c r="A9652" s="11">
        <v>113.23</v>
      </c>
      <c r="B9652" s="14">
        <v>1.131642</v>
      </c>
      <c r="C9652" s="15">
        <v>1.1166579999999999</v>
      </c>
    </row>
    <row r="9653" spans="1:3" x14ac:dyDescent="0.45">
      <c r="A9653" s="11">
        <v>113.24</v>
      </c>
      <c r="B9653" s="14">
        <v>1.132422</v>
      </c>
      <c r="C9653" s="15">
        <v>1.1178360000000001</v>
      </c>
    </row>
    <row r="9654" spans="1:3" x14ac:dyDescent="0.45">
      <c r="A9654" s="11">
        <v>113.25</v>
      </c>
      <c r="B9654" s="14">
        <v>1.133203</v>
      </c>
      <c r="C9654" s="15">
        <v>1.1190150000000001</v>
      </c>
    </row>
    <row r="9655" spans="1:3" x14ac:dyDescent="0.45">
      <c r="A9655" s="11">
        <v>113.26</v>
      </c>
      <c r="B9655" s="14">
        <v>1.133983</v>
      </c>
      <c r="C9655" s="15">
        <v>1.1201939999999999</v>
      </c>
    </row>
    <row r="9656" spans="1:3" x14ac:dyDescent="0.45">
      <c r="A9656" s="11">
        <v>113.27</v>
      </c>
      <c r="B9656" s="14">
        <v>1.134763</v>
      </c>
      <c r="C9656" s="15">
        <v>1.121372</v>
      </c>
    </row>
    <row r="9657" spans="1:3" x14ac:dyDescent="0.45">
      <c r="A9657" s="11">
        <v>113.28</v>
      </c>
      <c r="B9657" s="14">
        <v>1.1355440000000001</v>
      </c>
      <c r="C9657" s="15">
        <v>1.1225510000000001</v>
      </c>
    </row>
    <row r="9658" spans="1:3" x14ac:dyDescent="0.45">
      <c r="A9658" s="11">
        <v>113.29</v>
      </c>
      <c r="B9658" s="14">
        <v>1.136325</v>
      </c>
      <c r="C9658" s="15">
        <v>1.123729</v>
      </c>
    </row>
    <row r="9659" spans="1:3" x14ac:dyDescent="0.45">
      <c r="A9659" s="11">
        <v>113.3</v>
      </c>
      <c r="B9659" s="14">
        <v>1.137105</v>
      </c>
      <c r="C9659" s="15">
        <v>1.124908</v>
      </c>
    </row>
    <row r="9660" spans="1:3" x14ac:dyDescent="0.45">
      <c r="A9660" s="11">
        <v>113.31</v>
      </c>
      <c r="B9660" s="14">
        <v>1.137886</v>
      </c>
      <c r="C9660" s="15">
        <v>1.1260870000000001</v>
      </c>
    </row>
    <row r="9661" spans="1:3" x14ac:dyDescent="0.45">
      <c r="A9661" s="11">
        <v>113.32</v>
      </c>
      <c r="B9661" s="14">
        <v>1.138666</v>
      </c>
      <c r="C9661" s="15">
        <v>1.127265</v>
      </c>
    </row>
    <row r="9662" spans="1:3" x14ac:dyDescent="0.45">
      <c r="A9662" s="11">
        <v>113.33</v>
      </c>
      <c r="B9662" s="14">
        <v>1.139446</v>
      </c>
      <c r="C9662" s="15">
        <v>1.128444</v>
      </c>
    </row>
    <row r="9663" spans="1:3" x14ac:dyDescent="0.45">
      <c r="A9663" s="11">
        <v>113.34</v>
      </c>
      <c r="B9663" s="14">
        <v>1.1402270000000001</v>
      </c>
      <c r="C9663" s="15">
        <v>1.1296219999999999</v>
      </c>
    </row>
    <row r="9664" spans="1:3" x14ac:dyDescent="0.45">
      <c r="A9664" s="11">
        <v>113.35</v>
      </c>
      <c r="B9664" s="14">
        <v>1.1410070000000001</v>
      </c>
      <c r="C9664" s="15">
        <v>1.1308009999999999</v>
      </c>
    </row>
    <row r="9665" spans="1:3" x14ac:dyDescent="0.45">
      <c r="A9665" s="11">
        <v>113.36</v>
      </c>
      <c r="B9665" s="14">
        <v>1.141788</v>
      </c>
      <c r="C9665" s="15">
        <v>1.13198</v>
      </c>
    </row>
    <row r="9666" spans="1:3" x14ac:dyDescent="0.45">
      <c r="A9666" s="11">
        <v>113.37</v>
      </c>
      <c r="B9666" s="14">
        <v>1.1425689999999999</v>
      </c>
      <c r="C9666" s="15">
        <v>1.1331580000000001</v>
      </c>
    </row>
    <row r="9667" spans="1:3" x14ac:dyDescent="0.45">
      <c r="A9667" s="11">
        <v>113.38</v>
      </c>
      <c r="B9667" s="14">
        <v>1.1433489999999999</v>
      </c>
      <c r="C9667" s="15">
        <v>1.1343369999999999</v>
      </c>
    </row>
    <row r="9668" spans="1:3" x14ac:dyDescent="0.45">
      <c r="A9668" s="11">
        <v>113.39</v>
      </c>
      <c r="B9668" s="14">
        <v>1.1441300000000001</v>
      </c>
      <c r="C9668" s="15">
        <v>1.1355150000000001</v>
      </c>
    </row>
    <row r="9669" spans="1:3" x14ac:dyDescent="0.45">
      <c r="A9669" s="11">
        <v>113.4</v>
      </c>
      <c r="B9669" s="14">
        <v>1.1449100000000001</v>
      </c>
      <c r="C9669" s="15">
        <v>1.1366940000000001</v>
      </c>
    </row>
    <row r="9670" spans="1:3" x14ac:dyDescent="0.45">
      <c r="A9670" s="11">
        <v>113.41</v>
      </c>
      <c r="B9670" s="14">
        <v>1.1456900000000001</v>
      </c>
      <c r="C9670" s="15">
        <v>1.1378729999999999</v>
      </c>
    </row>
    <row r="9671" spans="1:3" x14ac:dyDescent="0.45">
      <c r="A9671" s="11">
        <v>113.42</v>
      </c>
      <c r="B9671" s="14">
        <v>1.146471</v>
      </c>
      <c r="C9671" s="15">
        <v>1.139051</v>
      </c>
    </row>
    <row r="9672" spans="1:3" x14ac:dyDescent="0.45">
      <c r="A9672" s="11">
        <v>113.43</v>
      </c>
      <c r="B9672" s="14">
        <v>1.1472519999999999</v>
      </c>
      <c r="C9672" s="15">
        <v>1.1402300000000001</v>
      </c>
    </row>
    <row r="9673" spans="1:3" x14ac:dyDescent="0.45">
      <c r="A9673" s="11">
        <v>113.44</v>
      </c>
      <c r="B9673" s="14">
        <v>1.1480319999999999</v>
      </c>
      <c r="C9673" s="15">
        <v>1.141408</v>
      </c>
    </row>
    <row r="9674" spans="1:3" x14ac:dyDescent="0.45">
      <c r="A9674" s="11">
        <v>113.45</v>
      </c>
      <c r="B9674" s="14">
        <v>1.1488130000000001</v>
      </c>
      <c r="C9674" s="15">
        <v>1.142587</v>
      </c>
    </row>
    <row r="9675" spans="1:3" x14ac:dyDescent="0.45">
      <c r="A9675" s="11">
        <v>113.46</v>
      </c>
      <c r="B9675" s="14">
        <v>1.1495930000000001</v>
      </c>
      <c r="C9675" s="15">
        <v>1.1437660000000001</v>
      </c>
    </row>
    <row r="9676" spans="1:3" x14ac:dyDescent="0.45">
      <c r="A9676" s="11">
        <v>113.47</v>
      </c>
      <c r="B9676" s="14">
        <v>1.1503730000000001</v>
      </c>
      <c r="C9676" s="15">
        <v>1.144944</v>
      </c>
    </row>
    <row r="9677" spans="1:3" x14ac:dyDescent="0.45">
      <c r="A9677" s="11">
        <v>113.48</v>
      </c>
      <c r="B9677" s="14">
        <v>1.151154</v>
      </c>
      <c r="C9677" s="15">
        <v>1.146123</v>
      </c>
    </row>
    <row r="9678" spans="1:3" x14ac:dyDescent="0.45">
      <c r="A9678" s="11">
        <v>113.49</v>
      </c>
      <c r="B9678" s="14">
        <v>1.151934</v>
      </c>
      <c r="C9678" s="15">
        <v>1.1473009999999999</v>
      </c>
    </row>
    <row r="9679" spans="1:3" x14ac:dyDescent="0.45">
      <c r="A9679" s="11">
        <v>113.5</v>
      </c>
      <c r="B9679" s="14">
        <v>1.1527149999999999</v>
      </c>
      <c r="C9679" s="15">
        <v>1.1484799999999999</v>
      </c>
    </row>
    <row r="9680" spans="1:3" x14ac:dyDescent="0.45">
      <c r="A9680" s="11">
        <v>113.51</v>
      </c>
      <c r="B9680" s="14">
        <v>1.1534960000000001</v>
      </c>
      <c r="C9680" s="15">
        <v>1.149659</v>
      </c>
    </row>
    <row r="9681" spans="1:3" x14ac:dyDescent="0.45">
      <c r="A9681" s="11">
        <v>113.52</v>
      </c>
      <c r="B9681" s="14">
        <v>1.1542760000000001</v>
      </c>
      <c r="C9681" s="15">
        <v>1.1508370000000001</v>
      </c>
    </row>
    <row r="9682" spans="1:3" x14ac:dyDescent="0.45">
      <c r="A9682" s="11">
        <v>113.53</v>
      </c>
      <c r="B9682" s="14">
        <v>1.155057</v>
      </c>
      <c r="C9682" s="15">
        <v>1.1520159999999999</v>
      </c>
    </row>
    <row r="9683" spans="1:3" x14ac:dyDescent="0.45">
      <c r="A9683" s="11">
        <v>113.54</v>
      </c>
      <c r="B9683" s="14">
        <v>1.155837</v>
      </c>
      <c r="C9683" s="15">
        <v>1.1531940000000001</v>
      </c>
    </row>
    <row r="9684" spans="1:3" x14ac:dyDescent="0.45">
      <c r="A9684" s="11">
        <v>113.55</v>
      </c>
      <c r="B9684" s="14">
        <v>1.156617</v>
      </c>
      <c r="C9684" s="15">
        <v>1.1543730000000001</v>
      </c>
    </row>
    <row r="9685" spans="1:3" x14ac:dyDescent="0.45">
      <c r="A9685" s="11">
        <v>113.56</v>
      </c>
      <c r="B9685" s="14">
        <v>1.1573979999999999</v>
      </c>
      <c r="C9685" s="15">
        <v>1.1555519999999999</v>
      </c>
    </row>
    <row r="9686" spans="1:3" x14ac:dyDescent="0.45">
      <c r="A9686" s="11">
        <v>113.57</v>
      </c>
      <c r="B9686" s="14">
        <v>1.1581779999999999</v>
      </c>
      <c r="C9686" s="15">
        <v>1.15673</v>
      </c>
    </row>
    <row r="9687" spans="1:3" x14ac:dyDescent="0.45">
      <c r="A9687" s="11">
        <v>113.58</v>
      </c>
      <c r="B9687" s="14">
        <v>1.1589590000000001</v>
      </c>
      <c r="C9687" s="15">
        <v>1.1579090000000001</v>
      </c>
    </row>
    <row r="9688" spans="1:3" x14ac:dyDescent="0.45">
      <c r="A9688" s="11">
        <v>113.59</v>
      </c>
      <c r="B9688" s="14">
        <v>1.15974</v>
      </c>
      <c r="C9688" s="15">
        <v>1.159087</v>
      </c>
    </row>
    <row r="9689" spans="1:3" x14ac:dyDescent="0.45">
      <c r="A9689" s="11">
        <v>113.6</v>
      </c>
      <c r="B9689" s="14">
        <v>1.16052</v>
      </c>
      <c r="C9689" s="15">
        <v>1.160266</v>
      </c>
    </row>
    <row r="9690" spans="1:3" x14ac:dyDescent="0.45">
      <c r="A9690" s="11">
        <v>113.61</v>
      </c>
      <c r="B9690" s="14">
        <v>1.1613</v>
      </c>
      <c r="C9690" s="15">
        <v>1.1614450000000001</v>
      </c>
    </row>
    <row r="9691" spans="1:3" x14ac:dyDescent="0.45">
      <c r="A9691" s="11">
        <v>113.62</v>
      </c>
      <c r="B9691" s="14">
        <v>1.1620809999999999</v>
      </c>
      <c r="C9691" s="15">
        <v>1.162623</v>
      </c>
    </row>
    <row r="9692" spans="1:3" x14ac:dyDescent="0.45">
      <c r="A9692" s="11">
        <v>113.63</v>
      </c>
      <c r="B9692" s="14">
        <v>1.1628609999999999</v>
      </c>
      <c r="C9692" s="15">
        <v>1.163802</v>
      </c>
    </row>
    <row r="9693" spans="1:3" x14ac:dyDescent="0.45">
      <c r="A9693" s="11">
        <v>113.64</v>
      </c>
      <c r="B9693" s="14">
        <v>1.1636420000000001</v>
      </c>
      <c r="C9693" s="15">
        <v>1.1649799999999999</v>
      </c>
    </row>
    <row r="9694" spans="1:3" x14ac:dyDescent="0.45">
      <c r="A9694" s="11">
        <v>113.65</v>
      </c>
      <c r="B9694" s="14">
        <v>1.164423</v>
      </c>
      <c r="C9694" s="15">
        <v>1.1661589999999999</v>
      </c>
    </row>
    <row r="9695" spans="1:3" x14ac:dyDescent="0.45">
      <c r="A9695" s="11">
        <v>113.66</v>
      </c>
      <c r="B9695" s="14">
        <v>1.165203</v>
      </c>
      <c r="C9695" s="15">
        <v>1.167338</v>
      </c>
    </row>
    <row r="9696" spans="1:3" x14ac:dyDescent="0.45">
      <c r="A9696" s="11">
        <v>113.67</v>
      </c>
      <c r="B9696" s="14">
        <v>1.1659839999999999</v>
      </c>
      <c r="C9696" s="15">
        <v>1.1685160000000001</v>
      </c>
    </row>
    <row r="9697" spans="1:3" x14ac:dyDescent="0.45">
      <c r="A9697" s="11">
        <v>113.68</v>
      </c>
      <c r="B9697" s="14">
        <v>1.1667639999999999</v>
      </c>
      <c r="C9697" s="15">
        <v>1.1696949999999999</v>
      </c>
    </row>
    <row r="9698" spans="1:3" x14ac:dyDescent="0.45">
      <c r="A9698" s="11">
        <v>113.69</v>
      </c>
      <c r="B9698" s="14">
        <v>1.1675439999999999</v>
      </c>
      <c r="C9698" s="15">
        <v>1.1708730000000001</v>
      </c>
    </row>
    <row r="9699" spans="1:3" x14ac:dyDescent="0.45">
      <c r="A9699" s="11">
        <v>113.7</v>
      </c>
      <c r="B9699" s="14">
        <v>1.1683250000000001</v>
      </c>
      <c r="C9699" s="15">
        <v>1.1720520000000001</v>
      </c>
    </row>
    <row r="9700" spans="1:3" x14ac:dyDescent="0.45">
      <c r="A9700" s="11">
        <v>113.71</v>
      </c>
      <c r="B9700" s="14">
        <v>1.1691050000000001</v>
      </c>
      <c r="C9700" s="15">
        <v>1.1732309999999999</v>
      </c>
    </row>
    <row r="9701" spans="1:3" x14ac:dyDescent="0.45">
      <c r="A9701" s="11">
        <v>113.72</v>
      </c>
      <c r="B9701" s="14">
        <v>1.169886</v>
      </c>
      <c r="C9701" s="15">
        <v>1.174409</v>
      </c>
    </row>
    <row r="9702" spans="1:3" x14ac:dyDescent="0.45">
      <c r="A9702" s="11">
        <v>113.73</v>
      </c>
      <c r="B9702" s="14">
        <v>1.1706669999999999</v>
      </c>
      <c r="C9702" s="15">
        <v>1.1755880000000001</v>
      </c>
    </row>
    <row r="9703" spans="1:3" x14ac:dyDescent="0.45">
      <c r="A9703" s="11">
        <v>113.74</v>
      </c>
      <c r="B9703" s="14">
        <v>1.1714469999999999</v>
      </c>
      <c r="C9703" s="15">
        <v>1.176766</v>
      </c>
    </row>
    <row r="9704" spans="1:3" x14ac:dyDescent="0.45">
      <c r="A9704" s="11">
        <v>113.75</v>
      </c>
      <c r="B9704" s="14">
        <v>1.172228</v>
      </c>
      <c r="C9704" s="15">
        <v>1.177945</v>
      </c>
    </row>
    <row r="9705" spans="1:3" x14ac:dyDescent="0.45">
      <c r="A9705" s="11">
        <v>113.76</v>
      </c>
      <c r="B9705" s="14">
        <v>1.1730080000000001</v>
      </c>
      <c r="C9705" s="15">
        <v>1.1791240000000001</v>
      </c>
    </row>
    <row r="9706" spans="1:3" x14ac:dyDescent="0.45">
      <c r="A9706" s="11">
        <v>113.77</v>
      </c>
      <c r="B9706" s="14">
        <v>1.1737880000000001</v>
      </c>
      <c r="C9706" s="15">
        <v>1.180302</v>
      </c>
    </row>
    <row r="9707" spans="1:3" x14ac:dyDescent="0.45">
      <c r="A9707" s="11">
        <v>113.78</v>
      </c>
      <c r="B9707" s="14">
        <v>1.174569</v>
      </c>
      <c r="C9707" s="15">
        <v>1.181481</v>
      </c>
    </row>
    <row r="9708" spans="1:3" x14ac:dyDescent="0.45">
      <c r="A9708" s="11">
        <v>113.79</v>
      </c>
      <c r="B9708" s="14">
        <v>1.1753499999999999</v>
      </c>
      <c r="C9708" s="15">
        <v>1.1826589999999999</v>
      </c>
    </row>
    <row r="9709" spans="1:3" x14ac:dyDescent="0.45">
      <c r="A9709" s="11">
        <v>113.8</v>
      </c>
      <c r="B9709" s="14">
        <v>1.1761299999999999</v>
      </c>
      <c r="C9709" s="15">
        <v>1.1838379999999999</v>
      </c>
    </row>
    <row r="9710" spans="1:3" x14ac:dyDescent="0.45">
      <c r="A9710" s="11">
        <v>113.81</v>
      </c>
      <c r="B9710" s="14">
        <v>1.176911</v>
      </c>
      <c r="C9710" s="15">
        <v>1.185017</v>
      </c>
    </row>
    <row r="9711" spans="1:3" x14ac:dyDescent="0.45">
      <c r="A9711" s="11">
        <v>113.82</v>
      </c>
      <c r="B9711" s="14">
        <v>1.177691</v>
      </c>
      <c r="C9711" s="15">
        <v>1.1861950000000001</v>
      </c>
    </row>
    <row r="9712" spans="1:3" x14ac:dyDescent="0.45">
      <c r="A9712" s="11">
        <v>113.83</v>
      </c>
      <c r="B9712" s="14">
        <v>1.178471</v>
      </c>
      <c r="C9712" s="15">
        <v>1.1873739999999999</v>
      </c>
    </row>
    <row r="9713" spans="1:3" x14ac:dyDescent="0.45">
      <c r="A9713" s="11">
        <v>113.84</v>
      </c>
      <c r="B9713" s="14">
        <v>1.179252</v>
      </c>
      <c r="C9713" s="15">
        <v>1.1885520000000001</v>
      </c>
    </row>
    <row r="9714" spans="1:3" x14ac:dyDescent="0.45">
      <c r="A9714" s="11">
        <v>113.85</v>
      </c>
      <c r="B9714" s="14">
        <v>1.180032</v>
      </c>
      <c r="C9714" s="15">
        <v>1.1897310000000001</v>
      </c>
    </row>
    <row r="9715" spans="1:3" x14ac:dyDescent="0.45">
      <c r="A9715" s="11">
        <v>113.86</v>
      </c>
      <c r="B9715" s="14">
        <v>1.1808129999999999</v>
      </c>
      <c r="C9715" s="15">
        <v>1.1909099999999999</v>
      </c>
    </row>
    <row r="9716" spans="1:3" x14ac:dyDescent="0.45">
      <c r="A9716" s="11">
        <v>113.87</v>
      </c>
      <c r="B9716" s="14">
        <v>1.181594</v>
      </c>
      <c r="C9716" s="15">
        <v>1.192088</v>
      </c>
    </row>
    <row r="9717" spans="1:3" x14ac:dyDescent="0.45">
      <c r="A9717" s="11">
        <v>113.88</v>
      </c>
      <c r="B9717" s="14">
        <v>1.182374</v>
      </c>
      <c r="C9717" s="15">
        <v>1.1932670000000001</v>
      </c>
    </row>
    <row r="9718" spans="1:3" x14ac:dyDescent="0.45">
      <c r="A9718" s="11">
        <v>113.89</v>
      </c>
      <c r="B9718" s="14">
        <v>1.183154</v>
      </c>
      <c r="C9718" s="15">
        <v>1.194445</v>
      </c>
    </row>
    <row r="9719" spans="1:3" x14ac:dyDescent="0.45">
      <c r="A9719" s="11">
        <v>113.9</v>
      </c>
      <c r="B9719" s="14">
        <v>1.183935</v>
      </c>
      <c r="C9719" s="15">
        <v>1.195624</v>
      </c>
    </row>
    <row r="9720" spans="1:3" x14ac:dyDescent="0.45">
      <c r="A9720" s="11">
        <v>113.91</v>
      </c>
      <c r="B9720" s="14">
        <v>1.184715</v>
      </c>
      <c r="C9720" s="15">
        <v>1.1968030000000001</v>
      </c>
    </row>
    <row r="9721" spans="1:3" x14ac:dyDescent="0.45">
      <c r="A9721" s="11">
        <v>113.92</v>
      </c>
      <c r="B9721" s="14">
        <v>1.1854960000000001</v>
      </c>
      <c r="C9721" s="15">
        <v>1.197981</v>
      </c>
    </row>
    <row r="9722" spans="1:3" x14ac:dyDescent="0.45">
      <c r="A9722" s="11">
        <v>113.93</v>
      </c>
      <c r="B9722" s="14">
        <v>1.186277</v>
      </c>
      <c r="C9722" s="15">
        <v>1.19916</v>
      </c>
    </row>
    <row r="9723" spans="1:3" x14ac:dyDescent="0.45">
      <c r="A9723" s="11">
        <v>113.94</v>
      </c>
      <c r="B9723" s="14">
        <v>1.187057</v>
      </c>
      <c r="C9723" s="15">
        <v>1.2003379999999999</v>
      </c>
    </row>
    <row r="9724" spans="1:3" x14ac:dyDescent="0.45">
      <c r="A9724" s="11">
        <v>113.95</v>
      </c>
      <c r="B9724" s="14">
        <v>1.1878379999999999</v>
      </c>
      <c r="C9724" s="15">
        <v>1.2015169999999999</v>
      </c>
    </row>
    <row r="9725" spans="1:3" x14ac:dyDescent="0.45">
      <c r="A9725" s="11">
        <v>113.96</v>
      </c>
      <c r="B9725" s="14">
        <v>1.188618</v>
      </c>
      <c r="C9725" s="15">
        <v>1.202696</v>
      </c>
    </row>
    <row r="9726" spans="1:3" x14ac:dyDescent="0.45">
      <c r="A9726" s="11">
        <v>113.97</v>
      </c>
      <c r="B9726" s="14">
        <v>1.189398</v>
      </c>
      <c r="C9726" s="15">
        <v>1.2038740000000001</v>
      </c>
    </row>
    <row r="9727" spans="1:3" x14ac:dyDescent="0.45">
      <c r="A9727" s="11">
        <v>113.98</v>
      </c>
      <c r="B9727" s="14">
        <v>1.1901790000000001</v>
      </c>
      <c r="C9727" s="15">
        <v>1.2050529999999999</v>
      </c>
    </row>
    <row r="9728" spans="1:3" x14ac:dyDescent="0.45">
      <c r="A9728" s="11">
        <v>113.99</v>
      </c>
      <c r="B9728" s="14">
        <v>1.1909590000000001</v>
      </c>
      <c r="C9728" s="15">
        <v>1.2062310000000001</v>
      </c>
    </row>
    <row r="9729" spans="1:3" x14ac:dyDescent="0.45">
      <c r="A9729" s="11">
        <v>114</v>
      </c>
      <c r="B9729" s="14">
        <v>1.19174</v>
      </c>
      <c r="C9729" s="15">
        <v>1.2074100000000001</v>
      </c>
    </row>
    <row r="9730" spans="1:3" x14ac:dyDescent="0.45">
      <c r="A9730" s="11">
        <v>114.01</v>
      </c>
      <c r="B9730" s="14">
        <v>1.192563</v>
      </c>
      <c r="C9730" s="15">
        <v>1.2087159999999999</v>
      </c>
    </row>
    <row r="9731" spans="1:3" x14ac:dyDescent="0.45">
      <c r="A9731" s="11">
        <v>114.02</v>
      </c>
      <c r="B9731" s="14">
        <v>1.1933849999999999</v>
      </c>
      <c r="C9731" s="15">
        <v>1.2100219999999999</v>
      </c>
    </row>
    <row r="9732" spans="1:3" x14ac:dyDescent="0.45">
      <c r="A9732" s="11">
        <v>114.03</v>
      </c>
      <c r="B9732" s="14">
        <v>1.1942079999999999</v>
      </c>
      <c r="C9732" s="15">
        <v>1.211328</v>
      </c>
    </row>
    <row r="9733" spans="1:3" x14ac:dyDescent="0.45">
      <c r="A9733" s="11">
        <v>114.04</v>
      </c>
      <c r="B9733" s="14">
        <v>1.19503</v>
      </c>
      <c r="C9733" s="15">
        <v>1.212634</v>
      </c>
    </row>
    <row r="9734" spans="1:3" x14ac:dyDescent="0.45">
      <c r="A9734" s="11">
        <v>114.05</v>
      </c>
      <c r="B9734" s="14">
        <v>1.1958530000000001</v>
      </c>
      <c r="C9734" s="15">
        <v>1.21394</v>
      </c>
    </row>
    <row r="9735" spans="1:3" x14ac:dyDescent="0.45">
      <c r="A9735" s="11">
        <v>114.06</v>
      </c>
      <c r="B9735" s="14">
        <v>1.1966760000000001</v>
      </c>
      <c r="C9735" s="15">
        <v>1.215246</v>
      </c>
    </row>
    <row r="9736" spans="1:3" x14ac:dyDescent="0.45">
      <c r="A9736" s="11">
        <v>114.07</v>
      </c>
      <c r="B9736" s="14">
        <v>1.197498</v>
      </c>
      <c r="C9736" s="15">
        <v>1.2165520000000001</v>
      </c>
    </row>
    <row r="9737" spans="1:3" x14ac:dyDescent="0.45">
      <c r="A9737" s="11">
        <v>114.08</v>
      </c>
      <c r="B9737" s="14">
        <v>1.198321</v>
      </c>
      <c r="C9737" s="15">
        <v>1.2178580000000001</v>
      </c>
    </row>
    <row r="9738" spans="1:3" x14ac:dyDescent="0.45">
      <c r="A9738" s="11">
        <v>114.09</v>
      </c>
      <c r="B9738" s="14">
        <v>1.1991430000000001</v>
      </c>
      <c r="C9738" s="15">
        <v>1.2191639999999999</v>
      </c>
    </row>
    <row r="9739" spans="1:3" x14ac:dyDescent="0.45">
      <c r="A9739" s="11">
        <v>114.1</v>
      </c>
      <c r="B9739" s="14">
        <v>1.1999660000000001</v>
      </c>
      <c r="C9739" s="15">
        <v>1.2204699999999999</v>
      </c>
    </row>
    <row r="9740" spans="1:3" x14ac:dyDescent="0.45">
      <c r="A9740" s="11">
        <v>114.11</v>
      </c>
      <c r="B9740" s="14">
        <v>1.2007890000000001</v>
      </c>
      <c r="C9740" s="15">
        <v>1.221776</v>
      </c>
    </row>
    <row r="9741" spans="1:3" x14ac:dyDescent="0.45">
      <c r="A9741" s="11">
        <v>114.12</v>
      </c>
      <c r="B9741" s="14">
        <v>1.201611</v>
      </c>
      <c r="C9741" s="15">
        <v>1.223082</v>
      </c>
    </row>
    <row r="9742" spans="1:3" x14ac:dyDescent="0.45">
      <c r="A9742" s="11">
        <v>114.13</v>
      </c>
      <c r="B9742" s="14">
        <v>1.202434</v>
      </c>
      <c r="C9742" s="15">
        <v>1.224388</v>
      </c>
    </row>
    <row r="9743" spans="1:3" x14ac:dyDescent="0.45">
      <c r="A9743" s="11">
        <v>114.14</v>
      </c>
      <c r="B9743" s="14">
        <v>1.2032560000000001</v>
      </c>
      <c r="C9743" s="15">
        <v>1.2256940000000001</v>
      </c>
    </row>
    <row r="9744" spans="1:3" x14ac:dyDescent="0.45">
      <c r="A9744" s="11">
        <v>114.15</v>
      </c>
      <c r="B9744" s="14">
        <v>1.2040789999999999</v>
      </c>
      <c r="C9744" s="15">
        <v>1.2270000000000001</v>
      </c>
    </row>
    <row r="9745" spans="1:3" x14ac:dyDescent="0.45">
      <c r="A9745" s="11">
        <v>114.16</v>
      </c>
      <c r="B9745" s="14">
        <v>1.2049019999999999</v>
      </c>
      <c r="C9745" s="15">
        <v>1.2283059999999999</v>
      </c>
    </row>
    <row r="9746" spans="1:3" x14ac:dyDescent="0.45">
      <c r="A9746" s="11">
        <v>114.17</v>
      </c>
      <c r="B9746" s="14">
        <v>1.205724</v>
      </c>
      <c r="C9746" s="15">
        <v>1.2296119999999999</v>
      </c>
    </row>
    <row r="9747" spans="1:3" x14ac:dyDescent="0.45">
      <c r="A9747" s="11">
        <v>114.18</v>
      </c>
      <c r="B9747" s="14">
        <v>1.206547</v>
      </c>
      <c r="C9747" s="15">
        <v>1.230918</v>
      </c>
    </row>
    <row r="9748" spans="1:3" x14ac:dyDescent="0.45">
      <c r="A9748" s="11">
        <v>114.19</v>
      </c>
      <c r="B9748" s="14">
        <v>1.2073689999999999</v>
      </c>
      <c r="C9748" s="15">
        <v>1.232224</v>
      </c>
    </row>
    <row r="9749" spans="1:3" x14ac:dyDescent="0.45">
      <c r="A9749" s="11">
        <v>114.2</v>
      </c>
      <c r="B9749" s="14">
        <v>1.2081919999999999</v>
      </c>
      <c r="C9749" s="15">
        <v>1.23353</v>
      </c>
    </row>
    <row r="9750" spans="1:3" x14ac:dyDescent="0.45">
      <c r="A9750" s="11">
        <v>114.21</v>
      </c>
      <c r="B9750" s="14">
        <v>1.209015</v>
      </c>
      <c r="C9750" s="15">
        <v>1.234836</v>
      </c>
    </row>
    <row r="9751" spans="1:3" x14ac:dyDescent="0.45">
      <c r="A9751" s="11">
        <v>114.22</v>
      </c>
      <c r="B9751" s="14">
        <v>1.2098370000000001</v>
      </c>
      <c r="C9751" s="15">
        <v>1.2361420000000001</v>
      </c>
    </row>
    <row r="9752" spans="1:3" x14ac:dyDescent="0.45">
      <c r="A9752" s="11">
        <v>114.23</v>
      </c>
      <c r="B9752" s="14">
        <v>1.2106600000000001</v>
      </c>
      <c r="C9752" s="15">
        <v>1.2374480000000001</v>
      </c>
    </row>
    <row r="9753" spans="1:3" x14ac:dyDescent="0.45">
      <c r="A9753" s="11">
        <v>114.24</v>
      </c>
      <c r="B9753" s="14">
        <v>1.2114819999999999</v>
      </c>
      <c r="C9753" s="15">
        <v>1.2387539999999999</v>
      </c>
    </row>
    <row r="9754" spans="1:3" x14ac:dyDescent="0.45">
      <c r="A9754" s="11">
        <v>114.25</v>
      </c>
      <c r="B9754" s="14">
        <v>1.212305</v>
      </c>
      <c r="C9754" s="15">
        <v>1.2400599999999999</v>
      </c>
    </row>
    <row r="9755" spans="1:3" x14ac:dyDescent="0.45">
      <c r="A9755" s="11">
        <v>114.26</v>
      </c>
      <c r="B9755" s="14">
        <v>1.213128</v>
      </c>
      <c r="C9755" s="15">
        <v>1.241366</v>
      </c>
    </row>
    <row r="9756" spans="1:3" x14ac:dyDescent="0.45">
      <c r="A9756" s="11">
        <v>114.27</v>
      </c>
      <c r="B9756" s="14">
        <v>1.2139500000000001</v>
      </c>
      <c r="C9756" s="15">
        <v>1.242672</v>
      </c>
    </row>
    <row r="9757" spans="1:3" x14ac:dyDescent="0.45">
      <c r="A9757" s="11">
        <v>114.28</v>
      </c>
      <c r="B9757" s="14">
        <v>1.2147730000000001</v>
      </c>
      <c r="C9757" s="15">
        <v>1.243978</v>
      </c>
    </row>
    <row r="9758" spans="1:3" x14ac:dyDescent="0.45">
      <c r="A9758" s="11">
        <v>114.29</v>
      </c>
      <c r="B9758" s="14">
        <v>1.215595</v>
      </c>
      <c r="C9758" s="15">
        <v>1.2452840000000001</v>
      </c>
    </row>
    <row r="9759" spans="1:3" x14ac:dyDescent="0.45">
      <c r="A9759" s="11">
        <v>114.3</v>
      </c>
      <c r="B9759" s="14">
        <v>1.216418</v>
      </c>
      <c r="C9759" s="15">
        <v>1.2465900000000001</v>
      </c>
    </row>
    <row r="9760" spans="1:3" x14ac:dyDescent="0.45">
      <c r="A9760" s="11">
        <v>114.31</v>
      </c>
      <c r="B9760" s="14">
        <v>1.217241</v>
      </c>
      <c r="C9760" s="15">
        <v>1.2478959999999999</v>
      </c>
    </row>
    <row r="9761" spans="1:3" x14ac:dyDescent="0.45">
      <c r="A9761" s="11">
        <v>114.32</v>
      </c>
      <c r="B9761" s="14">
        <v>1.2180629999999999</v>
      </c>
      <c r="C9761" s="15">
        <v>1.2492019999999999</v>
      </c>
    </row>
    <row r="9762" spans="1:3" x14ac:dyDescent="0.45">
      <c r="A9762" s="11">
        <v>114.33</v>
      </c>
      <c r="B9762" s="14">
        <v>1.2188859999999999</v>
      </c>
      <c r="C9762" s="15">
        <v>1.250508</v>
      </c>
    </row>
    <row r="9763" spans="1:3" x14ac:dyDescent="0.45">
      <c r="A9763" s="11">
        <v>114.34</v>
      </c>
      <c r="B9763" s="14">
        <v>1.219708</v>
      </c>
      <c r="C9763" s="15">
        <v>1.251814</v>
      </c>
    </row>
    <row r="9764" spans="1:3" x14ac:dyDescent="0.45">
      <c r="A9764" s="11">
        <v>114.35</v>
      </c>
      <c r="B9764" s="14">
        <v>1.220531</v>
      </c>
      <c r="C9764" s="15">
        <v>1.25312</v>
      </c>
    </row>
    <row r="9765" spans="1:3" x14ac:dyDescent="0.45">
      <c r="A9765" s="11">
        <v>114.36</v>
      </c>
      <c r="B9765" s="14">
        <v>1.2213540000000001</v>
      </c>
      <c r="C9765" s="15">
        <v>1.254426</v>
      </c>
    </row>
    <row r="9766" spans="1:3" x14ac:dyDescent="0.45">
      <c r="A9766" s="11">
        <v>114.37</v>
      </c>
      <c r="B9766" s="14">
        <v>1.2221759999999999</v>
      </c>
      <c r="C9766" s="15">
        <v>1.2557320000000001</v>
      </c>
    </row>
    <row r="9767" spans="1:3" x14ac:dyDescent="0.45">
      <c r="A9767" s="11">
        <v>114.38</v>
      </c>
      <c r="B9767" s="14">
        <v>1.2229989999999999</v>
      </c>
      <c r="C9767" s="15">
        <v>1.2570380000000001</v>
      </c>
    </row>
    <row r="9768" spans="1:3" x14ac:dyDescent="0.45">
      <c r="A9768" s="11">
        <v>114.39</v>
      </c>
      <c r="B9768" s="14">
        <v>1.223821</v>
      </c>
      <c r="C9768" s="15">
        <v>1.2583439999999999</v>
      </c>
    </row>
    <row r="9769" spans="1:3" x14ac:dyDescent="0.45">
      <c r="A9769" s="11">
        <v>114.4</v>
      </c>
      <c r="B9769" s="14">
        <v>1.2246440000000001</v>
      </c>
      <c r="C9769" s="15">
        <v>1.2596499999999999</v>
      </c>
    </row>
    <row r="9770" spans="1:3" x14ac:dyDescent="0.45">
      <c r="A9770" s="11">
        <v>114.41</v>
      </c>
      <c r="B9770" s="14">
        <v>1.2254670000000001</v>
      </c>
      <c r="C9770" s="15">
        <v>1.260956</v>
      </c>
    </row>
    <row r="9771" spans="1:3" x14ac:dyDescent="0.45">
      <c r="A9771" s="11">
        <v>114.42</v>
      </c>
      <c r="B9771" s="14">
        <v>1.226289</v>
      </c>
      <c r="C9771" s="15">
        <v>1.262262</v>
      </c>
    </row>
    <row r="9772" spans="1:3" x14ac:dyDescent="0.45">
      <c r="A9772" s="11">
        <v>114.43</v>
      </c>
      <c r="B9772" s="14">
        <v>1.227112</v>
      </c>
      <c r="C9772" s="15">
        <v>1.263568</v>
      </c>
    </row>
    <row r="9773" spans="1:3" x14ac:dyDescent="0.45">
      <c r="A9773" s="11">
        <v>114.44</v>
      </c>
      <c r="B9773" s="14">
        <v>1.2279340000000001</v>
      </c>
      <c r="C9773" s="15">
        <v>1.2648740000000001</v>
      </c>
    </row>
    <row r="9774" spans="1:3" x14ac:dyDescent="0.45">
      <c r="A9774" s="11">
        <v>114.45</v>
      </c>
      <c r="B9774" s="14">
        <v>1.2287570000000001</v>
      </c>
      <c r="C9774" s="15">
        <v>1.2661800000000001</v>
      </c>
    </row>
    <row r="9775" spans="1:3" x14ac:dyDescent="0.45">
      <c r="A9775" s="11">
        <v>114.46</v>
      </c>
      <c r="B9775" s="14">
        <v>1.2295799999999999</v>
      </c>
      <c r="C9775" s="15">
        <v>1.2674859999999999</v>
      </c>
    </row>
    <row r="9776" spans="1:3" x14ac:dyDescent="0.45">
      <c r="A9776" s="11">
        <v>114.47</v>
      </c>
      <c r="B9776" s="14">
        <v>1.230402</v>
      </c>
      <c r="C9776" s="15">
        <v>1.2687919999999999</v>
      </c>
    </row>
    <row r="9777" spans="1:3" x14ac:dyDescent="0.45">
      <c r="A9777" s="11">
        <v>114.48</v>
      </c>
      <c r="B9777" s="14">
        <v>1.231225</v>
      </c>
      <c r="C9777" s="15">
        <v>1.2700979999999999</v>
      </c>
    </row>
    <row r="9778" spans="1:3" x14ac:dyDescent="0.45">
      <c r="A9778" s="11">
        <v>114.49</v>
      </c>
      <c r="B9778" s="14">
        <v>1.2320469999999999</v>
      </c>
      <c r="C9778" s="15">
        <v>1.271404</v>
      </c>
    </row>
    <row r="9779" spans="1:3" x14ac:dyDescent="0.45">
      <c r="A9779" s="11">
        <v>114.5</v>
      </c>
      <c r="B9779" s="14">
        <v>1.2328699999999999</v>
      </c>
      <c r="C9779" s="15">
        <v>1.27271</v>
      </c>
    </row>
    <row r="9780" spans="1:3" x14ac:dyDescent="0.45">
      <c r="A9780" s="11">
        <v>114.51</v>
      </c>
      <c r="B9780" s="14">
        <v>1.2336929999999999</v>
      </c>
      <c r="C9780" s="15">
        <v>1.274016</v>
      </c>
    </row>
    <row r="9781" spans="1:3" x14ac:dyDescent="0.45">
      <c r="A9781" s="11">
        <v>114.52</v>
      </c>
      <c r="B9781" s="14">
        <v>1.234515</v>
      </c>
      <c r="C9781" s="15">
        <v>1.2753220000000001</v>
      </c>
    </row>
    <row r="9782" spans="1:3" x14ac:dyDescent="0.45">
      <c r="A9782" s="11">
        <v>114.53</v>
      </c>
      <c r="B9782" s="14">
        <v>1.235338</v>
      </c>
      <c r="C9782" s="15">
        <v>1.2766280000000001</v>
      </c>
    </row>
    <row r="9783" spans="1:3" x14ac:dyDescent="0.45">
      <c r="A9783" s="11">
        <v>114.54</v>
      </c>
      <c r="B9783" s="14">
        <v>1.2361599999999999</v>
      </c>
      <c r="C9783" s="15">
        <v>1.2779339999999999</v>
      </c>
    </row>
    <row r="9784" spans="1:3" x14ac:dyDescent="0.45">
      <c r="A9784" s="11">
        <v>114.55</v>
      </c>
      <c r="B9784" s="14">
        <v>1.2369829999999999</v>
      </c>
      <c r="C9784" s="15">
        <v>1.2792399999999999</v>
      </c>
    </row>
    <row r="9785" spans="1:3" x14ac:dyDescent="0.45">
      <c r="A9785" s="11">
        <v>114.56</v>
      </c>
      <c r="B9785" s="14">
        <v>1.237806</v>
      </c>
      <c r="C9785" s="15">
        <v>1.280546</v>
      </c>
    </row>
    <row r="9786" spans="1:3" x14ac:dyDescent="0.45">
      <c r="A9786" s="11">
        <v>114.57</v>
      </c>
      <c r="B9786" s="14">
        <v>1.2386280000000001</v>
      </c>
      <c r="C9786" s="15">
        <v>1.281852</v>
      </c>
    </row>
    <row r="9787" spans="1:3" x14ac:dyDescent="0.45">
      <c r="A9787" s="11">
        <v>114.58</v>
      </c>
      <c r="B9787" s="14">
        <v>1.2394510000000001</v>
      </c>
      <c r="C9787" s="15">
        <v>1.283158</v>
      </c>
    </row>
    <row r="9788" spans="1:3" x14ac:dyDescent="0.45">
      <c r="A9788" s="11">
        <v>114.59</v>
      </c>
      <c r="B9788" s="14">
        <v>1.240273</v>
      </c>
      <c r="C9788" s="15">
        <v>1.2844640000000001</v>
      </c>
    </row>
    <row r="9789" spans="1:3" x14ac:dyDescent="0.45">
      <c r="A9789" s="11">
        <v>114.6</v>
      </c>
      <c r="B9789" s="14">
        <v>1.241096</v>
      </c>
      <c r="C9789" s="15">
        <v>1.2857700000000001</v>
      </c>
    </row>
    <row r="9790" spans="1:3" x14ac:dyDescent="0.45">
      <c r="A9790" s="11">
        <v>114.61</v>
      </c>
      <c r="B9790" s="14">
        <v>1.241919</v>
      </c>
      <c r="C9790" s="15">
        <v>1.2870760000000001</v>
      </c>
    </row>
    <row r="9791" spans="1:3" x14ac:dyDescent="0.45">
      <c r="A9791" s="11">
        <v>114.62</v>
      </c>
      <c r="B9791" s="14">
        <v>1.2427410000000001</v>
      </c>
      <c r="C9791" s="15">
        <v>1.2883819999999999</v>
      </c>
    </row>
    <row r="9792" spans="1:3" x14ac:dyDescent="0.45">
      <c r="A9792" s="11">
        <v>114.63</v>
      </c>
      <c r="B9792" s="14">
        <v>1.2435639999999999</v>
      </c>
      <c r="C9792" s="15">
        <v>1.2896879999999999</v>
      </c>
    </row>
    <row r="9793" spans="1:3" x14ac:dyDescent="0.45">
      <c r="A9793" s="11">
        <v>114.64</v>
      </c>
      <c r="B9793" s="14">
        <v>1.244386</v>
      </c>
      <c r="C9793" s="15">
        <v>1.290994</v>
      </c>
    </row>
    <row r="9794" spans="1:3" x14ac:dyDescent="0.45">
      <c r="A9794" s="11">
        <v>114.65</v>
      </c>
      <c r="B9794" s="14">
        <v>1.245209</v>
      </c>
      <c r="C9794" s="15">
        <v>1.2923</v>
      </c>
    </row>
    <row r="9795" spans="1:3" x14ac:dyDescent="0.45">
      <c r="A9795" s="11">
        <v>114.66</v>
      </c>
      <c r="B9795" s="14">
        <v>1.246032</v>
      </c>
      <c r="C9795" s="15">
        <v>1.293606</v>
      </c>
    </row>
    <row r="9796" spans="1:3" x14ac:dyDescent="0.45">
      <c r="A9796" s="11">
        <v>114.67</v>
      </c>
      <c r="B9796" s="14">
        <v>1.2468539999999999</v>
      </c>
      <c r="C9796" s="15">
        <v>1.2949120000000001</v>
      </c>
    </row>
    <row r="9797" spans="1:3" x14ac:dyDescent="0.45">
      <c r="A9797" s="11">
        <v>114.68</v>
      </c>
      <c r="B9797" s="14">
        <v>1.2476769999999999</v>
      </c>
      <c r="C9797" s="15">
        <v>1.2962180000000001</v>
      </c>
    </row>
    <row r="9798" spans="1:3" x14ac:dyDescent="0.45">
      <c r="A9798" s="11">
        <v>114.69</v>
      </c>
      <c r="B9798" s="14">
        <v>1.248499</v>
      </c>
      <c r="C9798" s="15">
        <v>1.2975239999999999</v>
      </c>
    </row>
    <row r="9799" spans="1:3" x14ac:dyDescent="0.45">
      <c r="A9799" s="11">
        <v>114.7</v>
      </c>
      <c r="B9799" s="14">
        <v>1.249322</v>
      </c>
      <c r="C9799" s="15">
        <v>1.2988299999999999</v>
      </c>
    </row>
    <row r="9800" spans="1:3" x14ac:dyDescent="0.45">
      <c r="A9800" s="11">
        <v>114.71</v>
      </c>
      <c r="B9800" s="14">
        <v>1.2501450000000001</v>
      </c>
      <c r="C9800" s="15">
        <v>1.300136</v>
      </c>
    </row>
    <row r="9801" spans="1:3" x14ac:dyDescent="0.45">
      <c r="A9801" s="11">
        <v>114.72</v>
      </c>
      <c r="B9801" s="14">
        <v>1.2509669999999999</v>
      </c>
      <c r="C9801" s="15">
        <v>1.301442</v>
      </c>
    </row>
    <row r="9802" spans="1:3" x14ac:dyDescent="0.45">
      <c r="A9802" s="11">
        <v>114.73</v>
      </c>
      <c r="B9802" s="14">
        <v>1.25179</v>
      </c>
      <c r="C9802" s="15">
        <v>1.302748</v>
      </c>
    </row>
    <row r="9803" spans="1:3" x14ac:dyDescent="0.45">
      <c r="A9803" s="11">
        <v>114.74</v>
      </c>
      <c r="B9803" s="14">
        <v>1.2526120000000001</v>
      </c>
      <c r="C9803" s="15">
        <v>1.304054</v>
      </c>
    </row>
    <row r="9804" spans="1:3" x14ac:dyDescent="0.45">
      <c r="A9804" s="11">
        <v>114.75</v>
      </c>
      <c r="B9804" s="14">
        <v>1.2534350000000001</v>
      </c>
      <c r="C9804" s="15">
        <v>1.3053600000000001</v>
      </c>
    </row>
    <row r="9805" spans="1:3" x14ac:dyDescent="0.45">
      <c r="A9805" s="11">
        <v>114.76</v>
      </c>
      <c r="B9805" s="14">
        <v>1.2542580000000001</v>
      </c>
      <c r="C9805" s="15">
        <v>1.3066660000000001</v>
      </c>
    </row>
    <row r="9806" spans="1:3" x14ac:dyDescent="0.45">
      <c r="A9806" s="11">
        <v>114.77</v>
      </c>
      <c r="B9806" s="14">
        <v>1.25508</v>
      </c>
      <c r="C9806" s="15">
        <v>1.3079719999999999</v>
      </c>
    </row>
    <row r="9807" spans="1:3" x14ac:dyDescent="0.45">
      <c r="A9807" s="11">
        <v>114.78</v>
      </c>
      <c r="B9807" s="14">
        <v>1.255903</v>
      </c>
      <c r="C9807" s="15">
        <v>1.3092779999999999</v>
      </c>
    </row>
    <row r="9808" spans="1:3" x14ac:dyDescent="0.45">
      <c r="A9808" s="11">
        <v>114.79</v>
      </c>
      <c r="B9808" s="14">
        <v>1.2567250000000001</v>
      </c>
      <c r="C9808" s="15">
        <v>1.310584</v>
      </c>
    </row>
    <row r="9809" spans="1:3" x14ac:dyDescent="0.45">
      <c r="A9809" s="11">
        <v>114.8</v>
      </c>
      <c r="B9809" s="14">
        <v>1.2575480000000001</v>
      </c>
      <c r="C9809" s="15">
        <v>1.31189</v>
      </c>
    </row>
    <row r="9810" spans="1:3" x14ac:dyDescent="0.45">
      <c r="A9810" s="11">
        <v>114.81</v>
      </c>
      <c r="B9810" s="14">
        <v>1.2583709999999999</v>
      </c>
      <c r="C9810" s="15">
        <v>1.313196</v>
      </c>
    </row>
    <row r="9811" spans="1:3" x14ac:dyDescent="0.45">
      <c r="A9811" s="11">
        <v>114.82</v>
      </c>
      <c r="B9811" s="14">
        <v>1.259193</v>
      </c>
      <c r="C9811" s="15">
        <v>1.3145020000000001</v>
      </c>
    </row>
    <row r="9812" spans="1:3" x14ac:dyDescent="0.45">
      <c r="A9812" s="11">
        <v>114.83</v>
      </c>
      <c r="B9812" s="14">
        <v>1.260016</v>
      </c>
      <c r="C9812" s="15">
        <v>1.3158080000000001</v>
      </c>
    </row>
    <row r="9813" spans="1:3" x14ac:dyDescent="0.45">
      <c r="A9813" s="11">
        <v>114.84</v>
      </c>
      <c r="B9813" s="14">
        <v>1.2608379999999999</v>
      </c>
      <c r="C9813" s="15">
        <v>1.3171139999999999</v>
      </c>
    </row>
    <row r="9814" spans="1:3" x14ac:dyDescent="0.45">
      <c r="A9814" s="11">
        <v>114.85</v>
      </c>
      <c r="B9814" s="14">
        <v>1.2616609999999999</v>
      </c>
      <c r="C9814" s="15">
        <v>1.3184199999999999</v>
      </c>
    </row>
    <row r="9815" spans="1:3" x14ac:dyDescent="0.45">
      <c r="A9815" s="11">
        <v>114.86</v>
      </c>
      <c r="B9815" s="14">
        <v>1.2624839999999999</v>
      </c>
      <c r="C9815" s="15">
        <v>1.319726</v>
      </c>
    </row>
    <row r="9816" spans="1:3" x14ac:dyDescent="0.45">
      <c r="A9816" s="11">
        <v>114.87</v>
      </c>
      <c r="B9816" s="14">
        <v>1.263306</v>
      </c>
      <c r="C9816" s="15">
        <v>1.321032</v>
      </c>
    </row>
    <row r="9817" spans="1:3" x14ac:dyDescent="0.45">
      <c r="A9817" s="11">
        <v>114.88</v>
      </c>
      <c r="B9817" s="14">
        <v>1.2641290000000001</v>
      </c>
      <c r="C9817" s="15">
        <v>1.322338</v>
      </c>
    </row>
    <row r="9818" spans="1:3" x14ac:dyDescent="0.45">
      <c r="A9818" s="11">
        <v>114.89</v>
      </c>
      <c r="B9818" s="14">
        <v>1.2649509999999999</v>
      </c>
      <c r="C9818" s="15">
        <v>1.323644</v>
      </c>
    </row>
    <row r="9819" spans="1:3" x14ac:dyDescent="0.45">
      <c r="A9819" s="11">
        <v>114.9</v>
      </c>
      <c r="B9819" s="14">
        <v>1.265774</v>
      </c>
      <c r="C9819" s="15">
        <v>1.3249500000000001</v>
      </c>
    </row>
    <row r="9820" spans="1:3" x14ac:dyDescent="0.45">
      <c r="A9820" s="11">
        <v>114.91</v>
      </c>
      <c r="B9820" s="14">
        <v>1.266597</v>
      </c>
      <c r="C9820" s="15">
        <v>1.3262560000000001</v>
      </c>
    </row>
    <row r="9821" spans="1:3" x14ac:dyDescent="0.45">
      <c r="A9821" s="11">
        <v>114.92</v>
      </c>
      <c r="B9821" s="14">
        <v>1.2674190000000001</v>
      </c>
      <c r="C9821" s="15">
        <v>1.3275619999999999</v>
      </c>
    </row>
    <row r="9822" spans="1:3" x14ac:dyDescent="0.45">
      <c r="A9822" s="11">
        <v>114.93</v>
      </c>
      <c r="B9822" s="14">
        <v>1.2682420000000001</v>
      </c>
      <c r="C9822" s="15">
        <v>1.3288679999999999</v>
      </c>
    </row>
    <row r="9823" spans="1:3" x14ac:dyDescent="0.45">
      <c r="A9823" s="11">
        <v>114.94</v>
      </c>
      <c r="B9823" s="14">
        <v>1.269064</v>
      </c>
      <c r="C9823" s="15">
        <v>1.330174</v>
      </c>
    </row>
    <row r="9824" spans="1:3" x14ac:dyDescent="0.45">
      <c r="A9824" s="11">
        <v>114.95</v>
      </c>
      <c r="B9824" s="14">
        <v>1.269887</v>
      </c>
      <c r="C9824" s="15">
        <v>1.33148</v>
      </c>
    </row>
    <row r="9825" spans="1:3" x14ac:dyDescent="0.45">
      <c r="A9825" s="11">
        <v>114.96</v>
      </c>
      <c r="B9825" s="14">
        <v>1.27071</v>
      </c>
      <c r="C9825" s="15">
        <v>1.332786</v>
      </c>
    </row>
    <row r="9826" spans="1:3" x14ac:dyDescent="0.45">
      <c r="A9826" s="11">
        <v>114.97</v>
      </c>
      <c r="B9826" s="14">
        <v>1.2715320000000001</v>
      </c>
      <c r="C9826" s="15">
        <v>1.3340920000000001</v>
      </c>
    </row>
    <row r="9827" spans="1:3" x14ac:dyDescent="0.45">
      <c r="A9827" s="11">
        <v>114.98</v>
      </c>
      <c r="B9827" s="14">
        <v>1.2723549999999999</v>
      </c>
      <c r="C9827" s="15">
        <v>1.3353980000000001</v>
      </c>
    </row>
    <row r="9828" spans="1:3" x14ac:dyDescent="0.45">
      <c r="A9828" s="11">
        <v>114.99</v>
      </c>
      <c r="B9828" s="14">
        <v>1.273177</v>
      </c>
      <c r="C9828" s="15">
        <v>1.3367039999999999</v>
      </c>
    </row>
    <row r="9829" spans="1:3" x14ac:dyDescent="0.45">
      <c r="A9829" s="11">
        <v>115</v>
      </c>
      <c r="B9829" s="14">
        <v>1.274</v>
      </c>
      <c r="C9829" s="15">
        <v>1.3380099999999999</v>
      </c>
    </row>
    <row r="9830" spans="1:3" x14ac:dyDescent="0.45">
      <c r="A9830" s="11">
        <v>115.01</v>
      </c>
      <c r="B9830" s="14">
        <v>1.2748660000000001</v>
      </c>
      <c r="C9830" s="15">
        <v>1.3394569999999999</v>
      </c>
    </row>
    <row r="9831" spans="1:3" x14ac:dyDescent="0.45">
      <c r="A9831" s="11">
        <v>115.02</v>
      </c>
      <c r="B9831" s="14">
        <v>1.2757320000000001</v>
      </c>
      <c r="C9831" s="15">
        <v>1.340905</v>
      </c>
    </row>
    <row r="9832" spans="1:3" x14ac:dyDescent="0.45">
      <c r="A9832" s="11">
        <v>115.03</v>
      </c>
      <c r="B9832" s="14">
        <v>1.276597</v>
      </c>
      <c r="C9832" s="15">
        <v>1.342352</v>
      </c>
    </row>
    <row r="9833" spans="1:3" x14ac:dyDescent="0.45">
      <c r="A9833" s="11">
        <v>115.04</v>
      </c>
      <c r="B9833" s="14">
        <v>1.277463</v>
      </c>
      <c r="C9833" s="15">
        <v>1.343799</v>
      </c>
    </row>
    <row r="9834" spans="1:3" x14ac:dyDescent="0.45">
      <c r="A9834" s="11">
        <v>115.05</v>
      </c>
      <c r="B9834" s="14">
        <v>1.278329</v>
      </c>
      <c r="C9834" s="15">
        <v>1.3452459999999999</v>
      </c>
    </row>
    <row r="9835" spans="1:3" x14ac:dyDescent="0.45">
      <c r="A9835" s="11">
        <v>115.06</v>
      </c>
      <c r="B9835" s="14">
        <v>1.2791950000000001</v>
      </c>
      <c r="C9835" s="15">
        <v>1.3466940000000001</v>
      </c>
    </row>
    <row r="9836" spans="1:3" x14ac:dyDescent="0.45">
      <c r="A9836" s="11">
        <v>115.07</v>
      </c>
      <c r="B9836" s="14">
        <v>1.2800609999999999</v>
      </c>
      <c r="C9836" s="15">
        <v>1.348141</v>
      </c>
    </row>
    <row r="9837" spans="1:3" x14ac:dyDescent="0.45">
      <c r="A9837" s="11">
        <v>115.08</v>
      </c>
      <c r="B9837" s="14">
        <v>1.280926</v>
      </c>
      <c r="C9837" s="15">
        <v>1.349588</v>
      </c>
    </row>
    <row r="9838" spans="1:3" x14ac:dyDescent="0.45">
      <c r="A9838" s="11">
        <v>115.09</v>
      </c>
      <c r="B9838" s="14">
        <v>1.281792</v>
      </c>
      <c r="C9838" s="15">
        <v>1.3510359999999999</v>
      </c>
    </row>
    <row r="9839" spans="1:3" x14ac:dyDescent="0.45">
      <c r="A9839" s="11">
        <v>115.1</v>
      </c>
      <c r="B9839" s="14">
        <v>1.2826580000000001</v>
      </c>
      <c r="C9839" s="15">
        <v>1.3524830000000001</v>
      </c>
    </row>
    <row r="9840" spans="1:3" x14ac:dyDescent="0.45">
      <c r="A9840" s="11">
        <v>115.11</v>
      </c>
      <c r="B9840" s="14">
        <v>1.2835240000000001</v>
      </c>
      <c r="C9840" s="15">
        <v>1.3539300000000001</v>
      </c>
    </row>
    <row r="9841" spans="1:3" x14ac:dyDescent="0.45">
      <c r="A9841" s="11">
        <v>115.12</v>
      </c>
      <c r="B9841" s="14">
        <v>1.2843899999999999</v>
      </c>
      <c r="C9841" s="15">
        <v>1.355378</v>
      </c>
    </row>
    <row r="9842" spans="1:3" x14ac:dyDescent="0.45">
      <c r="A9842" s="11">
        <v>115.13</v>
      </c>
      <c r="B9842" s="14">
        <v>1.285255</v>
      </c>
      <c r="C9842" s="15">
        <v>1.3568249999999999</v>
      </c>
    </row>
    <row r="9843" spans="1:3" x14ac:dyDescent="0.45">
      <c r="A9843" s="11">
        <v>115.14</v>
      </c>
      <c r="B9843" s="14">
        <v>1.2861210000000001</v>
      </c>
      <c r="C9843" s="15">
        <v>1.3582719999999999</v>
      </c>
    </row>
    <row r="9844" spans="1:3" x14ac:dyDescent="0.45">
      <c r="A9844" s="11">
        <v>115.15</v>
      </c>
      <c r="B9844" s="14">
        <v>1.2869870000000001</v>
      </c>
      <c r="C9844" s="15">
        <v>1.35972</v>
      </c>
    </row>
    <row r="9845" spans="1:3" x14ac:dyDescent="0.45">
      <c r="A9845" s="11">
        <v>115.16</v>
      </c>
      <c r="B9845" s="14">
        <v>1.2878529999999999</v>
      </c>
      <c r="C9845" s="15">
        <v>1.361167</v>
      </c>
    </row>
    <row r="9846" spans="1:3" x14ac:dyDescent="0.45">
      <c r="A9846" s="11">
        <v>115.17</v>
      </c>
      <c r="B9846" s="14">
        <v>1.2887189999999999</v>
      </c>
      <c r="C9846" s="15">
        <v>1.362614</v>
      </c>
    </row>
    <row r="9847" spans="1:3" x14ac:dyDescent="0.45">
      <c r="A9847" s="11">
        <v>115.18</v>
      </c>
      <c r="B9847" s="14">
        <v>1.2895840000000001</v>
      </c>
      <c r="C9847" s="15">
        <v>1.364061</v>
      </c>
    </row>
    <row r="9848" spans="1:3" x14ac:dyDescent="0.45">
      <c r="A9848" s="11">
        <v>115.19</v>
      </c>
      <c r="B9848" s="14">
        <v>1.2904500000000001</v>
      </c>
      <c r="C9848" s="15">
        <v>1.3655090000000001</v>
      </c>
    </row>
    <row r="9849" spans="1:3" x14ac:dyDescent="0.45">
      <c r="A9849" s="11">
        <v>115.2</v>
      </c>
      <c r="B9849" s="14">
        <v>1.2913159999999999</v>
      </c>
      <c r="C9849" s="15">
        <v>1.3669560000000001</v>
      </c>
    </row>
    <row r="9850" spans="1:3" x14ac:dyDescent="0.45">
      <c r="A9850" s="11">
        <v>115.21</v>
      </c>
      <c r="B9850" s="14">
        <v>1.2921819999999999</v>
      </c>
      <c r="C9850" s="15">
        <v>1.368403</v>
      </c>
    </row>
    <row r="9851" spans="1:3" x14ac:dyDescent="0.45">
      <c r="A9851" s="11">
        <v>115.22</v>
      </c>
      <c r="B9851" s="14">
        <v>1.293048</v>
      </c>
      <c r="C9851" s="15">
        <v>1.3698509999999999</v>
      </c>
    </row>
    <row r="9852" spans="1:3" x14ac:dyDescent="0.45">
      <c r="A9852" s="11">
        <v>115.23</v>
      </c>
      <c r="B9852" s="14">
        <v>1.2939130000000001</v>
      </c>
      <c r="C9852" s="15">
        <v>1.3712979999999999</v>
      </c>
    </row>
    <row r="9853" spans="1:3" x14ac:dyDescent="0.45">
      <c r="A9853" s="11">
        <v>115.24</v>
      </c>
      <c r="B9853" s="14">
        <v>1.2947789999999999</v>
      </c>
      <c r="C9853" s="15">
        <v>1.3727450000000001</v>
      </c>
    </row>
    <row r="9854" spans="1:3" x14ac:dyDescent="0.45">
      <c r="A9854" s="11">
        <v>115.25</v>
      </c>
      <c r="B9854" s="14">
        <v>1.2956449999999999</v>
      </c>
      <c r="C9854" s="15">
        <v>1.3741920000000001</v>
      </c>
    </row>
    <row r="9855" spans="1:3" x14ac:dyDescent="0.45">
      <c r="A9855" s="11">
        <v>115.26</v>
      </c>
      <c r="B9855" s="14">
        <v>1.296511</v>
      </c>
      <c r="C9855" s="15">
        <v>1.37564</v>
      </c>
    </row>
    <row r="9856" spans="1:3" x14ac:dyDescent="0.45">
      <c r="A9856" s="11">
        <v>115.27</v>
      </c>
      <c r="B9856" s="14">
        <v>1.297377</v>
      </c>
      <c r="C9856" s="15">
        <v>1.377087</v>
      </c>
    </row>
    <row r="9857" spans="1:3" x14ac:dyDescent="0.45">
      <c r="A9857" s="11">
        <v>115.28</v>
      </c>
      <c r="B9857" s="14">
        <v>1.2982419999999999</v>
      </c>
      <c r="C9857" s="15">
        <v>1.3785339999999999</v>
      </c>
    </row>
    <row r="9858" spans="1:3" x14ac:dyDescent="0.45">
      <c r="A9858" s="11">
        <v>115.29</v>
      </c>
      <c r="B9858" s="14">
        <v>1.2991079999999999</v>
      </c>
      <c r="C9858" s="15">
        <v>1.379982</v>
      </c>
    </row>
    <row r="9859" spans="1:3" x14ac:dyDescent="0.45">
      <c r="A9859" s="11">
        <v>115.3</v>
      </c>
      <c r="B9859" s="14">
        <v>1.299974</v>
      </c>
      <c r="C9859" s="15">
        <v>1.381429</v>
      </c>
    </row>
    <row r="9860" spans="1:3" x14ac:dyDescent="0.45">
      <c r="A9860" s="11">
        <v>115.31</v>
      </c>
      <c r="B9860" s="14">
        <v>1.30084</v>
      </c>
      <c r="C9860" s="15">
        <v>1.382876</v>
      </c>
    </row>
    <row r="9861" spans="1:3" x14ac:dyDescent="0.45">
      <c r="A9861" s="11">
        <v>115.32</v>
      </c>
      <c r="B9861" s="14">
        <v>1.301706</v>
      </c>
      <c r="C9861" s="15">
        <v>1.3843240000000001</v>
      </c>
    </row>
    <row r="9862" spans="1:3" x14ac:dyDescent="0.45">
      <c r="A9862" s="11">
        <v>115.33</v>
      </c>
      <c r="B9862" s="14">
        <v>1.3025709999999999</v>
      </c>
      <c r="C9862" s="15">
        <v>1.3857710000000001</v>
      </c>
    </row>
    <row r="9863" spans="1:3" x14ac:dyDescent="0.45">
      <c r="A9863" s="11">
        <v>115.34</v>
      </c>
      <c r="B9863" s="14">
        <v>1.303437</v>
      </c>
      <c r="C9863" s="15">
        <v>1.3872180000000001</v>
      </c>
    </row>
    <row r="9864" spans="1:3" x14ac:dyDescent="0.45">
      <c r="A9864" s="11">
        <v>115.35</v>
      </c>
      <c r="B9864" s="14">
        <v>1.304303</v>
      </c>
      <c r="C9864" s="15">
        <v>1.388665</v>
      </c>
    </row>
    <row r="9865" spans="1:3" x14ac:dyDescent="0.45">
      <c r="A9865" s="11">
        <v>115.36</v>
      </c>
      <c r="B9865" s="14">
        <v>1.305169</v>
      </c>
      <c r="C9865" s="15">
        <v>1.3901129999999999</v>
      </c>
    </row>
    <row r="9866" spans="1:3" x14ac:dyDescent="0.45">
      <c r="A9866" s="11">
        <v>115.37</v>
      </c>
      <c r="B9866" s="14">
        <v>1.3060350000000001</v>
      </c>
      <c r="C9866" s="15">
        <v>1.3915599999999999</v>
      </c>
    </row>
    <row r="9867" spans="1:3" x14ac:dyDescent="0.45">
      <c r="A9867" s="11">
        <v>115.38</v>
      </c>
      <c r="B9867" s="14">
        <v>1.3069</v>
      </c>
      <c r="C9867" s="15">
        <v>1.3930070000000001</v>
      </c>
    </row>
    <row r="9868" spans="1:3" x14ac:dyDescent="0.45">
      <c r="A9868" s="11">
        <v>115.39</v>
      </c>
      <c r="B9868" s="14">
        <v>1.307766</v>
      </c>
      <c r="C9868" s="15">
        <v>1.394455</v>
      </c>
    </row>
    <row r="9869" spans="1:3" x14ac:dyDescent="0.45">
      <c r="A9869" s="11">
        <v>115.4</v>
      </c>
      <c r="B9869" s="14">
        <v>1.308632</v>
      </c>
      <c r="C9869" s="15">
        <v>1.395902</v>
      </c>
    </row>
    <row r="9870" spans="1:3" x14ac:dyDescent="0.45">
      <c r="A9870" s="11">
        <v>115.41</v>
      </c>
      <c r="B9870" s="14">
        <v>1.3094980000000001</v>
      </c>
      <c r="C9870" s="15">
        <v>1.397349</v>
      </c>
    </row>
    <row r="9871" spans="1:3" x14ac:dyDescent="0.45">
      <c r="A9871" s="11">
        <v>115.42</v>
      </c>
      <c r="B9871" s="14">
        <v>1.3103640000000001</v>
      </c>
      <c r="C9871" s="15">
        <v>1.3987970000000001</v>
      </c>
    </row>
    <row r="9872" spans="1:3" x14ac:dyDescent="0.45">
      <c r="A9872" s="11">
        <v>115.43</v>
      </c>
      <c r="B9872" s="14">
        <v>1.311229</v>
      </c>
      <c r="C9872" s="15">
        <v>1.400244</v>
      </c>
    </row>
    <row r="9873" spans="1:3" x14ac:dyDescent="0.45">
      <c r="A9873" s="11">
        <v>115.44</v>
      </c>
      <c r="B9873" s="14">
        <v>1.312095</v>
      </c>
      <c r="C9873" s="15">
        <v>1.401691</v>
      </c>
    </row>
    <row r="9874" spans="1:3" x14ac:dyDescent="0.45">
      <c r="A9874" s="11">
        <v>115.45</v>
      </c>
      <c r="B9874" s="14">
        <v>1.312961</v>
      </c>
      <c r="C9874" s="15">
        <v>1.4031389999999999</v>
      </c>
    </row>
    <row r="9875" spans="1:3" x14ac:dyDescent="0.45">
      <c r="A9875" s="11">
        <v>115.46</v>
      </c>
      <c r="B9875" s="14">
        <v>1.3138270000000001</v>
      </c>
      <c r="C9875" s="15">
        <v>1.4045859999999999</v>
      </c>
    </row>
    <row r="9876" spans="1:3" x14ac:dyDescent="0.45">
      <c r="A9876" s="11">
        <v>115.47</v>
      </c>
      <c r="B9876" s="14">
        <v>1.3146929999999999</v>
      </c>
      <c r="C9876" s="15">
        <v>1.4060330000000001</v>
      </c>
    </row>
    <row r="9877" spans="1:3" x14ac:dyDescent="0.45">
      <c r="A9877" s="11">
        <v>115.48</v>
      </c>
      <c r="B9877" s="14">
        <v>1.315558</v>
      </c>
      <c r="C9877" s="15">
        <v>1.4074800000000001</v>
      </c>
    </row>
    <row r="9878" spans="1:3" x14ac:dyDescent="0.45">
      <c r="A9878" s="11">
        <v>115.49</v>
      </c>
      <c r="B9878" s="14">
        <v>1.316424</v>
      </c>
      <c r="C9878" s="15">
        <v>1.408928</v>
      </c>
    </row>
    <row r="9879" spans="1:3" x14ac:dyDescent="0.45">
      <c r="A9879" s="11">
        <v>115.5</v>
      </c>
      <c r="B9879" s="14">
        <v>1.3172900000000001</v>
      </c>
      <c r="C9879" s="15">
        <v>1.4103749999999999</v>
      </c>
    </row>
    <row r="9880" spans="1:3" x14ac:dyDescent="0.45">
      <c r="A9880" s="11">
        <v>115.51</v>
      </c>
      <c r="B9880" s="14">
        <v>1.3181560000000001</v>
      </c>
      <c r="C9880" s="15">
        <v>1.4118219999999999</v>
      </c>
    </row>
    <row r="9881" spans="1:3" x14ac:dyDescent="0.45">
      <c r="A9881" s="11">
        <v>115.52</v>
      </c>
      <c r="B9881" s="14">
        <v>1.3190219999999999</v>
      </c>
      <c r="C9881" s="15">
        <v>1.41327</v>
      </c>
    </row>
    <row r="9882" spans="1:3" x14ac:dyDescent="0.45">
      <c r="A9882" s="11">
        <v>115.53</v>
      </c>
      <c r="B9882" s="14">
        <v>1.319887</v>
      </c>
      <c r="C9882" s="15">
        <v>1.414717</v>
      </c>
    </row>
    <row r="9883" spans="1:3" x14ac:dyDescent="0.45">
      <c r="A9883" s="11">
        <v>115.54</v>
      </c>
      <c r="B9883" s="14">
        <v>1.3207530000000001</v>
      </c>
      <c r="C9883" s="15">
        <v>1.416164</v>
      </c>
    </row>
    <row r="9884" spans="1:3" x14ac:dyDescent="0.45">
      <c r="A9884" s="11">
        <v>115.55</v>
      </c>
      <c r="B9884" s="14">
        <v>1.3216190000000001</v>
      </c>
      <c r="C9884" s="15">
        <v>1.417611</v>
      </c>
    </row>
    <row r="9885" spans="1:3" x14ac:dyDescent="0.45">
      <c r="A9885" s="11">
        <v>115.56</v>
      </c>
      <c r="B9885" s="14">
        <v>1.3224849999999999</v>
      </c>
      <c r="C9885" s="15">
        <v>1.4190590000000001</v>
      </c>
    </row>
    <row r="9886" spans="1:3" x14ac:dyDescent="0.45">
      <c r="A9886" s="11">
        <v>115.57</v>
      </c>
      <c r="B9886" s="14">
        <v>1.3233509999999999</v>
      </c>
      <c r="C9886" s="15">
        <v>1.420506</v>
      </c>
    </row>
    <row r="9887" spans="1:3" x14ac:dyDescent="0.45">
      <c r="A9887" s="11">
        <v>115.58</v>
      </c>
      <c r="B9887" s="14">
        <v>1.3242160000000001</v>
      </c>
      <c r="C9887" s="15">
        <v>1.421953</v>
      </c>
    </row>
    <row r="9888" spans="1:3" x14ac:dyDescent="0.45">
      <c r="A9888" s="11">
        <v>115.59</v>
      </c>
      <c r="B9888" s="14">
        <v>1.3250820000000001</v>
      </c>
      <c r="C9888" s="15">
        <v>1.4234009999999999</v>
      </c>
    </row>
    <row r="9889" spans="1:3" x14ac:dyDescent="0.45">
      <c r="A9889" s="11">
        <v>115.6</v>
      </c>
      <c r="B9889" s="14">
        <v>1.3259479999999999</v>
      </c>
      <c r="C9889" s="15">
        <v>1.4248479999999999</v>
      </c>
    </row>
    <row r="9890" spans="1:3" x14ac:dyDescent="0.45">
      <c r="A9890" s="11">
        <v>115.61</v>
      </c>
      <c r="B9890" s="14">
        <v>1.3268139999999999</v>
      </c>
      <c r="C9890" s="15">
        <v>1.4262950000000001</v>
      </c>
    </row>
    <row r="9891" spans="1:3" x14ac:dyDescent="0.45">
      <c r="A9891" s="11">
        <v>115.62</v>
      </c>
      <c r="B9891" s="14">
        <v>1.32768</v>
      </c>
      <c r="C9891" s="15">
        <v>1.427743</v>
      </c>
    </row>
    <row r="9892" spans="1:3" x14ac:dyDescent="0.45">
      <c r="A9892" s="11">
        <v>115.63</v>
      </c>
      <c r="B9892" s="14">
        <v>1.3285450000000001</v>
      </c>
      <c r="C9892" s="15">
        <v>1.42919</v>
      </c>
    </row>
    <row r="9893" spans="1:3" x14ac:dyDescent="0.45">
      <c r="A9893" s="11">
        <v>115.64</v>
      </c>
      <c r="B9893" s="14">
        <v>1.3294109999999999</v>
      </c>
      <c r="C9893" s="15">
        <v>1.4306369999999999</v>
      </c>
    </row>
    <row r="9894" spans="1:3" x14ac:dyDescent="0.45">
      <c r="A9894" s="11">
        <v>115.65</v>
      </c>
      <c r="B9894" s="14">
        <v>1.3302769999999999</v>
      </c>
      <c r="C9894" s="15">
        <v>1.4320850000000001</v>
      </c>
    </row>
    <row r="9895" spans="1:3" x14ac:dyDescent="0.45">
      <c r="A9895" s="11">
        <v>115.66</v>
      </c>
      <c r="B9895" s="14">
        <v>1.331143</v>
      </c>
      <c r="C9895" s="15">
        <v>1.433532</v>
      </c>
    </row>
    <row r="9896" spans="1:3" x14ac:dyDescent="0.45">
      <c r="A9896" s="11">
        <v>115.67</v>
      </c>
      <c r="B9896" s="14">
        <v>1.332009</v>
      </c>
      <c r="C9896" s="15">
        <v>1.434979</v>
      </c>
    </row>
    <row r="9897" spans="1:3" x14ac:dyDescent="0.45">
      <c r="A9897" s="11">
        <v>115.68</v>
      </c>
      <c r="B9897" s="14">
        <v>1.3328739999999999</v>
      </c>
      <c r="C9897" s="15">
        <v>1.436426</v>
      </c>
    </row>
    <row r="9898" spans="1:3" x14ac:dyDescent="0.45">
      <c r="A9898" s="11">
        <v>115.69</v>
      </c>
      <c r="B9898" s="14">
        <v>1.3337399999999999</v>
      </c>
      <c r="C9898" s="15">
        <v>1.4378740000000001</v>
      </c>
    </row>
    <row r="9899" spans="1:3" x14ac:dyDescent="0.45">
      <c r="A9899" s="11">
        <v>115.7</v>
      </c>
      <c r="B9899" s="14">
        <v>1.334606</v>
      </c>
      <c r="C9899" s="15">
        <v>1.4393210000000001</v>
      </c>
    </row>
    <row r="9900" spans="1:3" x14ac:dyDescent="0.45">
      <c r="A9900" s="11">
        <v>115.71</v>
      </c>
      <c r="B9900" s="14">
        <v>1.335472</v>
      </c>
      <c r="C9900" s="15">
        <v>1.440768</v>
      </c>
    </row>
    <row r="9901" spans="1:3" x14ac:dyDescent="0.45">
      <c r="A9901" s="11">
        <v>115.72</v>
      </c>
      <c r="B9901" s="14">
        <v>1.336338</v>
      </c>
      <c r="C9901" s="15">
        <v>1.4422159999999999</v>
      </c>
    </row>
    <row r="9902" spans="1:3" x14ac:dyDescent="0.45">
      <c r="A9902" s="11">
        <v>115.73</v>
      </c>
      <c r="B9902" s="14">
        <v>1.3372029999999999</v>
      </c>
      <c r="C9902" s="15">
        <v>1.4436629999999999</v>
      </c>
    </row>
    <row r="9903" spans="1:3" x14ac:dyDescent="0.45">
      <c r="A9903" s="11">
        <v>115.74</v>
      </c>
      <c r="B9903" s="14">
        <v>1.338069</v>
      </c>
      <c r="C9903" s="15">
        <v>1.4451099999999999</v>
      </c>
    </row>
    <row r="9904" spans="1:3" x14ac:dyDescent="0.45">
      <c r="A9904" s="11">
        <v>115.75</v>
      </c>
      <c r="B9904" s="14">
        <v>1.338935</v>
      </c>
      <c r="C9904" s="15">
        <v>1.4465570000000001</v>
      </c>
    </row>
    <row r="9905" spans="1:3" x14ac:dyDescent="0.45">
      <c r="A9905" s="11">
        <v>115.76</v>
      </c>
      <c r="B9905" s="14">
        <v>1.339801</v>
      </c>
      <c r="C9905" s="15">
        <v>1.448005</v>
      </c>
    </row>
    <row r="9906" spans="1:3" x14ac:dyDescent="0.45">
      <c r="A9906" s="11">
        <v>115.77</v>
      </c>
      <c r="B9906" s="14">
        <v>1.3406670000000001</v>
      </c>
      <c r="C9906" s="15">
        <v>1.449452</v>
      </c>
    </row>
    <row r="9907" spans="1:3" x14ac:dyDescent="0.45">
      <c r="A9907" s="11">
        <v>115.78</v>
      </c>
      <c r="B9907" s="14">
        <v>1.3415319999999999</v>
      </c>
      <c r="C9907" s="15">
        <v>1.4508989999999999</v>
      </c>
    </row>
    <row r="9908" spans="1:3" x14ac:dyDescent="0.45">
      <c r="A9908" s="11">
        <v>115.79</v>
      </c>
      <c r="B9908" s="14">
        <v>1.342398</v>
      </c>
      <c r="C9908" s="15">
        <v>1.4523470000000001</v>
      </c>
    </row>
    <row r="9909" spans="1:3" x14ac:dyDescent="0.45">
      <c r="A9909" s="11">
        <v>115.8</v>
      </c>
      <c r="B9909" s="14">
        <v>1.343264</v>
      </c>
      <c r="C9909" s="15">
        <v>1.453794</v>
      </c>
    </row>
    <row r="9910" spans="1:3" x14ac:dyDescent="0.45">
      <c r="A9910" s="11">
        <v>115.81</v>
      </c>
      <c r="B9910" s="14">
        <v>1.34413</v>
      </c>
      <c r="C9910" s="15">
        <v>1.455241</v>
      </c>
    </row>
    <row r="9911" spans="1:3" x14ac:dyDescent="0.45">
      <c r="A9911" s="11">
        <v>115.82</v>
      </c>
      <c r="B9911" s="14">
        <v>1.3449960000000001</v>
      </c>
      <c r="C9911" s="15">
        <v>1.4566889999999999</v>
      </c>
    </row>
    <row r="9912" spans="1:3" x14ac:dyDescent="0.45">
      <c r="A9912" s="11">
        <v>115.83</v>
      </c>
      <c r="B9912" s="14">
        <v>1.345861</v>
      </c>
      <c r="C9912" s="15">
        <v>1.4581360000000001</v>
      </c>
    </row>
    <row r="9913" spans="1:3" x14ac:dyDescent="0.45">
      <c r="A9913" s="11">
        <v>115.84</v>
      </c>
      <c r="B9913" s="14">
        <v>1.346727</v>
      </c>
      <c r="C9913" s="15">
        <v>1.4595830000000001</v>
      </c>
    </row>
    <row r="9914" spans="1:3" x14ac:dyDescent="0.45">
      <c r="A9914" s="11">
        <v>115.85</v>
      </c>
      <c r="B9914" s="14">
        <v>1.347593</v>
      </c>
      <c r="C9914" s="15">
        <v>1.4610300000000001</v>
      </c>
    </row>
    <row r="9915" spans="1:3" x14ac:dyDescent="0.45">
      <c r="A9915" s="11">
        <v>115.86</v>
      </c>
      <c r="B9915" s="14">
        <v>1.3484590000000001</v>
      </c>
      <c r="C9915" s="15">
        <v>1.4624779999999999</v>
      </c>
    </row>
    <row r="9916" spans="1:3" x14ac:dyDescent="0.45">
      <c r="A9916" s="11">
        <v>115.87</v>
      </c>
      <c r="B9916" s="14">
        <v>1.3493250000000001</v>
      </c>
      <c r="C9916" s="15">
        <v>1.4639249999999999</v>
      </c>
    </row>
    <row r="9917" spans="1:3" x14ac:dyDescent="0.45">
      <c r="A9917" s="11">
        <v>115.88</v>
      </c>
      <c r="B9917" s="14">
        <v>1.35019</v>
      </c>
      <c r="C9917" s="15">
        <v>1.4653719999999999</v>
      </c>
    </row>
    <row r="9918" spans="1:3" x14ac:dyDescent="0.45">
      <c r="A9918" s="11">
        <v>115.89</v>
      </c>
      <c r="B9918" s="14">
        <v>1.351056</v>
      </c>
      <c r="C9918" s="15">
        <v>1.46682</v>
      </c>
    </row>
    <row r="9919" spans="1:3" x14ac:dyDescent="0.45">
      <c r="A9919" s="11">
        <v>115.9</v>
      </c>
      <c r="B9919" s="14">
        <v>1.3519220000000001</v>
      </c>
      <c r="C9919" s="15">
        <v>1.468267</v>
      </c>
    </row>
    <row r="9920" spans="1:3" x14ac:dyDescent="0.45">
      <c r="A9920" s="11">
        <v>115.91</v>
      </c>
      <c r="B9920" s="14">
        <v>1.3527880000000001</v>
      </c>
      <c r="C9920" s="15">
        <v>1.469714</v>
      </c>
    </row>
    <row r="9921" spans="1:3" x14ac:dyDescent="0.45">
      <c r="A9921" s="11">
        <v>115.92</v>
      </c>
      <c r="B9921" s="14">
        <v>1.3536539999999999</v>
      </c>
      <c r="C9921" s="15">
        <v>1.4711620000000001</v>
      </c>
    </row>
    <row r="9922" spans="1:3" x14ac:dyDescent="0.45">
      <c r="A9922" s="11">
        <v>115.93</v>
      </c>
      <c r="B9922" s="14">
        <v>1.354519</v>
      </c>
      <c r="C9922" s="15">
        <v>1.4726090000000001</v>
      </c>
    </row>
    <row r="9923" spans="1:3" x14ac:dyDescent="0.45">
      <c r="A9923" s="11">
        <v>115.94</v>
      </c>
      <c r="B9923" s="14">
        <v>1.3553850000000001</v>
      </c>
      <c r="C9923" s="15">
        <v>1.474056</v>
      </c>
    </row>
    <row r="9924" spans="1:3" x14ac:dyDescent="0.45">
      <c r="A9924" s="11">
        <v>115.95</v>
      </c>
      <c r="B9924" s="14">
        <v>1.3562510000000001</v>
      </c>
      <c r="C9924" s="15">
        <v>1.4755039999999999</v>
      </c>
    </row>
    <row r="9925" spans="1:3" x14ac:dyDescent="0.45">
      <c r="A9925" s="11">
        <v>115.96</v>
      </c>
      <c r="B9925" s="14">
        <v>1.3571169999999999</v>
      </c>
      <c r="C9925" s="15">
        <v>1.4769509999999999</v>
      </c>
    </row>
    <row r="9926" spans="1:3" x14ac:dyDescent="0.45">
      <c r="A9926" s="11">
        <v>115.97</v>
      </c>
      <c r="B9926" s="14">
        <v>1.3579829999999999</v>
      </c>
      <c r="C9926" s="15">
        <v>1.4783980000000001</v>
      </c>
    </row>
    <row r="9927" spans="1:3" x14ac:dyDescent="0.45">
      <c r="A9927" s="11">
        <v>115.98</v>
      </c>
      <c r="B9927" s="14">
        <v>1.3588480000000001</v>
      </c>
      <c r="C9927" s="15">
        <v>1.4798450000000001</v>
      </c>
    </row>
    <row r="9928" spans="1:3" x14ac:dyDescent="0.45">
      <c r="A9928" s="11">
        <v>115.99</v>
      </c>
      <c r="B9928" s="14">
        <v>1.3597140000000001</v>
      </c>
      <c r="C9928" s="15">
        <v>1.481293</v>
      </c>
    </row>
    <row r="9929" spans="1:3" x14ac:dyDescent="0.45">
      <c r="A9929" s="11">
        <v>116</v>
      </c>
      <c r="B9929" s="14">
        <v>1.3605799999999999</v>
      </c>
      <c r="C9929" s="15">
        <v>1.4827399999999999</v>
      </c>
    </row>
    <row r="9930" spans="1:3" x14ac:dyDescent="0.45">
      <c r="A9930" s="11">
        <v>116.01</v>
      </c>
      <c r="B9930" s="14">
        <v>1.3614900000000001</v>
      </c>
      <c r="C9930" s="15">
        <v>1.4843440000000001</v>
      </c>
    </row>
    <row r="9931" spans="1:3" x14ac:dyDescent="0.45">
      <c r="A9931" s="11">
        <v>116.02</v>
      </c>
      <c r="B9931" s="14">
        <v>1.3624000000000001</v>
      </c>
      <c r="C9931" s="15">
        <v>1.485948</v>
      </c>
    </row>
    <row r="9932" spans="1:3" x14ac:dyDescent="0.45">
      <c r="A9932" s="11">
        <v>116.03</v>
      </c>
      <c r="B9932" s="14">
        <v>1.3633109999999999</v>
      </c>
      <c r="C9932" s="15">
        <v>1.4875510000000001</v>
      </c>
    </row>
    <row r="9933" spans="1:3" x14ac:dyDescent="0.45">
      <c r="A9933" s="11">
        <v>116.04</v>
      </c>
      <c r="B9933" s="14">
        <v>1.3642209999999999</v>
      </c>
      <c r="C9933" s="15">
        <v>1.489155</v>
      </c>
    </row>
    <row r="9934" spans="1:3" x14ac:dyDescent="0.45">
      <c r="A9934" s="11">
        <v>116.05</v>
      </c>
      <c r="B9934" s="14">
        <v>1.3651310000000001</v>
      </c>
      <c r="C9934" s="15">
        <v>1.4907589999999999</v>
      </c>
    </row>
    <row r="9935" spans="1:3" x14ac:dyDescent="0.45">
      <c r="A9935" s="11">
        <v>116.06</v>
      </c>
      <c r="B9935" s="14">
        <v>1.3660410000000001</v>
      </c>
      <c r="C9935" s="15">
        <v>1.4923630000000001</v>
      </c>
    </row>
    <row r="9936" spans="1:3" x14ac:dyDescent="0.45">
      <c r="A9936" s="11">
        <v>116.07</v>
      </c>
      <c r="B9936" s="14">
        <v>1.366951</v>
      </c>
      <c r="C9936" s="15">
        <v>1.493967</v>
      </c>
    </row>
    <row r="9937" spans="1:3" x14ac:dyDescent="0.45">
      <c r="A9937" s="11">
        <v>116.08</v>
      </c>
      <c r="B9937" s="14">
        <v>1.3678619999999999</v>
      </c>
      <c r="C9937" s="15">
        <v>1.4955700000000001</v>
      </c>
    </row>
    <row r="9938" spans="1:3" x14ac:dyDescent="0.45">
      <c r="A9938" s="11">
        <v>116.09</v>
      </c>
      <c r="B9938" s="14">
        <v>1.3687720000000001</v>
      </c>
      <c r="C9938" s="15">
        <v>1.497174</v>
      </c>
    </row>
    <row r="9939" spans="1:3" x14ac:dyDescent="0.45">
      <c r="A9939" s="11">
        <v>116.1</v>
      </c>
      <c r="B9939" s="14">
        <v>1.3696820000000001</v>
      </c>
      <c r="C9939" s="15">
        <v>1.4987779999999999</v>
      </c>
    </row>
    <row r="9940" spans="1:3" x14ac:dyDescent="0.45">
      <c r="A9940" s="11">
        <v>116.11</v>
      </c>
      <c r="B9940" s="14">
        <v>1.370592</v>
      </c>
      <c r="C9940" s="15">
        <v>1.5003820000000001</v>
      </c>
    </row>
    <row r="9941" spans="1:3" x14ac:dyDescent="0.45">
      <c r="A9941" s="11">
        <v>116.12</v>
      </c>
      <c r="B9941" s="14">
        <v>1.371502</v>
      </c>
      <c r="C9941" s="15">
        <v>1.501986</v>
      </c>
    </row>
    <row r="9942" spans="1:3" x14ac:dyDescent="0.45">
      <c r="A9942" s="11">
        <v>116.13</v>
      </c>
      <c r="B9942" s="14">
        <v>1.3724130000000001</v>
      </c>
      <c r="C9942" s="15">
        <v>1.5035890000000001</v>
      </c>
    </row>
    <row r="9943" spans="1:3" x14ac:dyDescent="0.45">
      <c r="A9943" s="11">
        <v>116.14</v>
      </c>
      <c r="B9943" s="14">
        <v>1.3733230000000001</v>
      </c>
      <c r="C9943" s="15">
        <v>1.505193</v>
      </c>
    </row>
    <row r="9944" spans="1:3" x14ac:dyDescent="0.45">
      <c r="A9944" s="11">
        <v>116.15</v>
      </c>
      <c r="B9944" s="14">
        <v>1.374233</v>
      </c>
      <c r="C9944" s="15">
        <v>1.5067969999999999</v>
      </c>
    </row>
    <row r="9945" spans="1:3" x14ac:dyDescent="0.45">
      <c r="A9945" s="11">
        <v>116.16</v>
      </c>
      <c r="B9945" s="14">
        <v>1.375143</v>
      </c>
      <c r="C9945" s="15">
        <v>1.5084010000000001</v>
      </c>
    </row>
    <row r="9946" spans="1:3" x14ac:dyDescent="0.45">
      <c r="A9946" s="11">
        <v>116.17</v>
      </c>
      <c r="B9946" s="14">
        <v>1.376053</v>
      </c>
      <c r="C9946" s="15">
        <v>1.510005</v>
      </c>
    </row>
    <row r="9947" spans="1:3" x14ac:dyDescent="0.45">
      <c r="A9947" s="11">
        <v>116.18</v>
      </c>
      <c r="B9947" s="14">
        <v>1.3769640000000001</v>
      </c>
      <c r="C9947" s="15">
        <v>1.5116080000000001</v>
      </c>
    </row>
    <row r="9948" spans="1:3" x14ac:dyDescent="0.45">
      <c r="A9948" s="11">
        <v>116.19</v>
      </c>
      <c r="B9948" s="14">
        <v>1.377874</v>
      </c>
      <c r="C9948" s="15">
        <v>1.513212</v>
      </c>
    </row>
    <row r="9949" spans="1:3" x14ac:dyDescent="0.45">
      <c r="A9949" s="11">
        <v>116.2</v>
      </c>
      <c r="B9949" s="14">
        <v>1.378784</v>
      </c>
      <c r="C9949" s="15">
        <v>1.5148159999999999</v>
      </c>
    </row>
    <row r="9950" spans="1:3" x14ac:dyDescent="0.45">
      <c r="A9950" s="11">
        <v>116.21</v>
      </c>
      <c r="B9950" s="14">
        <v>1.379694</v>
      </c>
      <c r="C9950" s="15">
        <v>1.5164200000000001</v>
      </c>
    </row>
    <row r="9951" spans="1:3" x14ac:dyDescent="0.45">
      <c r="A9951" s="11">
        <v>116.22</v>
      </c>
      <c r="B9951" s="14">
        <v>1.3806039999999999</v>
      </c>
      <c r="C9951" s="15">
        <v>1.518024</v>
      </c>
    </row>
    <row r="9952" spans="1:3" x14ac:dyDescent="0.45">
      <c r="A9952" s="11">
        <v>116.23</v>
      </c>
      <c r="B9952" s="14">
        <v>1.381515</v>
      </c>
      <c r="C9952" s="15">
        <v>1.5196270000000001</v>
      </c>
    </row>
    <row r="9953" spans="1:3" x14ac:dyDescent="0.45">
      <c r="A9953" s="11">
        <v>116.24</v>
      </c>
      <c r="B9953" s="14">
        <v>1.382425</v>
      </c>
      <c r="C9953" s="15">
        <v>1.521231</v>
      </c>
    </row>
    <row r="9954" spans="1:3" x14ac:dyDescent="0.45">
      <c r="A9954" s="11">
        <v>116.25</v>
      </c>
      <c r="B9954" s="14">
        <v>1.383335</v>
      </c>
      <c r="C9954" s="15">
        <v>1.5228349999999999</v>
      </c>
    </row>
    <row r="9955" spans="1:3" x14ac:dyDescent="0.45">
      <c r="A9955" s="11">
        <v>116.26</v>
      </c>
      <c r="B9955" s="14">
        <v>1.3842449999999999</v>
      </c>
      <c r="C9955" s="15">
        <v>1.5244390000000001</v>
      </c>
    </row>
    <row r="9956" spans="1:3" x14ac:dyDescent="0.45">
      <c r="A9956" s="11">
        <v>116.27</v>
      </c>
      <c r="B9956" s="14">
        <v>1.3851549999999999</v>
      </c>
      <c r="C9956" s="15">
        <v>1.526043</v>
      </c>
    </row>
    <row r="9957" spans="1:3" x14ac:dyDescent="0.45">
      <c r="A9957" s="11">
        <v>116.28</v>
      </c>
      <c r="B9957" s="14">
        <v>1.386066</v>
      </c>
      <c r="C9957" s="15">
        <v>1.5276460000000001</v>
      </c>
    </row>
    <row r="9958" spans="1:3" x14ac:dyDescent="0.45">
      <c r="A9958" s="11">
        <v>116.29</v>
      </c>
      <c r="B9958" s="14">
        <v>1.386976</v>
      </c>
      <c r="C9958" s="15">
        <v>1.52925</v>
      </c>
    </row>
    <row r="9959" spans="1:3" x14ac:dyDescent="0.45">
      <c r="A9959" s="11">
        <v>116.3</v>
      </c>
      <c r="B9959" s="14">
        <v>1.387886</v>
      </c>
      <c r="C9959" s="15">
        <v>1.5308539999999999</v>
      </c>
    </row>
    <row r="9960" spans="1:3" x14ac:dyDescent="0.45">
      <c r="A9960" s="11">
        <v>116.31</v>
      </c>
      <c r="B9960" s="14">
        <v>1.3887959999999999</v>
      </c>
      <c r="C9960" s="15">
        <v>1.5324580000000001</v>
      </c>
    </row>
    <row r="9961" spans="1:3" x14ac:dyDescent="0.45">
      <c r="A9961" s="11">
        <v>116.32</v>
      </c>
      <c r="B9961" s="14">
        <v>1.3897060000000001</v>
      </c>
      <c r="C9961" s="15">
        <v>1.534062</v>
      </c>
    </row>
    <row r="9962" spans="1:3" x14ac:dyDescent="0.45">
      <c r="A9962" s="11">
        <v>116.33</v>
      </c>
      <c r="B9962" s="14">
        <v>1.390617</v>
      </c>
      <c r="C9962" s="15">
        <v>1.5356650000000001</v>
      </c>
    </row>
    <row r="9963" spans="1:3" x14ac:dyDescent="0.45">
      <c r="A9963" s="11">
        <v>116.34</v>
      </c>
      <c r="B9963" s="14">
        <v>1.391527</v>
      </c>
      <c r="C9963" s="15">
        <v>1.537269</v>
      </c>
    </row>
    <row r="9964" spans="1:3" x14ac:dyDescent="0.45">
      <c r="A9964" s="11">
        <v>116.35</v>
      </c>
      <c r="B9964" s="14">
        <v>1.3924369999999999</v>
      </c>
      <c r="C9964" s="15">
        <v>1.5388729999999999</v>
      </c>
    </row>
    <row r="9965" spans="1:3" x14ac:dyDescent="0.45">
      <c r="A9965" s="11">
        <v>116.36</v>
      </c>
      <c r="B9965" s="14">
        <v>1.3933469999999999</v>
      </c>
      <c r="C9965" s="15">
        <v>1.5404770000000001</v>
      </c>
    </row>
    <row r="9966" spans="1:3" x14ac:dyDescent="0.45">
      <c r="A9966" s="11">
        <v>116.37</v>
      </c>
      <c r="B9966" s="14">
        <v>1.3942570000000001</v>
      </c>
      <c r="C9966" s="15">
        <v>1.542081</v>
      </c>
    </row>
    <row r="9967" spans="1:3" x14ac:dyDescent="0.45">
      <c r="A9967" s="11">
        <v>116.38</v>
      </c>
      <c r="B9967" s="14">
        <v>1.395168</v>
      </c>
      <c r="C9967" s="15">
        <v>1.5436840000000001</v>
      </c>
    </row>
    <row r="9968" spans="1:3" x14ac:dyDescent="0.45">
      <c r="A9968" s="11">
        <v>116.39</v>
      </c>
      <c r="B9968" s="14">
        <v>1.3960779999999999</v>
      </c>
      <c r="C9968" s="15">
        <v>1.545288</v>
      </c>
    </row>
    <row r="9969" spans="1:3" x14ac:dyDescent="0.45">
      <c r="A9969" s="11">
        <v>116.4</v>
      </c>
      <c r="B9969" s="14">
        <v>1.3969879999999999</v>
      </c>
      <c r="C9969" s="15">
        <v>1.5468919999999999</v>
      </c>
    </row>
    <row r="9970" spans="1:3" x14ac:dyDescent="0.45">
      <c r="A9970" s="11">
        <v>116.41</v>
      </c>
      <c r="B9970" s="14">
        <v>1.3978980000000001</v>
      </c>
      <c r="C9970" s="15">
        <v>1.5484960000000001</v>
      </c>
    </row>
    <row r="9971" spans="1:3" x14ac:dyDescent="0.45">
      <c r="A9971" s="11">
        <v>116.42</v>
      </c>
      <c r="B9971" s="14">
        <v>1.3988080000000001</v>
      </c>
      <c r="C9971" s="15">
        <v>1.5501</v>
      </c>
    </row>
    <row r="9972" spans="1:3" x14ac:dyDescent="0.45">
      <c r="A9972" s="11">
        <v>116.43</v>
      </c>
      <c r="B9972" s="14">
        <v>1.3997189999999999</v>
      </c>
      <c r="C9972" s="15">
        <v>1.5517030000000001</v>
      </c>
    </row>
    <row r="9973" spans="1:3" x14ac:dyDescent="0.45">
      <c r="A9973" s="11">
        <v>116.44</v>
      </c>
      <c r="B9973" s="14">
        <v>1.4006289999999999</v>
      </c>
      <c r="C9973" s="15">
        <v>1.553307</v>
      </c>
    </row>
    <row r="9974" spans="1:3" x14ac:dyDescent="0.45">
      <c r="A9974" s="11">
        <v>116.45</v>
      </c>
      <c r="B9974" s="14">
        <v>1.4015390000000001</v>
      </c>
      <c r="C9974" s="15">
        <v>1.5549109999999999</v>
      </c>
    </row>
    <row r="9975" spans="1:3" x14ac:dyDescent="0.45">
      <c r="A9975" s="11">
        <v>116.46</v>
      </c>
      <c r="B9975" s="14">
        <v>1.4024490000000001</v>
      </c>
      <c r="C9975" s="15">
        <v>1.5565150000000001</v>
      </c>
    </row>
    <row r="9976" spans="1:3" x14ac:dyDescent="0.45">
      <c r="A9976" s="11">
        <v>116.47</v>
      </c>
      <c r="B9976" s="14">
        <v>1.403359</v>
      </c>
      <c r="C9976" s="15">
        <v>1.558119</v>
      </c>
    </row>
    <row r="9977" spans="1:3" x14ac:dyDescent="0.45">
      <c r="A9977" s="11">
        <v>116.48</v>
      </c>
      <c r="B9977" s="14">
        <v>1.4042699999999999</v>
      </c>
      <c r="C9977" s="15">
        <v>1.5597220000000001</v>
      </c>
    </row>
    <row r="9978" spans="1:3" x14ac:dyDescent="0.45">
      <c r="A9978" s="11">
        <v>116.49</v>
      </c>
      <c r="B9978" s="14">
        <v>1.4051800000000001</v>
      </c>
      <c r="C9978" s="15">
        <v>1.561326</v>
      </c>
    </row>
    <row r="9979" spans="1:3" x14ac:dyDescent="0.45">
      <c r="A9979" s="11">
        <v>116.5</v>
      </c>
      <c r="B9979" s="14">
        <v>1.4060900000000001</v>
      </c>
      <c r="C9979" s="15">
        <v>1.5629299999999999</v>
      </c>
    </row>
    <row r="9980" spans="1:3" x14ac:dyDescent="0.45">
      <c r="A9980" s="11">
        <v>116.51</v>
      </c>
      <c r="B9980" s="14">
        <v>1.407</v>
      </c>
      <c r="C9980" s="15">
        <v>1.5645340000000001</v>
      </c>
    </row>
    <row r="9981" spans="1:3" x14ac:dyDescent="0.45">
      <c r="A9981" s="11">
        <v>116.52</v>
      </c>
      <c r="B9981" s="14">
        <v>1.40791</v>
      </c>
      <c r="C9981" s="15">
        <v>1.566138</v>
      </c>
    </row>
    <row r="9982" spans="1:3" x14ac:dyDescent="0.45">
      <c r="A9982" s="11">
        <v>116.53</v>
      </c>
      <c r="B9982" s="14">
        <v>1.4088210000000001</v>
      </c>
      <c r="C9982" s="15">
        <v>1.5677410000000001</v>
      </c>
    </row>
    <row r="9983" spans="1:3" x14ac:dyDescent="0.45">
      <c r="A9983" s="11">
        <v>116.54</v>
      </c>
      <c r="B9983" s="14">
        <v>1.4097310000000001</v>
      </c>
      <c r="C9983" s="15">
        <v>1.569345</v>
      </c>
    </row>
    <row r="9984" spans="1:3" x14ac:dyDescent="0.45">
      <c r="A9984" s="11">
        <v>116.55</v>
      </c>
      <c r="B9984" s="14">
        <v>1.410641</v>
      </c>
      <c r="C9984" s="15">
        <v>1.5709489999999999</v>
      </c>
    </row>
    <row r="9985" spans="1:3" x14ac:dyDescent="0.45">
      <c r="A9985" s="11">
        <v>116.56</v>
      </c>
      <c r="B9985" s="14">
        <v>1.411551</v>
      </c>
      <c r="C9985" s="15">
        <v>1.5725530000000001</v>
      </c>
    </row>
    <row r="9986" spans="1:3" x14ac:dyDescent="0.45">
      <c r="A9986" s="11">
        <v>116.57</v>
      </c>
      <c r="B9986" s="14">
        <v>1.412461</v>
      </c>
      <c r="C9986" s="15">
        <v>1.574157</v>
      </c>
    </row>
    <row r="9987" spans="1:3" x14ac:dyDescent="0.45">
      <c r="A9987" s="11">
        <v>116.58</v>
      </c>
      <c r="B9987" s="14">
        <v>1.4133720000000001</v>
      </c>
      <c r="C9987" s="15">
        <v>1.57576</v>
      </c>
    </row>
    <row r="9988" spans="1:3" x14ac:dyDescent="0.45">
      <c r="A9988" s="11">
        <v>116.59</v>
      </c>
      <c r="B9988" s="14">
        <v>1.414282</v>
      </c>
      <c r="C9988" s="15">
        <v>1.577364</v>
      </c>
    </row>
    <row r="9989" spans="1:3" x14ac:dyDescent="0.45">
      <c r="A9989" s="11">
        <v>116.6</v>
      </c>
      <c r="B9989" s="14">
        <v>1.415192</v>
      </c>
      <c r="C9989" s="15">
        <v>1.5789679999999999</v>
      </c>
    </row>
    <row r="9990" spans="1:3" x14ac:dyDescent="0.45">
      <c r="A9990" s="11">
        <v>116.61</v>
      </c>
      <c r="B9990" s="14">
        <v>1.416102</v>
      </c>
      <c r="C9990" s="15">
        <v>1.5805720000000001</v>
      </c>
    </row>
    <row r="9991" spans="1:3" x14ac:dyDescent="0.45">
      <c r="A9991" s="11">
        <v>116.62</v>
      </c>
      <c r="B9991" s="14">
        <v>1.4170119999999999</v>
      </c>
      <c r="C9991" s="15">
        <v>1.582176</v>
      </c>
    </row>
    <row r="9992" spans="1:3" x14ac:dyDescent="0.45">
      <c r="A9992" s="11">
        <v>116.63</v>
      </c>
      <c r="B9992" s="14">
        <v>1.417923</v>
      </c>
      <c r="C9992" s="15">
        <v>1.583779</v>
      </c>
    </row>
    <row r="9993" spans="1:3" x14ac:dyDescent="0.45">
      <c r="A9993" s="11">
        <v>116.64</v>
      </c>
      <c r="B9993" s="14">
        <v>1.418833</v>
      </c>
      <c r="C9993" s="15">
        <v>1.585383</v>
      </c>
    </row>
    <row r="9994" spans="1:3" x14ac:dyDescent="0.45">
      <c r="A9994" s="11">
        <v>116.65</v>
      </c>
      <c r="B9994" s="14">
        <v>1.419743</v>
      </c>
      <c r="C9994" s="15">
        <v>1.5869869999999999</v>
      </c>
    </row>
    <row r="9995" spans="1:3" x14ac:dyDescent="0.45">
      <c r="A9995" s="11">
        <v>116.66</v>
      </c>
      <c r="B9995" s="14">
        <v>1.4206529999999999</v>
      </c>
      <c r="C9995" s="15">
        <v>1.5885910000000001</v>
      </c>
    </row>
    <row r="9996" spans="1:3" x14ac:dyDescent="0.45">
      <c r="A9996" s="11">
        <v>116.67</v>
      </c>
      <c r="B9996" s="14">
        <v>1.4215629999999999</v>
      </c>
      <c r="C9996" s="15">
        <v>1.590195</v>
      </c>
    </row>
    <row r="9997" spans="1:3" x14ac:dyDescent="0.45">
      <c r="A9997" s="11">
        <v>116.68</v>
      </c>
      <c r="B9997" s="14">
        <v>1.422474</v>
      </c>
      <c r="C9997" s="15">
        <v>1.591798</v>
      </c>
    </row>
    <row r="9998" spans="1:3" x14ac:dyDescent="0.45">
      <c r="A9998" s="11">
        <v>116.69</v>
      </c>
      <c r="B9998" s="14">
        <v>1.423384</v>
      </c>
      <c r="C9998" s="15">
        <v>1.593402</v>
      </c>
    </row>
    <row r="9999" spans="1:3" x14ac:dyDescent="0.45">
      <c r="A9999" s="11">
        <v>116.7</v>
      </c>
      <c r="B9999" s="14">
        <v>1.4242939999999999</v>
      </c>
      <c r="C9999" s="15">
        <v>1.5950059999999999</v>
      </c>
    </row>
    <row r="10000" spans="1:3" x14ac:dyDescent="0.45">
      <c r="A10000" s="11">
        <v>116.71</v>
      </c>
      <c r="B10000" s="14">
        <v>1.4252039999999999</v>
      </c>
      <c r="C10000" s="15">
        <v>1.5966100000000001</v>
      </c>
    </row>
    <row r="10001" spans="1:3" x14ac:dyDescent="0.45">
      <c r="A10001" s="11">
        <v>116.72</v>
      </c>
      <c r="B10001" s="14">
        <v>1.4261140000000001</v>
      </c>
      <c r="C10001" s="15">
        <v>1.598214</v>
      </c>
    </row>
    <row r="10002" spans="1:3" x14ac:dyDescent="0.45">
      <c r="A10002" s="11">
        <v>116.73</v>
      </c>
      <c r="B10002" s="14">
        <v>1.427025</v>
      </c>
      <c r="C10002" s="15">
        <v>1.599817</v>
      </c>
    </row>
    <row r="10003" spans="1:3" x14ac:dyDescent="0.45">
      <c r="A10003" s="11">
        <v>116.74</v>
      </c>
      <c r="B10003" s="14">
        <v>1.427935</v>
      </c>
      <c r="C10003" s="15">
        <v>1.601421</v>
      </c>
    </row>
    <row r="10004" spans="1:3" x14ac:dyDescent="0.45">
      <c r="A10004" s="11">
        <v>116.75</v>
      </c>
      <c r="B10004" s="14">
        <v>1.4288449999999999</v>
      </c>
      <c r="C10004" s="15">
        <v>1.6030249999999999</v>
      </c>
    </row>
    <row r="10005" spans="1:3" x14ac:dyDescent="0.45">
      <c r="A10005" s="11">
        <v>116.76</v>
      </c>
      <c r="B10005" s="14">
        <v>1.4297550000000001</v>
      </c>
      <c r="C10005" s="15">
        <v>1.6046290000000001</v>
      </c>
    </row>
    <row r="10006" spans="1:3" x14ac:dyDescent="0.45">
      <c r="A10006" s="11">
        <v>116.77</v>
      </c>
      <c r="B10006" s="14">
        <v>1.4306650000000001</v>
      </c>
      <c r="C10006" s="15">
        <v>1.606233</v>
      </c>
    </row>
    <row r="10007" spans="1:3" x14ac:dyDescent="0.45">
      <c r="A10007" s="11">
        <v>116.78</v>
      </c>
      <c r="B10007" s="14">
        <v>1.431576</v>
      </c>
      <c r="C10007" s="15">
        <v>1.607836</v>
      </c>
    </row>
    <row r="10008" spans="1:3" x14ac:dyDescent="0.45">
      <c r="A10008" s="11">
        <v>116.79</v>
      </c>
      <c r="B10008" s="14">
        <v>1.4324859999999999</v>
      </c>
      <c r="C10008" s="15">
        <v>1.60944</v>
      </c>
    </row>
    <row r="10009" spans="1:3" x14ac:dyDescent="0.45">
      <c r="A10009" s="11">
        <v>116.8</v>
      </c>
      <c r="B10009" s="14">
        <v>1.4333959999999999</v>
      </c>
      <c r="C10009" s="15">
        <v>1.6110439999999999</v>
      </c>
    </row>
    <row r="10010" spans="1:3" x14ac:dyDescent="0.45">
      <c r="A10010" s="11">
        <v>116.81</v>
      </c>
      <c r="B10010" s="14">
        <v>1.4343060000000001</v>
      </c>
      <c r="C10010" s="15">
        <v>1.6126480000000001</v>
      </c>
    </row>
    <row r="10011" spans="1:3" x14ac:dyDescent="0.45">
      <c r="A10011" s="11">
        <v>116.82</v>
      </c>
      <c r="B10011" s="14">
        <v>1.435216</v>
      </c>
      <c r="C10011" s="15">
        <v>1.614252</v>
      </c>
    </row>
    <row r="10012" spans="1:3" x14ac:dyDescent="0.45">
      <c r="A10012" s="11">
        <v>116.83</v>
      </c>
      <c r="B10012" s="14">
        <v>1.4361269999999999</v>
      </c>
      <c r="C10012" s="15">
        <v>1.615855</v>
      </c>
    </row>
    <row r="10013" spans="1:3" x14ac:dyDescent="0.45">
      <c r="A10013" s="11">
        <v>116.84</v>
      </c>
      <c r="B10013" s="14">
        <v>1.4370369999999999</v>
      </c>
      <c r="C10013" s="15">
        <v>1.617459</v>
      </c>
    </row>
    <row r="10014" spans="1:3" x14ac:dyDescent="0.45">
      <c r="A10014" s="11">
        <v>116.85</v>
      </c>
      <c r="B10014" s="14">
        <v>1.4379470000000001</v>
      </c>
      <c r="C10014" s="15">
        <v>1.6190629999999999</v>
      </c>
    </row>
    <row r="10015" spans="1:3" x14ac:dyDescent="0.45">
      <c r="A10015" s="11">
        <v>116.86</v>
      </c>
      <c r="B10015" s="14">
        <v>1.4388570000000001</v>
      </c>
      <c r="C10015" s="15">
        <v>1.6206670000000001</v>
      </c>
    </row>
    <row r="10016" spans="1:3" x14ac:dyDescent="0.45">
      <c r="A10016" s="11">
        <v>116.87</v>
      </c>
      <c r="B10016" s="14">
        <v>1.439767</v>
      </c>
      <c r="C10016" s="15">
        <v>1.622271</v>
      </c>
    </row>
    <row r="10017" spans="1:3" x14ac:dyDescent="0.45">
      <c r="A10017" s="11">
        <v>116.88</v>
      </c>
      <c r="B10017" s="14">
        <v>1.4406779999999999</v>
      </c>
      <c r="C10017" s="15">
        <v>1.623874</v>
      </c>
    </row>
    <row r="10018" spans="1:3" x14ac:dyDescent="0.45">
      <c r="A10018" s="11">
        <v>116.89</v>
      </c>
      <c r="B10018" s="14">
        <v>1.4415880000000001</v>
      </c>
      <c r="C10018" s="15">
        <v>1.625478</v>
      </c>
    </row>
    <row r="10019" spans="1:3" x14ac:dyDescent="0.45">
      <c r="A10019" s="11">
        <v>116.9</v>
      </c>
      <c r="B10019" s="14">
        <v>1.4424980000000001</v>
      </c>
      <c r="C10019" s="15">
        <v>1.6270819999999999</v>
      </c>
    </row>
    <row r="10020" spans="1:3" x14ac:dyDescent="0.45">
      <c r="A10020" s="11">
        <v>116.91</v>
      </c>
      <c r="B10020" s="14">
        <v>1.443408</v>
      </c>
      <c r="C10020" s="15">
        <v>1.6286860000000001</v>
      </c>
    </row>
    <row r="10021" spans="1:3" x14ac:dyDescent="0.45">
      <c r="A10021" s="11">
        <v>116.92</v>
      </c>
      <c r="B10021" s="14">
        <v>1.444318</v>
      </c>
      <c r="C10021" s="15">
        <v>1.63029</v>
      </c>
    </row>
    <row r="10022" spans="1:3" x14ac:dyDescent="0.45">
      <c r="A10022" s="11">
        <v>116.93</v>
      </c>
      <c r="B10022" s="14">
        <v>1.4452290000000001</v>
      </c>
      <c r="C10022" s="15">
        <v>1.631893</v>
      </c>
    </row>
    <row r="10023" spans="1:3" x14ac:dyDescent="0.45">
      <c r="A10023" s="11">
        <v>116.94</v>
      </c>
      <c r="B10023" s="14">
        <v>1.4461390000000001</v>
      </c>
      <c r="C10023" s="15">
        <v>1.633497</v>
      </c>
    </row>
    <row r="10024" spans="1:3" x14ac:dyDescent="0.45">
      <c r="A10024" s="11">
        <v>116.95</v>
      </c>
      <c r="B10024" s="14">
        <v>1.447049</v>
      </c>
      <c r="C10024" s="15">
        <v>1.6351009999999999</v>
      </c>
    </row>
    <row r="10025" spans="1:3" x14ac:dyDescent="0.45">
      <c r="A10025" s="11">
        <v>116.96</v>
      </c>
      <c r="B10025" s="14">
        <v>1.447959</v>
      </c>
      <c r="C10025" s="15">
        <v>1.6367050000000001</v>
      </c>
    </row>
    <row r="10026" spans="1:3" x14ac:dyDescent="0.45">
      <c r="A10026" s="11">
        <v>116.97</v>
      </c>
      <c r="B10026" s="14">
        <v>1.448869</v>
      </c>
      <c r="C10026" s="15">
        <v>1.638309</v>
      </c>
    </row>
    <row r="10027" spans="1:3" x14ac:dyDescent="0.45">
      <c r="A10027" s="11">
        <v>116.98</v>
      </c>
      <c r="B10027" s="14">
        <v>1.4497800000000001</v>
      </c>
      <c r="C10027" s="15">
        <v>1.639912</v>
      </c>
    </row>
    <row r="10028" spans="1:3" x14ac:dyDescent="0.45">
      <c r="A10028" s="11">
        <v>116.99</v>
      </c>
      <c r="B10028" s="14">
        <v>1.45069</v>
      </c>
      <c r="C10028" s="15">
        <v>1.641516</v>
      </c>
    </row>
    <row r="10029" spans="1:3" x14ac:dyDescent="0.45">
      <c r="A10029" s="11">
        <v>117</v>
      </c>
      <c r="B10029" s="14">
        <v>1.4516</v>
      </c>
      <c r="C10029" s="15">
        <v>1.6431199999999999</v>
      </c>
    </row>
    <row r="10030" spans="1:3" x14ac:dyDescent="0.45">
      <c r="A10030" s="11">
        <v>117.01</v>
      </c>
      <c r="B10030" s="14">
        <v>1.452556</v>
      </c>
      <c r="C10030" s="15">
        <v>1.6448970000000001</v>
      </c>
    </row>
    <row r="10031" spans="1:3" x14ac:dyDescent="0.45">
      <c r="A10031" s="11">
        <v>117.02</v>
      </c>
      <c r="B10031" s="14">
        <v>1.4535119999999999</v>
      </c>
      <c r="C10031" s="15">
        <v>1.6466750000000001</v>
      </c>
    </row>
    <row r="10032" spans="1:3" x14ac:dyDescent="0.45">
      <c r="A10032" s="11">
        <v>117.03</v>
      </c>
      <c r="B10032" s="14">
        <v>1.454467</v>
      </c>
      <c r="C10032" s="15">
        <v>1.648452</v>
      </c>
    </row>
    <row r="10033" spans="1:3" x14ac:dyDescent="0.45">
      <c r="A10033" s="11">
        <v>117.04</v>
      </c>
      <c r="B10033" s="14">
        <v>1.4554229999999999</v>
      </c>
      <c r="C10033" s="15">
        <v>1.6502300000000001</v>
      </c>
    </row>
    <row r="10034" spans="1:3" x14ac:dyDescent="0.45">
      <c r="A10034" s="11">
        <v>117.05</v>
      </c>
      <c r="B10034" s="14">
        <v>1.4563790000000001</v>
      </c>
      <c r="C10034" s="15">
        <v>1.652007</v>
      </c>
    </row>
    <row r="10035" spans="1:3" x14ac:dyDescent="0.45">
      <c r="A10035" s="11">
        <v>117.06</v>
      </c>
      <c r="B10035" s="14">
        <v>1.457335</v>
      </c>
      <c r="C10035" s="15">
        <v>1.6537839999999999</v>
      </c>
    </row>
    <row r="10036" spans="1:3" x14ac:dyDescent="0.45">
      <c r="A10036" s="11">
        <v>117.07</v>
      </c>
      <c r="B10036" s="14">
        <v>1.458291</v>
      </c>
      <c r="C10036" s="15">
        <v>1.655562</v>
      </c>
    </row>
    <row r="10037" spans="1:3" x14ac:dyDescent="0.45">
      <c r="A10037" s="11">
        <v>117.08</v>
      </c>
      <c r="B10037" s="14">
        <v>1.459246</v>
      </c>
      <c r="C10037" s="15">
        <v>1.6573389999999999</v>
      </c>
    </row>
    <row r="10038" spans="1:3" x14ac:dyDescent="0.45">
      <c r="A10038" s="11">
        <v>117.09</v>
      </c>
      <c r="B10038" s="14">
        <v>1.460202</v>
      </c>
      <c r="C10038" s="15">
        <v>1.659117</v>
      </c>
    </row>
    <row r="10039" spans="1:3" x14ac:dyDescent="0.45">
      <c r="A10039" s="11">
        <v>117.1</v>
      </c>
      <c r="B10039" s="14">
        <v>1.461158</v>
      </c>
      <c r="C10039" s="15">
        <v>1.6608940000000001</v>
      </c>
    </row>
    <row r="10040" spans="1:3" x14ac:dyDescent="0.45">
      <c r="A10040" s="11">
        <v>117.11</v>
      </c>
      <c r="B10040" s="14">
        <v>1.4621139999999999</v>
      </c>
      <c r="C10040" s="15">
        <v>1.662671</v>
      </c>
    </row>
    <row r="10041" spans="1:3" x14ac:dyDescent="0.45">
      <c r="A10041" s="11">
        <v>117.12</v>
      </c>
      <c r="B10041" s="14">
        <v>1.4630700000000001</v>
      </c>
      <c r="C10041" s="15">
        <v>1.6644490000000001</v>
      </c>
    </row>
    <row r="10042" spans="1:3" x14ac:dyDescent="0.45">
      <c r="A10042" s="11">
        <v>117.13</v>
      </c>
      <c r="B10042" s="14">
        <v>1.4640249999999999</v>
      </c>
      <c r="C10042" s="15">
        <v>1.666226</v>
      </c>
    </row>
    <row r="10043" spans="1:3" x14ac:dyDescent="0.45">
      <c r="A10043" s="11">
        <v>117.14</v>
      </c>
      <c r="B10043" s="14">
        <v>1.4649810000000001</v>
      </c>
      <c r="C10043" s="15">
        <v>1.668004</v>
      </c>
    </row>
    <row r="10044" spans="1:3" x14ac:dyDescent="0.45">
      <c r="A10044" s="11">
        <v>117.15</v>
      </c>
      <c r="B10044" s="14">
        <v>1.465937</v>
      </c>
      <c r="C10044" s="15">
        <v>1.669781</v>
      </c>
    </row>
    <row r="10045" spans="1:3" x14ac:dyDescent="0.45">
      <c r="A10045" s="11">
        <v>117.16</v>
      </c>
      <c r="B10045" s="14">
        <v>1.466893</v>
      </c>
      <c r="C10045" s="15">
        <v>1.6715580000000001</v>
      </c>
    </row>
    <row r="10046" spans="1:3" x14ac:dyDescent="0.45">
      <c r="A10046" s="11">
        <v>117.17</v>
      </c>
      <c r="B10046" s="14">
        <v>1.467849</v>
      </c>
      <c r="C10046" s="15">
        <v>1.6733359999999999</v>
      </c>
    </row>
    <row r="10047" spans="1:3" x14ac:dyDescent="0.45">
      <c r="A10047" s="11">
        <v>117.18</v>
      </c>
      <c r="B10047" s="14">
        <v>1.468804</v>
      </c>
      <c r="C10047" s="15">
        <v>1.6751130000000001</v>
      </c>
    </row>
    <row r="10048" spans="1:3" x14ac:dyDescent="0.45">
      <c r="A10048" s="11">
        <v>117.19</v>
      </c>
      <c r="B10048" s="14">
        <v>1.46976</v>
      </c>
      <c r="C10048" s="15">
        <v>1.6768909999999999</v>
      </c>
    </row>
    <row r="10049" spans="1:3" x14ac:dyDescent="0.45">
      <c r="A10049" s="11">
        <v>117.2</v>
      </c>
      <c r="B10049" s="14">
        <v>1.4707159999999999</v>
      </c>
      <c r="C10049" s="15">
        <v>1.678668</v>
      </c>
    </row>
    <row r="10050" spans="1:3" x14ac:dyDescent="0.45">
      <c r="A10050" s="11">
        <v>117.21</v>
      </c>
      <c r="B10050" s="14">
        <v>1.4716720000000001</v>
      </c>
      <c r="C10050" s="15">
        <v>1.680445</v>
      </c>
    </row>
    <row r="10051" spans="1:3" x14ac:dyDescent="0.45">
      <c r="A10051" s="11">
        <v>117.22</v>
      </c>
      <c r="B10051" s="14">
        <v>1.472628</v>
      </c>
      <c r="C10051" s="15">
        <v>1.682223</v>
      </c>
    </row>
    <row r="10052" spans="1:3" x14ac:dyDescent="0.45">
      <c r="A10052" s="11">
        <v>117.23</v>
      </c>
      <c r="B10052" s="14">
        <v>1.4735830000000001</v>
      </c>
      <c r="C10052" s="15">
        <v>1.6839999999999999</v>
      </c>
    </row>
    <row r="10053" spans="1:3" x14ac:dyDescent="0.45">
      <c r="A10053" s="11">
        <v>117.24</v>
      </c>
      <c r="B10053" s="14">
        <v>1.474539</v>
      </c>
      <c r="C10053" s="15">
        <v>1.685778</v>
      </c>
    </row>
    <row r="10054" spans="1:3" x14ac:dyDescent="0.45">
      <c r="A10054" s="11">
        <v>117.25</v>
      </c>
      <c r="B10054" s="14">
        <v>1.475495</v>
      </c>
      <c r="C10054" s="15">
        <v>1.6875549999999999</v>
      </c>
    </row>
    <row r="10055" spans="1:3" x14ac:dyDescent="0.45">
      <c r="A10055" s="11">
        <v>117.26</v>
      </c>
      <c r="B10055" s="14">
        <v>1.476451</v>
      </c>
      <c r="C10055" s="15">
        <v>1.6893320000000001</v>
      </c>
    </row>
    <row r="10056" spans="1:3" x14ac:dyDescent="0.45">
      <c r="A10056" s="11">
        <v>117.27</v>
      </c>
      <c r="B10056" s="14">
        <v>1.4774069999999999</v>
      </c>
      <c r="C10056" s="15">
        <v>1.6911099999999999</v>
      </c>
    </row>
    <row r="10057" spans="1:3" x14ac:dyDescent="0.45">
      <c r="A10057" s="11">
        <v>117.28</v>
      </c>
      <c r="B10057" s="14">
        <v>1.478362</v>
      </c>
      <c r="C10057" s="15">
        <v>1.692887</v>
      </c>
    </row>
    <row r="10058" spans="1:3" x14ac:dyDescent="0.45">
      <c r="A10058" s="11">
        <v>117.29</v>
      </c>
      <c r="B10058" s="14">
        <v>1.4793179999999999</v>
      </c>
      <c r="C10058" s="15">
        <v>1.6946650000000001</v>
      </c>
    </row>
    <row r="10059" spans="1:3" x14ac:dyDescent="0.45">
      <c r="A10059" s="11">
        <v>117.3</v>
      </c>
      <c r="B10059" s="14">
        <v>1.4802740000000001</v>
      </c>
      <c r="C10059" s="15">
        <v>1.696442</v>
      </c>
    </row>
    <row r="10060" spans="1:3" x14ac:dyDescent="0.45">
      <c r="A10060" s="11">
        <v>117.31</v>
      </c>
      <c r="B10060" s="14">
        <v>1.48123</v>
      </c>
      <c r="C10060" s="15">
        <v>1.6982189999999999</v>
      </c>
    </row>
    <row r="10061" spans="1:3" x14ac:dyDescent="0.45">
      <c r="A10061" s="11">
        <v>117.32</v>
      </c>
      <c r="B10061" s="14">
        <v>1.482186</v>
      </c>
      <c r="C10061" s="15">
        <v>1.699997</v>
      </c>
    </row>
    <row r="10062" spans="1:3" x14ac:dyDescent="0.45">
      <c r="A10062" s="11">
        <v>117.33</v>
      </c>
      <c r="B10062" s="14">
        <v>1.483141</v>
      </c>
      <c r="C10062" s="15">
        <v>1.7017739999999999</v>
      </c>
    </row>
    <row r="10063" spans="1:3" x14ac:dyDescent="0.45">
      <c r="A10063" s="11">
        <v>117.34</v>
      </c>
      <c r="B10063" s="14">
        <v>1.484097</v>
      </c>
      <c r="C10063" s="15">
        <v>1.703552</v>
      </c>
    </row>
    <row r="10064" spans="1:3" x14ac:dyDescent="0.45">
      <c r="A10064" s="11">
        <v>117.35</v>
      </c>
      <c r="B10064" s="14">
        <v>1.485053</v>
      </c>
      <c r="C10064" s="15">
        <v>1.7053290000000001</v>
      </c>
    </row>
    <row r="10065" spans="1:3" x14ac:dyDescent="0.45">
      <c r="A10065" s="11">
        <v>117.36</v>
      </c>
      <c r="B10065" s="14">
        <v>1.4860089999999999</v>
      </c>
      <c r="C10065" s="15">
        <v>1.707106</v>
      </c>
    </row>
    <row r="10066" spans="1:3" x14ac:dyDescent="0.45">
      <c r="A10066" s="11">
        <v>117.37</v>
      </c>
      <c r="B10066" s="14">
        <v>1.4869650000000001</v>
      </c>
      <c r="C10066" s="15">
        <v>1.7088840000000001</v>
      </c>
    </row>
    <row r="10067" spans="1:3" x14ac:dyDescent="0.45">
      <c r="A10067" s="11">
        <v>117.38</v>
      </c>
      <c r="B10067" s="14">
        <v>1.4879199999999999</v>
      </c>
      <c r="C10067" s="15">
        <v>1.710661</v>
      </c>
    </row>
    <row r="10068" spans="1:3" x14ac:dyDescent="0.45">
      <c r="A10068" s="11">
        <v>117.39</v>
      </c>
      <c r="B10068" s="14">
        <v>1.4888760000000001</v>
      </c>
      <c r="C10068" s="15">
        <v>1.712439</v>
      </c>
    </row>
    <row r="10069" spans="1:3" x14ac:dyDescent="0.45">
      <c r="A10069" s="11">
        <v>117.4</v>
      </c>
      <c r="B10069" s="14">
        <v>1.489832</v>
      </c>
      <c r="C10069" s="15">
        <v>1.714216</v>
      </c>
    </row>
    <row r="10070" spans="1:3" x14ac:dyDescent="0.45">
      <c r="A10070" s="11">
        <v>117.41</v>
      </c>
      <c r="B10070" s="14">
        <v>1.490788</v>
      </c>
      <c r="C10070" s="15">
        <v>1.7159930000000001</v>
      </c>
    </row>
    <row r="10071" spans="1:3" x14ac:dyDescent="0.45">
      <c r="A10071" s="11">
        <v>117.42</v>
      </c>
      <c r="B10071" s="14">
        <v>1.491744</v>
      </c>
      <c r="C10071" s="15">
        <v>1.7177709999999999</v>
      </c>
    </row>
    <row r="10072" spans="1:3" x14ac:dyDescent="0.45">
      <c r="A10072" s="11">
        <v>117.43</v>
      </c>
      <c r="B10072" s="14">
        <v>1.492699</v>
      </c>
      <c r="C10072" s="15">
        <v>1.7195480000000001</v>
      </c>
    </row>
    <row r="10073" spans="1:3" x14ac:dyDescent="0.45">
      <c r="A10073" s="11">
        <v>117.44</v>
      </c>
      <c r="B10073" s="14">
        <v>1.493655</v>
      </c>
      <c r="C10073" s="15">
        <v>1.7213259999999999</v>
      </c>
    </row>
    <row r="10074" spans="1:3" x14ac:dyDescent="0.45">
      <c r="A10074" s="11">
        <v>117.45</v>
      </c>
      <c r="B10074" s="14">
        <v>1.4946109999999999</v>
      </c>
      <c r="C10074" s="15">
        <v>1.7231030000000001</v>
      </c>
    </row>
    <row r="10075" spans="1:3" x14ac:dyDescent="0.45">
      <c r="A10075" s="11">
        <v>117.46</v>
      </c>
      <c r="B10075" s="14">
        <v>1.4955670000000001</v>
      </c>
      <c r="C10075" s="15">
        <v>1.72488</v>
      </c>
    </row>
    <row r="10076" spans="1:3" x14ac:dyDescent="0.45">
      <c r="A10076" s="11">
        <v>117.47</v>
      </c>
      <c r="B10076" s="14">
        <v>1.496523</v>
      </c>
      <c r="C10076" s="15">
        <v>1.726658</v>
      </c>
    </row>
    <row r="10077" spans="1:3" x14ac:dyDescent="0.45">
      <c r="A10077" s="11">
        <v>117.48</v>
      </c>
      <c r="B10077" s="14">
        <v>1.4974780000000001</v>
      </c>
      <c r="C10077" s="15">
        <v>1.7284349999999999</v>
      </c>
    </row>
    <row r="10078" spans="1:3" x14ac:dyDescent="0.45">
      <c r="A10078" s="11">
        <v>117.49</v>
      </c>
      <c r="B10078" s="14">
        <v>1.498434</v>
      </c>
      <c r="C10078" s="15">
        <v>1.730213</v>
      </c>
    </row>
    <row r="10079" spans="1:3" x14ac:dyDescent="0.45">
      <c r="A10079" s="11">
        <v>117.5</v>
      </c>
      <c r="B10079" s="14">
        <v>1.49939</v>
      </c>
      <c r="C10079" s="15">
        <v>1.7319899999999999</v>
      </c>
    </row>
    <row r="10080" spans="1:3" x14ac:dyDescent="0.45">
      <c r="A10080" s="11">
        <v>117.51</v>
      </c>
      <c r="B10080" s="14">
        <v>1.500346</v>
      </c>
      <c r="C10080" s="15">
        <v>1.7337670000000001</v>
      </c>
    </row>
    <row r="10081" spans="1:3" x14ac:dyDescent="0.45">
      <c r="A10081" s="11">
        <v>117.52</v>
      </c>
      <c r="B10081" s="14">
        <v>1.5013019999999999</v>
      </c>
      <c r="C10081" s="15">
        <v>1.7355449999999999</v>
      </c>
    </row>
    <row r="10082" spans="1:3" x14ac:dyDescent="0.45">
      <c r="A10082" s="11">
        <v>117.53</v>
      </c>
      <c r="B10082" s="14">
        <v>1.502257</v>
      </c>
      <c r="C10082" s="15">
        <v>1.737322</v>
      </c>
    </row>
    <row r="10083" spans="1:3" x14ac:dyDescent="0.45">
      <c r="A10083" s="11">
        <v>117.54</v>
      </c>
      <c r="B10083" s="14">
        <v>1.5032129999999999</v>
      </c>
      <c r="C10083" s="15">
        <v>1.7391000000000001</v>
      </c>
    </row>
    <row r="10084" spans="1:3" x14ac:dyDescent="0.45">
      <c r="A10084" s="11">
        <v>117.55</v>
      </c>
      <c r="B10084" s="14">
        <v>1.5041690000000001</v>
      </c>
      <c r="C10084" s="15">
        <v>1.740877</v>
      </c>
    </row>
    <row r="10085" spans="1:3" x14ac:dyDescent="0.45">
      <c r="A10085" s="11">
        <v>117.56</v>
      </c>
      <c r="B10085" s="14">
        <v>1.505125</v>
      </c>
      <c r="C10085" s="15">
        <v>1.7426539999999999</v>
      </c>
    </row>
    <row r="10086" spans="1:3" x14ac:dyDescent="0.45">
      <c r="A10086" s="11">
        <v>117.57</v>
      </c>
      <c r="B10086" s="14">
        <v>1.506081</v>
      </c>
      <c r="C10086" s="15">
        <v>1.744432</v>
      </c>
    </row>
    <row r="10087" spans="1:3" x14ac:dyDescent="0.45">
      <c r="A10087" s="11">
        <v>117.58</v>
      </c>
      <c r="B10087" s="14">
        <v>1.507036</v>
      </c>
      <c r="C10087" s="15">
        <v>1.7462089999999999</v>
      </c>
    </row>
    <row r="10088" spans="1:3" x14ac:dyDescent="0.45">
      <c r="A10088" s="11">
        <v>117.59</v>
      </c>
      <c r="B10088" s="14">
        <v>1.507992</v>
      </c>
      <c r="C10088" s="15">
        <v>1.747987</v>
      </c>
    </row>
    <row r="10089" spans="1:3" x14ac:dyDescent="0.45">
      <c r="A10089" s="11">
        <v>117.6</v>
      </c>
      <c r="B10089" s="14">
        <v>1.508948</v>
      </c>
      <c r="C10089" s="15">
        <v>1.7497640000000001</v>
      </c>
    </row>
    <row r="10090" spans="1:3" x14ac:dyDescent="0.45">
      <c r="A10090" s="11">
        <v>117.61</v>
      </c>
      <c r="B10090" s="14">
        <v>1.5099039999999999</v>
      </c>
      <c r="C10090" s="15">
        <v>1.751541</v>
      </c>
    </row>
    <row r="10091" spans="1:3" x14ac:dyDescent="0.45">
      <c r="A10091" s="11">
        <v>117.62</v>
      </c>
      <c r="B10091" s="14">
        <v>1.5108600000000001</v>
      </c>
      <c r="C10091" s="15">
        <v>1.7533190000000001</v>
      </c>
    </row>
    <row r="10092" spans="1:3" x14ac:dyDescent="0.45">
      <c r="A10092" s="11">
        <v>117.63</v>
      </c>
      <c r="B10092" s="14">
        <v>1.5118149999999999</v>
      </c>
      <c r="C10092" s="15">
        <v>1.755096</v>
      </c>
    </row>
    <row r="10093" spans="1:3" x14ac:dyDescent="0.45">
      <c r="A10093" s="11">
        <v>117.64</v>
      </c>
      <c r="B10093" s="14">
        <v>1.5127710000000001</v>
      </c>
      <c r="C10093" s="15">
        <v>1.756874</v>
      </c>
    </row>
    <row r="10094" spans="1:3" x14ac:dyDescent="0.45">
      <c r="A10094" s="11">
        <v>117.65</v>
      </c>
      <c r="B10094" s="14">
        <v>1.513727</v>
      </c>
      <c r="C10094" s="15">
        <v>1.758651</v>
      </c>
    </row>
    <row r="10095" spans="1:3" x14ac:dyDescent="0.45">
      <c r="A10095" s="11">
        <v>117.66</v>
      </c>
      <c r="B10095" s="14">
        <v>1.514683</v>
      </c>
      <c r="C10095" s="15">
        <v>1.7604280000000001</v>
      </c>
    </row>
    <row r="10096" spans="1:3" x14ac:dyDescent="0.45">
      <c r="A10096" s="11">
        <v>117.67</v>
      </c>
      <c r="B10096" s="14">
        <v>1.515639</v>
      </c>
      <c r="C10096" s="15">
        <v>1.7622059999999999</v>
      </c>
    </row>
    <row r="10097" spans="1:3" x14ac:dyDescent="0.45">
      <c r="A10097" s="11">
        <v>117.68</v>
      </c>
      <c r="B10097" s="14">
        <v>1.516594</v>
      </c>
      <c r="C10097" s="15">
        <v>1.7639830000000001</v>
      </c>
    </row>
    <row r="10098" spans="1:3" x14ac:dyDescent="0.45">
      <c r="A10098" s="11">
        <v>117.69</v>
      </c>
      <c r="B10098" s="14">
        <v>1.51755</v>
      </c>
      <c r="C10098" s="15">
        <v>1.7657609999999999</v>
      </c>
    </row>
    <row r="10099" spans="1:3" x14ac:dyDescent="0.45">
      <c r="A10099" s="11">
        <v>117.7</v>
      </c>
      <c r="B10099" s="14">
        <v>1.5185059999999999</v>
      </c>
      <c r="C10099" s="15">
        <v>1.7675380000000001</v>
      </c>
    </row>
    <row r="10100" spans="1:3" x14ac:dyDescent="0.45">
      <c r="A10100" s="11">
        <v>117.71</v>
      </c>
      <c r="B10100" s="14">
        <v>1.5194620000000001</v>
      </c>
      <c r="C10100" s="15">
        <v>1.769315</v>
      </c>
    </row>
    <row r="10101" spans="1:3" x14ac:dyDescent="0.45">
      <c r="A10101" s="11">
        <v>117.72</v>
      </c>
      <c r="B10101" s="14">
        <v>1.520418</v>
      </c>
      <c r="C10101" s="15">
        <v>1.771093</v>
      </c>
    </row>
    <row r="10102" spans="1:3" x14ac:dyDescent="0.45">
      <c r="A10102" s="11">
        <v>117.73</v>
      </c>
      <c r="B10102" s="14">
        <v>1.5213730000000001</v>
      </c>
      <c r="C10102" s="15">
        <v>1.7728699999999999</v>
      </c>
    </row>
    <row r="10103" spans="1:3" x14ac:dyDescent="0.45">
      <c r="A10103" s="11">
        <v>117.74</v>
      </c>
      <c r="B10103" s="14">
        <v>1.522329</v>
      </c>
      <c r="C10103" s="15">
        <v>1.774648</v>
      </c>
    </row>
    <row r="10104" spans="1:3" x14ac:dyDescent="0.45">
      <c r="A10104" s="11">
        <v>117.75</v>
      </c>
      <c r="B10104" s="14">
        <v>1.523285</v>
      </c>
      <c r="C10104" s="15">
        <v>1.7764249999999999</v>
      </c>
    </row>
    <row r="10105" spans="1:3" x14ac:dyDescent="0.45">
      <c r="A10105" s="11">
        <v>117.76</v>
      </c>
      <c r="B10105" s="14">
        <v>1.524241</v>
      </c>
      <c r="C10105" s="15">
        <v>1.7782020000000001</v>
      </c>
    </row>
    <row r="10106" spans="1:3" x14ac:dyDescent="0.45">
      <c r="A10106" s="11">
        <v>117.77</v>
      </c>
      <c r="B10106" s="14">
        <v>1.5251969999999999</v>
      </c>
      <c r="C10106" s="15">
        <v>1.7799799999999999</v>
      </c>
    </row>
    <row r="10107" spans="1:3" x14ac:dyDescent="0.45">
      <c r="A10107" s="11">
        <v>117.78</v>
      </c>
      <c r="B10107" s="14">
        <v>1.526152</v>
      </c>
      <c r="C10107" s="15">
        <v>1.781757</v>
      </c>
    </row>
    <row r="10108" spans="1:3" x14ac:dyDescent="0.45">
      <c r="A10108" s="11">
        <v>117.79</v>
      </c>
      <c r="B10108" s="14">
        <v>1.5271079999999999</v>
      </c>
      <c r="C10108" s="15">
        <v>1.7835350000000001</v>
      </c>
    </row>
    <row r="10109" spans="1:3" x14ac:dyDescent="0.45">
      <c r="A10109" s="11">
        <v>117.8</v>
      </c>
      <c r="B10109" s="14">
        <v>1.5280640000000001</v>
      </c>
      <c r="C10109" s="15">
        <v>1.785312</v>
      </c>
    </row>
    <row r="10110" spans="1:3" x14ac:dyDescent="0.45">
      <c r="A10110" s="11">
        <v>117.81</v>
      </c>
      <c r="B10110" s="14">
        <v>1.52902</v>
      </c>
      <c r="C10110" s="15">
        <v>1.7870889999999999</v>
      </c>
    </row>
    <row r="10111" spans="1:3" x14ac:dyDescent="0.45">
      <c r="A10111" s="11">
        <v>117.82</v>
      </c>
      <c r="B10111" s="14">
        <v>1.529976</v>
      </c>
      <c r="C10111" s="15">
        <v>1.788867</v>
      </c>
    </row>
    <row r="10112" spans="1:3" x14ac:dyDescent="0.45">
      <c r="A10112" s="11">
        <v>117.83</v>
      </c>
      <c r="B10112" s="14">
        <v>1.530931</v>
      </c>
      <c r="C10112" s="15">
        <v>1.7906439999999999</v>
      </c>
    </row>
    <row r="10113" spans="1:3" x14ac:dyDescent="0.45">
      <c r="A10113" s="11">
        <v>117.84</v>
      </c>
      <c r="B10113" s="14">
        <v>1.531887</v>
      </c>
      <c r="C10113" s="15">
        <v>1.792422</v>
      </c>
    </row>
    <row r="10114" spans="1:3" x14ac:dyDescent="0.45">
      <c r="A10114" s="11">
        <v>117.85</v>
      </c>
      <c r="B10114" s="14">
        <v>1.532843</v>
      </c>
      <c r="C10114" s="15">
        <v>1.7941990000000001</v>
      </c>
    </row>
    <row r="10115" spans="1:3" x14ac:dyDescent="0.45">
      <c r="A10115" s="11">
        <v>117.86</v>
      </c>
      <c r="B10115" s="14">
        <v>1.5337989999999999</v>
      </c>
      <c r="C10115" s="15">
        <v>1.795976</v>
      </c>
    </row>
    <row r="10116" spans="1:3" x14ac:dyDescent="0.45">
      <c r="A10116" s="11">
        <v>117.87</v>
      </c>
      <c r="B10116" s="14">
        <v>1.5347550000000001</v>
      </c>
      <c r="C10116" s="15">
        <v>1.7977540000000001</v>
      </c>
    </row>
    <row r="10117" spans="1:3" x14ac:dyDescent="0.45">
      <c r="A10117" s="11">
        <v>117.88</v>
      </c>
      <c r="B10117" s="14">
        <v>1.5357099999999999</v>
      </c>
      <c r="C10117" s="15">
        <v>1.799531</v>
      </c>
    </row>
    <row r="10118" spans="1:3" x14ac:dyDescent="0.45">
      <c r="A10118" s="11">
        <v>117.89</v>
      </c>
      <c r="B10118" s="14">
        <v>1.5366660000000001</v>
      </c>
      <c r="C10118" s="15">
        <v>1.801309</v>
      </c>
    </row>
    <row r="10119" spans="1:3" x14ac:dyDescent="0.45">
      <c r="A10119" s="11">
        <v>117.9</v>
      </c>
      <c r="B10119" s="14">
        <v>1.537622</v>
      </c>
      <c r="C10119" s="15">
        <v>1.803086</v>
      </c>
    </row>
    <row r="10120" spans="1:3" x14ac:dyDescent="0.45">
      <c r="A10120" s="11">
        <v>117.91</v>
      </c>
      <c r="B10120" s="14">
        <v>1.538578</v>
      </c>
      <c r="C10120" s="15">
        <v>1.8048630000000001</v>
      </c>
    </row>
    <row r="10121" spans="1:3" x14ac:dyDescent="0.45">
      <c r="A10121" s="11">
        <v>117.92</v>
      </c>
      <c r="B10121" s="14">
        <v>1.539534</v>
      </c>
      <c r="C10121" s="15">
        <v>1.8066409999999999</v>
      </c>
    </row>
    <row r="10122" spans="1:3" x14ac:dyDescent="0.45">
      <c r="A10122" s="11">
        <v>117.93</v>
      </c>
      <c r="B10122" s="14">
        <v>1.540489</v>
      </c>
      <c r="C10122" s="15">
        <v>1.8084180000000001</v>
      </c>
    </row>
    <row r="10123" spans="1:3" x14ac:dyDescent="0.45">
      <c r="A10123" s="11">
        <v>117.94</v>
      </c>
      <c r="B10123" s="14">
        <v>1.541445</v>
      </c>
      <c r="C10123" s="15">
        <v>1.8101959999999999</v>
      </c>
    </row>
    <row r="10124" spans="1:3" x14ac:dyDescent="0.45">
      <c r="A10124" s="11">
        <v>117.95</v>
      </c>
      <c r="B10124" s="14">
        <v>1.5424009999999999</v>
      </c>
      <c r="C10124" s="15">
        <v>1.8119730000000001</v>
      </c>
    </row>
    <row r="10125" spans="1:3" x14ac:dyDescent="0.45">
      <c r="A10125" s="11">
        <v>117.96</v>
      </c>
      <c r="B10125" s="14">
        <v>1.5433570000000001</v>
      </c>
      <c r="C10125" s="15">
        <v>1.81375</v>
      </c>
    </row>
    <row r="10126" spans="1:3" x14ac:dyDescent="0.45">
      <c r="A10126" s="11">
        <v>117.97</v>
      </c>
      <c r="B10126" s="14">
        <v>1.544313</v>
      </c>
      <c r="C10126" s="15">
        <v>1.815528</v>
      </c>
    </row>
    <row r="10127" spans="1:3" x14ac:dyDescent="0.45">
      <c r="A10127" s="11">
        <v>117.98</v>
      </c>
      <c r="B10127" s="14">
        <v>1.5452680000000001</v>
      </c>
      <c r="C10127" s="15">
        <v>1.8173049999999999</v>
      </c>
    </row>
    <row r="10128" spans="1:3" x14ac:dyDescent="0.45">
      <c r="A10128" s="11">
        <v>117.99</v>
      </c>
      <c r="B10128" s="14">
        <v>1.546224</v>
      </c>
      <c r="C10128" s="15">
        <v>1.819083</v>
      </c>
    </row>
    <row r="10129" spans="1:3" x14ac:dyDescent="0.45">
      <c r="A10129" s="11">
        <v>118</v>
      </c>
      <c r="B10129" s="14">
        <v>1.54718</v>
      </c>
      <c r="C10129" s="15">
        <v>1.8208599999999999</v>
      </c>
    </row>
    <row r="10130" spans="1:3" x14ac:dyDescent="0.45">
      <c r="A10130" s="11">
        <v>118.01</v>
      </c>
      <c r="B10130" s="14">
        <v>1.5481819999999999</v>
      </c>
      <c r="C10130" s="15">
        <v>1.822832</v>
      </c>
    </row>
    <row r="10131" spans="1:3" x14ac:dyDescent="0.45">
      <c r="A10131" s="11">
        <v>118.02</v>
      </c>
      <c r="B10131" s="14">
        <v>1.549185</v>
      </c>
      <c r="C10131" s="15">
        <v>1.824803</v>
      </c>
    </row>
    <row r="10132" spans="1:3" x14ac:dyDescent="0.45">
      <c r="A10132" s="11">
        <v>118.03</v>
      </c>
      <c r="B10132" s="14">
        <v>1.550187</v>
      </c>
      <c r="C10132" s="15">
        <v>1.826775</v>
      </c>
    </row>
    <row r="10133" spans="1:3" x14ac:dyDescent="0.45">
      <c r="A10133" s="11">
        <v>118.04</v>
      </c>
      <c r="B10133" s="14">
        <v>1.5511900000000001</v>
      </c>
      <c r="C10133" s="15">
        <v>1.828746</v>
      </c>
    </row>
    <row r="10134" spans="1:3" x14ac:dyDescent="0.45">
      <c r="A10134" s="11">
        <v>118.05</v>
      </c>
      <c r="B10134" s="14">
        <v>1.552192</v>
      </c>
      <c r="C10134" s="15">
        <v>1.8307169999999999</v>
      </c>
    </row>
    <row r="10135" spans="1:3" x14ac:dyDescent="0.45">
      <c r="A10135" s="11">
        <v>118.06</v>
      </c>
      <c r="B10135" s="14">
        <v>1.553194</v>
      </c>
      <c r="C10135" s="15">
        <v>1.832689</v>
      </c>
    </row>
    <row r="10136" spans="1:3" x14ac:dyDescent="0.45">
      <c r="A10136" s="11">
        <v>118.07</v>
      </c>
      <c r="B10136" s="14">
        <v>1.5541970000000001</v>
      </c>
      <c r="C10136" s="15">
        <v>1.83466</v>
      </c>
    </row>
    <row r="10137" spans="1:3" x14ac:dyDescent="0.45">
      <c r="A10137" s="11">
        <v>118.08</v>
      </c>
      <c r="B10137" s="14">
        <v>1.555199</v>
      </c>
      <c r="C10137" s="15">
        <v>1.836632</v>
      </c>
    </row>
    <row r="10138" spans="1:3" x14ac:dyDescent="0.45">
      <c r="A10138" s="11">
        <v>118.09</v>
      </c>
      <c r="B10138" s="14">
        <v>1.5562020000000001</v>
      </c>
      <c r="C10138" s="15">
        <v>1.8386039999999999</v>
      </c>
    </row>
    <row r="10139" spans="1:3" x14ac:dyDescent="0.45">
      <c r="A10139" s="11">
        <v>118.1</v>
      </c>
      <c r="B10139" s="14">
        <v>1.557204</v>
      </c>
      <c r="C10139" s="15">
        <v>1.8405750000000001</v>
      </c>
    </row>
    <row r="10140" spans="1:3" x14ac:dyDescent="0.45">
      <c r="A10140" s="11">
        <v>118.11</v>
      </c>
      <c r="B10140" s="14">
        <v>1.558206</v>
      </c>
      <c r="C10140" s="15">
        <v>1.842546</v>
      </c>
    </row>
    <row r="10141" spans="1:3" x14ac:dyDescent="0.45">
      <c r="A10141" s="11">
        <v>118.12</v>
      </c>
      <c r="B10141" s="14">
        <v>1.5592090000000001</v>
      </c>
      <c r="C10141" s="15">
        <v>1.8445180000000001</v>
      </c>
    </row>
    <row r="10142" spans="1:3" x14ac:dyDescent="0.45">
      <c r="A10142" s="11">
        <v>118.13</v>
      </c>
      <c r="B10142" s="14">
        <v>1.560211</v>
      </c>
      <c r="C10142" s="15">
        <v>1.846489</v>
      </c>
    </row>
    <row r="10143" spans="1:3" x14ac:dyDescent="0.45">
      <c r="A10143" s="11">
        <v>118.14</v>
      </c>
      <c r="B10143" s="14">
        <v>1.5612140000000001</v>
      </c>
      <c r="C10143" s="15">
        <v>1.8484609999999999</v>
      </c>
    </row>
    <row r="10144" spans="1:3" x14ac:dyDescent="0.45">
      <c r="A10144" s="11">
        <v>118.15</v>
      </c>
      <c r="B10144" s="14">
        <v>1.562216</v>
      </c>
      <c r="C10144" s="15">
        <v>1.850433</v>
      </c>
    </row>
    <row r="10145" spans="1:3" x14ac:dyDescent="0.45">
      <c r="A10145" s="11">
        <v>118.16</v>
      </c>
      <c r="B10145" s="14">
        <v>1.563218</v>
      </c>
      <c r="C10145" s="15">
        <v>1.8524039999999999</v>
      </c>
    </row>
    <row r="10146" spans="1:3" x14ac:dyDescent="0.45">
      <c r="A10146" s="11">
        <v>118.17</v>
      </c>
      <c r="B10146" s="14">
        <v>1.5642210000000001</v>
      </c>
      <c r="C10146" s="15">
        <v>1.854376</v>
      </c>
    </row>
    <row r="10147" spans="1:3" x14ac:dyDescent="0.45">
      <c r="A10147" s="11">
        <v>118.18</v>
      </c>
      <c r="B10147" s="14">
        <v>1.565223</v>
      </c>
      <c r="C10147" s="15">
        <v>1.856347</v>
      </c>
    </row>
    <row r="10148" spans="1:3" x14ac:dyDescent="0.45">
      <c r="A10148" s="11">
        <v>118.19</v>
      </c>
      <c r="B10148" s="14">
        <v>1.5662259999999999</v>
      </c>
      <c r="C10148" s="15">
        <v>1.8583179999999999</v>
      </c>
    </row>
    <row r="10149" spans="1:3" x14ac:dyDescent="0.45">
      <c r="A10149" s="11">
        <v>118.2</v>
      </c>
      <c r="B10149" s="14">
        <v>1.5672280000000001</v>
      </c>
      <c r="C10149" s="15">
        <v>1.86029</v>
      </c>
    </row>
    <row r="10150" spans="1:3" x14ac:dyDescent="0.45">
      <c r="A10150" s="11">
        <v>118.21</v>
      </c>
      <c r="B10150" s="14">
        <v>1.56823</v>
      </c>
      <c r="C10150" s="15">
        <v>1.8622609999999999</v>
      </c>
    </row>
    <row r="10151" spans="1:3" x14ac:dyDescent="0.45">
      <c r="A10151" s="11">
        <v>118.22</v>
      </c>
      <c r="B10151" s="14">
        <v>1.5692330000000001</v>
      </c>
      <c r="C10151" s="15">
        <v>1.864233</v>
      </c>
    </row>
    <row r="10152" spans="1:3" x14ac:dyDescent="0.45">
      <c r="A10152" s="11">
        <v>118.23</v>
      </c>
      <c r="B10152" s="14">
        <v>1.570235</v>
      </c>
      <c r="C10152" s="15">
        <v>1.8662049999999999</v>
      </c>
    </row>
    <row r="10153" spans="1:3" x14ac:dyDescent="0.45">
      <c r="A10153" s="11">
        <v>118.24</v>
      </c>
      <c r="B10153" s="14">
        <v>1.5712379999999999</v>
      </c>
      <c r="C10153" s="15">
        <v>1.8681760000000001</v>
      </c>
    </row>
    <row r="10154" spans="1:3" x14ac:dyDescent="0.45">
      <c r="A10154" s="11">
        <v>118.25</v>
      </c>
      <c r="B10154" s="14">
        <v>1.5722400000000001</v>
      </c>
      <c r="C10154" s="15">
        <v>1.870147</v>
      </c>
    </row>
    <row r="10155" spans="1:3" x14ac:dyDescent="0.45">
      <c r="A10155" s="11">
        <v>118.26</v>
      </c>
      <c r="B10155" s="14">
        <v>1.573242</v>
      </c>
      <c r="C10155" s="15">
        <v>1.8721190000000001</v>
      </c>
    </row>
    <row r="10156" spans="1:3" x14ac:dyDescent="0.45">
      <c r="A10156" s="11">
        <v>118.27</v>
      </c>
      <c r="B10156" s="14">
        <v>1.5742449999999999</v>
      </c>
      <c r="C10156" s="15">
        <v>1.87409</v>
      </c>
    </row>
    <row r="10157" spans="1:3" x14ac:dyDescent="0.45">
      <c r="A10157" s="11">
        <v>118.28</v>
      </c>
      <c r="B10157" s="14">
        <v>1.5752470000000001</v>
      </c>
      <c r="C10157" s="15">
        <v>1.8760619999999999</v>
      </c>
    </row>
    <row r="10158" spans="1:3" x14ac:dyDescent="0.45">
      <c r="A10158" s="11">
        <v>118.29</v>
      </c>
      <c r="B10158" s="14">
        <v>1.5762499999999999</v>
      </c>
      <c r="C10158" s="15">
        <v>1.878034</v>
      </c>
    </row>
    <row r="10159" spans="1:3" x14ac:dyDescent="0.45">
      <c r="A10159" s="11">
        <v>118.3</v>
      </c>
      <c r="B10159" s="14">
        <v>1.5772520000000001</v>
      </c>
      <c r="C10159" s="15">
        <v>1.8800049999999999</v>
      </c>
    </row>
    <row r="10160" spans="1:3" x14ac:dyDescent="0.45">
      <c r="A10160" s="11">
        <v>118.31</v>
      </c>
      <c r="B10160" s="14">
        <v>1.578254</v>
      </c>
      <c r="C10160" s="15">
        <v>1.881977</v>
      </c>
    </row>
    <row r="10161" spans="1:3" x14ac:dyDescent="0.45">
      <c r="A10161" s="11">
        <v>118.32</v>
      </c>
      <c r="B10161" s="14">
        <v>1.5792569999999999</v>
      </c>
      <c r="C10161" s="15">
        <v>1.883948</v>
      </c>
    </row>
    <row r="10162" spans="1:3" x14ac:dyDescent="0.45">
      <c r="A10162" s="11">
        <v>118.33</v>
      </c>
      <c r="B10162" s="14">
        <v>1.5802590000000001</v>
      </c>
      <c r="C10162" s="15">
        <v>1.8859189999999999</v>
      </c>
    </row>
    <row r="10163" spans="1:3" x14ac:dyDescent="0.45">
      <c r="A10163" s="11">
        <v>118.34</v>
      </c>
      <c r="B10163" s="14">
        <v>1.5812619999999999</v>
      </c>
      <c r="C10163" s="15">
        <v>1.887891</v>
      </c>
    </row>
    <row r="10164" spans="1:3" x14ac:dyDescent="0.45">
      <c r="A10164" s="11">
        <v>118.35</v>
      </c>
      <c r="B10164" s="14">
        <v>1.5822639999999999</v>
      </c>
      <c r="C10164" s="15">
        <v>1.8898619999999999</v>
      </c>
    </row>
    <row r="10165" spans="1:3" x14ac:dyDescent="0.45">
      <c r="A10165" s="11">
        <v>118.36</v>
      </c>
      <c r="B10165" s="14">
        <v>1.5832660000000001</v>
      </c>
      <c r="C10165" s="15">
        <v>1.891834</v>
      </c>
    </row>
    <row r="10166" spans="1:3" x14ac:dyDescent="0.45">
      <c r="A10166" s="11">
        <v>118.37</v>
      </c>
      <c r="B10166" s="14">
        <v>1.5842689999999999</v>
      </c>
      <c r="C10166" s="15">
        <v>1.8938060000000001</v>
      </c>
    </row>
    <row r="10167" spans="1:3" x14ac:dyDescent="0.45">
      <c r="A10167" s="11">
        <v>118.38</v>
      </c>
      <c r="B10167" s="14">
        <v>1.5852710000000001</v>
      </c>
      <c r="C10167" s="15">
        <v>1.895777</v>
      </c>
    </row>
    <row r="10168" spans="1:3" x14ac:dyDescent="0.45">
      <c r="A10168" s="11">
        <v>118.39</v>
      </c>
      <c r="B10168" s="14">
        <v>1.586274</v>
      </c>
      <c r="C10168" s="15">
        <v>1.8977489999999999</v>
      </c>
    </row>
    <row r="10169" spans="1:3" x14ac:dyDescent="0.45">
      <c r="A10169" s="11">
        <v>118.4</v>
      </c>
      <c r="B10169" s="14">
        <v>1.5872759999999999</v>
      </c>
      <c r="C10169" s="15">
        <v>1.8997200000000001</v>
      </c>
    </row>
    <row r="10170" spans="1:3" x14ac:dyDescent="0.45">
      <c r="A10170" s="11">
        <v>118.41</v>
      </c>
      <c r="B10170" s="14">
        <v>1.5882780000000001</v>
      </c>
      <c r="C10170" s="15">
        <v>1.901691</v>
      </c>
    </row>
    <row r="10171" spans="1:3" x14ac:dyDescent="0.45">
      <c r="A10171" s="11">
        <v>118.42</v>
      </c>
      <c r="B10171" s="14">
        <v>1.5892809999999999</v>
      </c>
      <c r="C10171" s="15">
        <v>1.9036630000000001</v>
      </c>
    </row>
    <row r="10172" spans="1:3" x14ac:dyDescent="0.45">
      <c r="A10172" s="11">
        <v>118.43</v>
      </c>
      <c r="B10172" s="14">
        <v>1.5902829999999999</v>
      </c>
      <c r="C10172" s="15">
        <v>1.905635</v>
      </c>
    </row>
    <row r="10173" spans="1:3" x14ac:dyDescent="0.45">
      <c r="A10173" s="11">
        <v>118.44</v>
      </c>
      <c r="B10173" s="14">
        <v>1.591286</v>
      </c>
      <c r="C10173" s="15">
        <v>1.9076059999999999</v>
      </c>
    </row>
    <row r="10174" spans="1:3" x14ac:dyDescent="0.45">
      <c r="A10174" s="11">
        <v>118.45</v>
      </c>
      <c r="B10174" s="14">
        <v>1.5922879999999999</v>
      </c>
      <c r="C10174" s="15">
        <v>1.909578</v>
      </c>
    </row>
    <row r="10175" spans="1:3" x14ac:dyDescent="0.45">
      <c r="A10175" s="11">
        <v>118.46</v>
      </c>
      <c r="B10175" s="14">
        <v>1.5932900000000001</v>
      </c>
      <c r="C10175" s="15">
        <v>1.9115489999999999</v>
      </c>
    </row>
    <row r="10176" spans="1:3" x14ac:dyDescent="0.45">
      <c r="A10176" s="11">
        <v>118.47</v>
      </c>
      <c r="B10176" s="14">
        <v>1.594293</v>
      </c>
      <c r="C10176" s="15">
        <v>1.9135200000000001</v>
      </c>
    </row>
    <row r="10177" spans="1:3" x14ac:dyDescent="0.45">
      <c r="A10177" s="11">
        <v>118.48</v>
      </c>
      <c r="B10177" s="14">
        <v>1.5952949999999999</v>
      </c>
      <c r="C10177" s="15">
        <v>1.915492</v>
      </c>
    </row>
    <row r="10178" spans="1:3" x14ac:dyDescent="0.45">
      <c r="A10178" s="11">
        <v>118.49</v>
      </c>
      <c r="B10178" s="14">
        <v>1.596298</v>
      </c>
      <c r="C10178" s="15">
        <v>1.9174629999999999</v>
      </c>
    </row>
    <row r="10179" spans="1:3" x14ac:dyDescent="0.45">
      <c r="A10179" s="11">
        <v>118.5</v>
      </c>
      <c r="B10179" s="14">
        <v>1.5972999999999999</v>
      </c>
      <c r="C10179" s="15">
        <v>1.919435</v>
      </c>
    </row>
    <row r="10180" spans="1:3" x14ac:dyDescent="0.45">
      <c r="A10180" s="11">
        <v>118.51</v>
      </c>
      <c r="B10180" s="14">
        <v>1.5983019999999999</v>
      </c>
      <c r="C10180" s="15">
        <v>1.9214070000000001</v>
      </c>
    </row>
    <row r="10181" spans="1:3" x14ac:dyDescent="0.45">
      <c r="A10181" s="11">
        <v>118.52</v>
      </c>
      <c r="B10181" s="14">
        <v>1.599305</v>
      </c>
      <c r="C10181" s="15">
        <v>1.923378</v>
      </c>
    </row>
    <row r="10182" spans="1:3" x14ac:dyDescent="0.45">
      <c r="A10182" s="11">
        <v>118.53</v>
      </c>
      <c r="B10182" s="14">
        <v>1.6003069999999999</v>
      </c>
      <c r="C10182" s="15">
        <v>1.9253499999999999</v>
      </c>
    </row>
    <row r="10183" spans="1:3" x14ac:dyDescent="0.45">
      <c r="A10183" s="11">
        <v>118.54</v>
      </c>
      <c r="B10183" s="14">
        <v>1.60131</v>
      </c>
      <c r="C10183" s="15">
        <v>1.9273210000000001</v>
      </c>
    </row>
    <row r="10184" spans="1:3" x14ac:dyDescent="0.45">
      <c r="A10184" s="11">
        <v>118.55</v>
      </c>
      <c r="B10184" s="14">
        <v>1.602312</v>
      </c>
      <c r="C10184" s="15">
        <v>1.929292</v>
      </c>
    </row>
    <row r="10185" spans="1:3" x14ac:dyDescent="0.45">
      <c r="A10185" s="11">
        <v>118.56</v>
      </c>
      <c r="B10185" s="14">
        <v>1.6033139999999999</v>
      </c>
      <c r="C10185" s="15">
        <v>1.9312640000000001</v>
      </c>
    </row>
    <row r="10186" spans="1:3" x14ac:dyDescent="0.45">
      <c r="A10186" s="11">
        <v>118.57</v>
      </c>
      <c r="B10186" s="14">
        <v>1.604317</v>
      </c>
      <c r="C10186" s="15">
        <v>1.933235</v>
      </c>
    </row>
    <row r="10187" spans="1:3" x14ac:dyDescent="0.45">
      <c r="A10187" s="11">
        <v>118.58</v>
      </c>
      <c r="B10187" s="14">
        <v>1.6053189999999999</v>
      </c>
      <c r="C10187" s="15">
        <v>1.9352069999999999</v>
      </c>
    </row>
    <row r="10188" spans="1:3" x14ac:dyDescent="0.45">
      <c r="A10188" s="11">
        <v>118.59</v>
      </c>
      <c r="B10188" s="14">
        <v>1.606322</v>
      </c>
      <c r="C10188" s="15">
        <v>1.937179</v>
      </c>
    </row>
    <row r="10189" spans="1:3" x14ac:dyDescent="0.45">
      <c r="A10189" s="11">
        <v>118.6</v>
      </c>
      <c r="B10189" s="14">
        <v>1.607324</v>
      </c>
      <c r="C10189" s="15">
        <v>1.9391499999999999</v>
      </c>
    </row>
    <row r="10190" spans="1:3" x14ac:dyDescent="0.45">
      <c r="A10190" s="11">
        <v>118.61</v>
      </c>
      <c r="B10190" s="14">
        <v>1.6083259999999999</v>
      </c>
      <c r="C10190" s="15">
        <v>1.9411210000000001</v>
      </c>
    </row>
    <row r="10191" spans="1:3" x14ac:dyDescent="0.45">
      <c r="A10191" s="11">
        <v>118.62</v>
      </c>
      <c r="B10191" s="14">
        <v>1.609329</v>
      </c>
      <c r="C10191" s="15">
        <v>1.943093</v>
      </c>
    </row>
    <row r="10192" spans="1:3" x14ac:dyDescent="0.45">
      <c r="A10192" s="11">
        <v>118.63</v>
      </c>
      <c r="B10192" s="14">
        <v>1.610331</v>
      </c>
      <c r="C10192" s="15">
        <v>1.9450639999999999</v>
      </c>
    </row>
    <row r="10193" spans="1:3" x14ac:dyDescent="0.45">
      <c r="A10193" s="11">
        <v>118.64</v>
      </c>
      <c r="B10193" s="14">
        <v>1.611334</v>
      </c>
      <c r="C10193" s="15">
        <v>1.947036</v>
      </c>
    </row>
    <row r="10194" spans="1:3" x14ac:dyDescent="0.45">
      <c r="A10194" s="11">
        <v>118.65</v>
      </c>
      <c r="B10194" s="14">
        <v>1.612336</v>
      </c>
      <c r="C10194" s="15">
        <v>1.9490080000000001</v>
      </c>
    </row>
    <row r="10195" spans="1:3" x14ac:dyDescent="0.45">
      <c r="A10195" s="11">
        <v>118.66</v>
      </c>
      <c r="B10195" s="14">
        <v>1.6133379999999999</v>
      </c>
      <c r="C10195" s="15">
        <v>1.950979</v>
      </c>
    </row>
    <row r="10196" spans="1:3" x14ac:dyDescent="0.45">
      <c r="A10196" s="11">
        <v>118.67</v>
      </c>
      <c r="B10196" s="14">
        <v>1.614341</v>
      </c>
      <c r="C10196" s="15">
        <v>1.9529510000000001</v>
      </c>
    </row>
    <row r="10197" spans="1:3" x14ac:dyDescent="0.45">
      <c r="A10197" s="11">
        <v>118.68</v>
      </c>
      <c r="B10197" s="14">
        <v>1.615343</v>
      </c>
      <c r="C10197" s="15">
        <v>1.954922</v>
      </c>
    </row>
    <row r="10198" spans="1:3" x14ac:dyDescent="0.45">
      <c r="A10198" s="11">
        <v>118.69</v>
      </c>
      <c r="B10198" s="14">
        <v>1.6163460000000001</v>
      </c>
      <c r="C10198" s="15">
        <v>1.956893</v>
      </c>
    </row>
    <row r="10199" spans="1:3" x14ac:dyDescent="0.45">
      <c r="A10199" s="11">
        <v>118.7</v>
      </c>
      <c r="B10199" s="14">
        <v>1.617348</v>
      </c>
      <c r="C10199" s="15">
        <v>1.9588650000000001</v>
      </c>
    </row>
    <row r="10200" spans="1:3" x14ac:dyDescent="0.45">
      <c r="A10200" s="11">
        <v>118.71</v>
      </c>
      <c r="B10200" s="14">
        <v>1.61835</v>
      </c>
      <c r="C10200" s="15">
        <v>1.960836</v>
      </c>
    </row>
    <row r="10201" spans="1:3" x14ac:dyDescent="0.45">
      <c r="A10201" s="11">
        <v>118.72</v>
      </c>
      <c r="B10201" s="14">
        <v>1.619353</v>
      </c>
      <c r="C10201" s="15">
        <v>1.9628080000000001</v>
      </c>
    </row>
    <row r="10202" spans="1:3" x14ac:dyDescent="0.45">
      <c r="A10202" s="11">
        <v>118.73</v>
      </c>
      <c r="B10202" s="14">
        <v>1.620355</v>
      </c>
      <c r="C10202" s="15">
        <v>1.96478</v>
      </c>
    </row>
    <row r="10203" spans="1:3" x14ac:dyDescent="0.45">
      <c r="A10203" s="11">
        <v>118.74</v>
      </c>
      <c r="B10203" s="14">
        <v>1.6213580000000001</v>
      </c>
      <c r="C10203" s="15">
        <v>1.9667509999999999</v>
      </c>
    </row>
    <row r="10204" spans="1:3" x14ac:dyDescent="0.45">
      <c r="A10204" s="11">
        <v>118.75</v>
      </c>
      <c r="B10204" s="14">
        <v>1.62236</v>
      </c>
      <c r="C10204" s="15">
        <v>1.9687220000000001</v>
      </c>
    </row>
    <row r="10205" spans="1:3" x14ac:dyDescent="0.45">
      <c r="A10205" s="11">
        <v>118.76</v>
      </c>
      <c r="B10205" s="14">
        <v>1.623362</v>
      </c>
      <c r="C10205" s="15">
        <v>1.9706939999999999</v>
      </c>
    </row>
    <row r="10206" spans="1:3" x14ac:dyDescent="0.45">
      <c r="A10206" s="11">
        <v>118.77</v>
      </c>
      <c r="B10206" s="14">
        <v>1.6243650000000001</v>
      </c>
      <c r="C10206" s="15">
        <v>1.9726649999999999</v>
      </c>
    </row>
    <row r="10207" spans="1:3" x14ac:dyDescent="0.45">
      <c r="A10207" s="11">
        <v>118.78</v>
      </c>
      <c r="B10207" s="14">
        <v>1.625367</v>
      </c>
      <c r="C10207" s="15">
        <v>1.974637</v>
      </c>
    </row>
    <row r="10208" spans="1:3" x14ac:dyDescent="0.45">
      <c r="A10208" s="11">
        <v>118.79</v>
      </c>
      <c r="B10208" s="14">
        <v>1.6263700000000001</v>
      </c>
      <c r="C10208" s="15">
        <v>1.9766090000000001</v>
      </c>
    </row>
    <row r="10209" spans="1:3" x14ac:dyDescent="0.45">
      <c r="A10209" s="11">
        <v>118.8</v>
      </c>
      <c r="B10209" s="14">
        <v>1.627372</v>
      </c>
      <c r="C10209" s="15">
        <v>1.97858</v>
      </c>
    </row>
    <row r="10210" spans="1:3" x14ac:dyDescent="0.45">
      <c r="A10210" s="11">
        <v>118.81</v>
      </c>
      <c r="B10210" s="14">
        <v>1.628374</v>
      </c>
      <c r="C10210" s="15">
        <v>1.9805520000000001</v>
      </c>
    </row>
    <row r="10211" spans="1:3" x14ac:dyDescent="0.45">
      <c r="A10211" s="11">
        <v>118.82</v>
      </c>
      <c r="B10211" s="14">
        <v>1.6293770000000001</v>
      </c>
      <c r="C10211" s="15">
        <v>1.982523</v>
      </c>
    </row>
    <row r="10212" spans="1:3" x14ac:dyDescent="0.45">
      <c r="A10212" s="11">
        <v>118.83</v>
      </c>
      <c r="B10212" s="14">
        <v>1.630379</v>
      </c>
      <c r="C10212" s="15">
        <v>1.984494</v>
      </c>
    </row>
    <row r="10213" spans="1:3" x14ac:dyDescent="0.45">
      <c r="A10213" s="11">
        <v>118.84</v>
      </c>
      <c r="B10213" s="14">
        <v>1.6313820000000001</v>
      </c>
      <c r="C10213" s="15">
        <v>1.9864660000000001</v>
      </c>
    </row>
    <row r="10214" spans="1:3" x14ac:dyDescent="0.45">
      <c r="A10214" s="11">
        <v>118.85</v>
      </c>
      <c r="B10214" s="14">
        <v>1.6323840000000001</v>
      </c>
      <c r="C10214" s="15">
        <v>1.988437</v>
      </c>
    </row>
    <row r="10215" spans="1:3" x14ac:dyDescent="0.45">
      <c r="A10215" s="11">
        <v>118.86</v>
      </c>
      <c r="B10215" s="14">
        <v>1.633386</v>
      </c>
      <c r="C10215" s="15">
        <v>1.9904090000000001</v>
      </c>
    </row>
    <row r="10216" spans="1:3" x14ac:dyDescent="0.45">
      <c r="A10216" s="11">
        <v>118.87</v>
      </c>
      <c r="B10216" s="14">
        <v>1.6343890000000001</v>
      </c>
      <c r="C10216" s="15">
        <v>1.992381</v>
      </c>
    </row>
    <row r="10217" spans="1:3" x14ac:dyDescent="0.45">
      <c r="A10217" s="11">
        <v>118.88</v>
      </c>
      <c r="B10217" s="14">
        <v>1.635391</v>
      </c>
      <c r="C10217" s="15">
        <v>1.9943519999999999</v>
      </c>
    </row>
    <row r="10218" spans="1:3" x14ac:dyDescent="0.45">
      <c r="A10218" s="11">
        <v>118.89</v>
      </c>
      <c r="B10218" s="14">
        <v>1.6363939999999999</v>
      </c>
      <c r="C10218" s="15">
        <v>1.9963230000000001</v>
      </c>
    </row>
    <row r="10219" spans="1:3" x14ac:dyDescent="0.45">
      <c r="A10219" s="11">
        <v>118.9</v>
      </c>
      <c r="B10219" s="14">
        <v>1.6373960000000001</v>
      </c>
      <c r="C10219" s="15">
        <v>1.9982949999999999</v>
      </c>
    </row>
    <row r="10220" spans="1:3" x14ac:dyDescent="0.45">
      <c r="A10220" s="11">
        <v>118.91</v>
      </c>
      <c r="B10220" s="14">
        <v>1.638398</v>
      </c>
      <c r="C10220" s="15">
        <v>2.0002659999999999</v>
      </c>
    </row>
    <row r="10221" spans="1:3" x14ac:dyDescent="0.45">
      <c r="A10221" s="11">
        <v>118.92</v>
      </c>
      <c r="B10221" s="14">
        <v>1.6394010000000001</v>
      </c>
      <c r="C10221" s="15">
        <v>2.0022380000000002</v>
      </c>
    </row>
    <row r="10222" spans="1:3" x14ac:dyDescent="0.45">
      <c r="A10222" s="11">
        <v>118.93</v>
      </c>
      <c r="B10222" s="14">
        <v>1.6404030000000001</v>
      </c>
      <c r="C10222" s="15">
        <v>2.00421</v>
      </c>
    </row>
    <row r="10223" spans="1:3" x14ac:dyDescent="0.45">
      <c r="A10223" s="11">
        <v>118.94</v>
      </c>
      <c r="B10223" s="14">
        <v>1.6414059999999999</v>
      </c>
      <c r="C10223" s="15">
        <v>2.0061810000000002</v>
      </c>
    </row>
    <row r="10224" spans="1:3" x14ac:dyDescent="0.45">
      <c r="A10224" s="11">
        <v>118.95</v>
      </c>
      <c r="B10224" s="14">
        <v>1.6424080000000001</v>
      </c>
      <c r="C10224" s="15">
        <v>2.0081530000000001</v>
      </c>
    </row>
    <row r="10225" spans="1:3" x14ac:dyDescent="0.45">
      <c r="A10225" s="11">
        <v>118.96</v>
      </c>
      <c r="B10225" s="14">
        <v>1.64341</v>
      </c>
      <c r="C10225" s="15">
        <v>2.0101239999999998</v>
      </c>
    </row>
    <row r="10226" spans="1:3" x14ac:dyDescent="0.45">
      <c r="A10226" s="11">
        <v>118.97</v>
      </c>
      <c r="B10226" s="14">
        <v>1.6444129999999999</v>
      </c>
      <c r="C10226" s="15">
        <v>2.012095</v>
      </c>
    </row>
    <row r="10227" spans="1:3" x14ac:dyDescent="0.45">
      <c r="A10227" s="11">
        <v>118.98</v>
      </c>
      <c r="B10227" s="14">
        <v>1.6454150000000001</v>
      </c>
      <c r="C10227" s="15">
        <v>2.0140669999999998</v>
      </c>
    </row>
    <row r="10228" spans="1:3" x14ac:dyDescent="0.45">
      <c r="A10228" s="11">
        <v>118.99</v>
      </c>
      <c r="B10228" s="14">
        <v>1.6464179999999999</v>
      </c>
      <c r="C10228" s="15">
        <v>2.016038</v>
      </c>
    </row>
    <row r="10229" spans="1:3" x14ac:dyDescent="0.45">
      <c r="A10229" s="11">
        <v>119</v>
      </c>
      <c r="B10229" s="14">
        <v>1.6474200000000001</v>
      </c>
      <c r="C10229" s="15">
        <v>2.0180099999999999</v>
      </c>
    </row>
    <row r="10230" spans="1:3" x14ac:dyDescent="0.45">
      <c r="A10230" s="11">
        <v>119.01</v>
      </c>
      <c r="B10230" s="14">
        <v>1.650946</v>
      </c>
      <c r="C10230" s="15">
        <v>2.0278299999999998</v>
      </c>
    </row>
    <row r="10231" spans="1:3" x14ac:dyDescent="0.45">
      <c r="A10231" s="11">
        <v>119.02</v>
      </c>
      <c r="B10231" s="14">
        <v>1.6544719999999999</v>
      </c>
      <c r="C10231" s="15">
        <v>2.0376500000000002</v>
      </c>
    </row>
    <row r="10232" spans="1:3" x14ac:dyDescent="0.45">
      <c r="A10232" s="11">
        <v>119.03</v>
      </c>
      <c r="B10232" s="14">
        <v>1.6579969999999999</v>
      </c>
      <c r="C10232" s="15">
        <v>2.0474700000000001</v>
      </c>
    </row>
    <row r="10233" spans="1:3" x14ac:dyDescent="0.45">
      <c r="A10233" s="11">
        <v>119.04</v>
      </c>
      <c r="B10233" s="14">
        <v>1.6615230000000001</v>
      </c>
      <c r="C10233" s="15">
        <v>2.0572900000000001</v>
      </c>
    </row>
    <row r="10234" spans="1:3" x14ac:dyDescent="0.45">
      <c r="A10234" s="11">
        <v>119.05</v>
      </c>
      <c r="B10234" s="14">
        <v>1.665049</v>
      </c>
      <c r="C10234" s="15">
        <v>2.0671089999999999</v>
      </c>
    </row>
    <row r="10235" spans="1:3" x14ac:dyDescent="0.45">
      <c r="A10235" s="11">
        <v>119.06</v>
      </c>
      <c r="B10235" s="14">
        <v>1.6685749999999999</v>
      </c>
      <c r="C10235" s="15">
        <v>2.0769289999999998</v>
      </c>
    </row>
    <row r="10236" spans="1:3" x14ac:dyDescent="0.45">
      <c r="A10236" s="11">
        <v>119.07</v>
      </c>
      <c r="B10236" s="14">
        <v>1.6721010000000001</v>
      </c>
      <c r="C10236" s="15">
        <v>2.0867490000000002</v>
      </c>
    </row>
    <row r="10237" spans="1:3" x14ac:dyDescent="0.45">
      <c r="A10237" s="11">
        <v>119.08</v>
      </c>
      <c r="B10237" s="14">
        <v>1.6756260000000001</v>
      </c>
      <c r="C10237" s="15">
        <v>2.0965690000000001</v>
      </c>
    </row>
    <row r="10238" spans="1:3" x14ac:dyDescent="0.45">
      <c r="A10238" s="11">
        <v>119.09</v>
      </c>
      <c r="B10238" s="14">
        <v>1.679152</v>
      </c>
      <c r="C10238" s="15">
        <v>2.1063890000000001</v>
      </c>
    </row>
    <row r="10239" spans="1:3" x14ac:dyDescent="0.45">
      <c r="A10239" s="11">
        <v>119.1</v>
      </c>
      <c r="B10239" s="14">
        <v>1.6826779999999999</v>
      </c>
      <c r="C10239" s="15">
        <v>2.116209</v>
      </c>
    </row>
    <row r="10240" spans="1:3" x14ac:dyDescent="0.45">
      <c r="A10240" s="11">
        <v>119.11</v>
      </c>
      <c r="B10240" s="14">
        <v>1.686204</v>
      </c>
      <c r="C10240" s="15">
        <v>2.1260289999999999</v>
      </c>
    </row>
    <row r="10241" spans="1:3" x14ac:dyDescent="0.45">
      <c r="A10241" s="11">
        <v>119.12</v>
      </c>
      <c r="B10241" s="14">
        <v>1.68973</v>
      </c>
      <c r="C10241" s="15">
        <v>2.1358489999999999</v>
      </c>
    </row>
    <row r="10242" spans="1:3" x14ac:dyDescent="0.45">
      <c r="A10242" s="11">
        <v>119.13</v>
      </c>
      <c r="B10242" s="14">
        <v>1.693255</v>
      </c>
      <c r="C10242" s="15">
        <v>2.1456689999999998</v>
      </c>
    </row>
    <row r="10243" spans="1:3" x14ac:dyDescent="0.45">
      <c r="A10243" s="11">
        <v>119.14</v>
      </c>
      <c r="B10243" s="14">
        <v>1.6967810000000001</v>
      </c>
      <c r="C10243" s="15">
        <v>2.1554890000000002</v>
      </c>
    </row>
    <row r="10244" spans="1:3" x14ac:dyDescent="0.45">
      <c r="A10244" s="11">
        <v>119.15</v>
      </c>
      <c r="B10244" s="14">
        <v>1.700307</v>
      </c>
      <c r="C10244" s="15">
        <v>2.1653090000000002</v>
      </c>
    </row>
    <row r="10245" spans="1:3" x14ac:dyDescent="0.45">
      <c r="A10245" s="11">
        <v>119.16</v>
      </c>
      <c r="B10245" s="14">
        <v>1.7038329999999999</v>
      </c>
      <c r="C10245" s="15">
        <v>2.175128</v>
      </c>
    </row>
    <row r="10246" spans="1:3" x14ac:dyDescent="0.45">
      <c r="A10246" s="11">
        <v>119.17</v>
      </c>
      <c r="B10246" s="14">
        <v>1.7073590000000001</v>
      </c>
      <c r="C10246" s="15">
        <v>2.1849479999999999</v>
      </c>
    </row>
    <row r="10247" spans="1:3" x14ac:dyDescent="0.45">
      <c r="A10247" s="11">
        <v>119.18</v>
      </c>
      <c r="B10247" s="14">
        <v>1.7108840000000001</v>
      </c>
      <c r="C10247" s="15">
        <v>2.1947679999999998</v>
      </c>
    </row>
    <row r="10248" spans="1:3" x14ac:dyDescent="0.45">
      <c r="A10248" s="11">
        <v>119.19</v>
      </c>
      <c r="B10248" s="14">
        <v>1.71441</v>
      </c>
      <c r="C10248" s="15">
        <v>2.2045880000000002</v>
      </c>
    </row>
    <row r="10249" spans="1:3" x14ac:dyDescent="0.45">
      <c r="A10249" s="11">
        <v>119.2</v>
      </c>
      <c r="B10249" s="14">
        <v>1.7179359999999999</v>
      </c>
      <c r="C10249" s="15">
        <v>2.2144080000000002</v>
      </c>
    </row>
    <row r="10250" spans="1:3" x14ac:dyDescent="0.45">
      <c r="A10250" s="11">
        <v>119.21</v>
      </c>
      <c r="B10250" s="14">
        <v>1.721462</v>
      </c>
      <c r="C10250" s="15">
        <v>2.2242280000000001</v>
      </c>
    </row>
    <row r="10251" spans="1:3" x14ac:dyDescent="0.45">
      <c r="A10251" s="11">
        <v>119.22</v>
      </c>
      <c r="B10251" s="14">
        <v>1.724988</v>
      </c>
      <c r="C10251" s="15">
        <v>2.234048</v>
      </c>
    </row>
    <row r="10252" spans="1:3" x14ac:dyDescent="0.45">
      <c r="A10252" s="11">
        <v>119.23</v>
      </c>
      <c r="B10252" s="14">
        <v>1.728513</v>
      </c>
      <c r="C10252" s="15">
        <v>2.243868</v>
      </c>
    </row>
    <row r="10253" spans="1:3" x14ac:dyDescent="0.45">
      <c r="A10253" s="11">
        <v>119.24</v>
      </c>
      <c r="B10253" s="14">
        <v>1.7320390000000001</v>
      </c>
      <c r="C10253" s="15">
        <v>2.2536879999999999</v>
      </c>
    </row>
    <row r="10254" spans="1:3" x14ac:dyDescent="0.45">
      <c r="A10254" s="11">
        <v>119.25</v>
      </c>
      <c r="B10254" s="14">
        <v>1.735565</v>
      </c>
      <c r="C10254" s="15">
        <v>2.2635070000000002</v>
      </c>
    </row>
    <row r="10255" spans="1:3" x14ac:dyDescent="0.45">
      <c r="A10255" s="11">
        <v>119.26</v>
      </c>
      <c r="B10255" s="14">
        <v>1.7390909999999999</v>
      </c>
      <c r="C10255" s="15">
        <v>2.2733270000000001</v>
      </c>
    </row>
    <row r="10256" spans="1:3" x14ac:dyDescent="0.45">
      <c r="A10256" s="11">
        <v>119.27</v>
      </c>
      <c r="B10256" s="14">
        <v>1.7426170000000001</v>
      </c>
      <c r="C10256" s="15">
        <v>2.283147</v>
      </c>
    </row>
    <row r="10257" spans="1:3" x14ac:dyDescent="0.45">
      <c r="A10257" s="11">
        <v>119.28</v>
      </c>
      <c r="B10257" s="14">
        <v>1.7461420000000001</v>
      </c>
      <c r="C10257" s="15">
        <v>2.292967</v>
      </c>
    </row>
    <row r="10258" spans="1:3" x14ac:dyDescent="0.45">
      <c r="A10258" s="11">
        <v>119.29</v>
      </c>
      <c r="B10258" s="14">
        <v>1.749668</v>
      </c>
      <c r="C10258" s="15">
        <v>2.3027869999999999</v>
      </c>
    </row>
    <row r="10259" spans="1:3" x14ac:dyDescent="0.45">
      <c r="A10259" s="11">
        <v>119.3</v>
      </c>
      <c r="B10259" s="14">
        <v>1.7531939999999999</v>
      </c>
      <c r="C10259" s="15">
        <v>2.3126069999999999</v>
      </c>
    </row>
    <row r="10260" spans="1:3" x14ac:dyDescent="0.45">
      <c r="A10260" s="11">
        <v>119.31</v>
      </c>
      <c r="B10260" s="14">
        <v>1.7567200000000001</v>
      </c>
      <c r="C10260" s="15">
        <v>2.3224269999999998</v>
      </c>
    </row>
    <row r="10261" spans="1:3" x14ac:dyDescent="0.45">
      <c r="A10261" s="11">
        <v>119.32</v>
      </c>
      <c r="B10261" s="14">
        <v>1.760246</v>
      </c>
      <c r="C10261" s="15">
        <v>2.3322470000000002</v>
      </c>
    </row>
    <row r="10262" spans="1:3" x14ac:dyDescent="0.45">
      <c r="A10262" s="11">
        <v>119.33</v>
      </c>
      <c r="B10262" s="14">
        <v>1.763771</v>
      </c>
      <c r="C10262" s="15">
        <v>2.3420670000000001</v>
      </c>
    </row>
    <row r="10263" spans="1:3" x14ac:dyDescent="0.45">
      <c r="A10263" s="11">
        <v>119.34</v>
      </c>
      <c r="B10263" s="14">
        <v>1.7672969999999999</v>
      </c>
      <c r="C10263" s="15">
        <v>2.3518870000000001</v>
      </c>
    </row>
    <row r="10264" spans="1:3" x14ac:dyDescent="0.45">
      <c r="A10264" s="11">
        <v>119.35</v>
      </c>
      <c r="B10264" s="14">
        <v>1.770823</v>
      </c>
      <c r="C10264" s="15">
        <v>2.3617059999999999</v>
      </c>
    </row>
    <row r="10265" spans="1:3" x14ac:dyDescent="0.45">
      <c r="A10265" s="11">
        <v>119.36</v>
      </c>
      <c r="B10265" s="14">
        <v>1.774349</v>
      </c>
      <c r="C10265" s="15">
        <v>2.3715259999999998</v>
      </c>
    </row>
    <row r="10266" spans="1:3" x14ac:dyDescent="0.45">
      <c r="A10266" s="11">
        <v>119.37</v>
      </c>
      <c r="B10266" s="14">
        <v>1.7778750000000001</v>
      </c>
      <c r="C10266" s="15">
        <v>2.3813460000000002</v>
      </c>
    </row>
    <row r="10267" spans="1:3" x14ac:dyDescent="0.45">
      <c r="A10267" s="11">
        <v>119.38</v>
      </c>
      <c r="B10267" s="14">
        <v>1.7814000000000001</v>
      </c>
      <c r="C10267" s="15">
        <v>2.3911660000000001</v>
      </c>
    </row>
    <row r="10268" spans="1:3" x14ac:dyDescent="0.45">
      <c r="A10268" s="11">
        <v>119.39</v>
      </c>
      <c r="B10268" s="14">
        <v>1.784926</v>
      </c>
      <c r="C10268" s="15">
        <v>2.4009860000000001</v>
      </c>
    </row>
    <row r="10269" spans="1:3" x14ac:dyDescent="0.45">
      <c r="A10269" s="11">
        <v>119.4</v>
      </c>
      <c r="B10269" s="14">
        <v>1.7884519999999999</v>
      </c>
      <c r="C10269" s="15">
        <v>2.410806</v>
      </c>
    </row>
    <row r="10270" spans="1:3" x14ac:dyDescent="0.45">
      <c r="A10270" s="11">
        <v>119.41</v>
      </c>
      <c r="B10270" s="14">
        <v>1.7919780000000001</v>
      </c>
      <c r="C10270" s="15">
        <v>2.4206259999999999</v>
      </c>
    </row>
    <row r="10271" spans="1:3" x14ac:dyDescent="0.45">
      <c r="A10271" s="11">
        <v>119.42</v>
      </c>
      <c r="B10271" s="14">
        <v>1.795504</v>
      </c>
      <c r="C10271" s="15">
        <v>2.4304459999999999</v>
      </c>
    </row>
    <row r="10272" spans="1:3" x14ac:dyDescent="0.45">
      <c r="A10272" s="11">
        <v>119.43</v>
      </c>
      <c r="B10272" s="14">
        <v>1.799029</v>
      </c>
      <c r="C10272" s="15">
        <v>2.4402659999999998</v>
      </c>
    </row>
    <row r="10273" spans="1:3" x14ac:dyDescent="0.45">
      <c r="A10273" s="11">
        <v>119.44</v>
      </c>
      <c r="B10273" s="14">
        <v>1.8025549999999999</v>
      </c>
      <c r="C10273" s="15">
        <v>2.4500860000000002</v>
      </c>
    </row>
    <row r="10274" spans="1:3" x14ac:dyDescent="0.45">
      <c r="A10274" s="11">
        <v>119.45</v>
      </c>
      <c r="B10274" s="14">
        <v>1.806081</v>
      </c>
      <c r="C10274" s="15">
        <v>2.4599060000000001</v>
      </c>
    </row>
    <row r="10275" spans="1:3" x14ac:dyDescent="0.45">
      <c r="A10275" s="11">
        <v>119.46</v>
      </c>
      <c r="B10275" s="14">
        <v>1.809607</v>
      </c>
      <c r="C10275" s="15">
        <v>2.4697249999999999</v>
      </c>
    </row>
    <row r="10276" spans="1:3" x14ac:dyDescent="0.45">
      <c r="A10276" s="11">
        <v>119.47</v>
      </c>
      <c r="B10276" s="14">
        <v>1.8131330000000001</v>
      </c>
      <c r="C10276" s="15">
        <v>2.4795449999999999</v>
      </c>
    </row>
    <row r="10277" spans="1:3" x14ac:dyDescent="0.45">
      <c r="A10277" s="11">
        <v>119.48</v>
      </c>
      <c r="B10277" s="14">
        <v>1.8166580000000001</v>
      </c>
      <c r="C10277" s="15">
        <v>2.4893649999999998</v>
      </c>
    </row>
    <row r="10278" spans="1:3" x14ac:dyDescent="0.45">
      <c r="A10278" s="11">
        <v>119.49</v>
      </c>
      <c r="B10278" s="14">
        <v>1.820184</v>
      </c>
      <c r="C10278" s="15">
        <v>2.4991850000000002</v>
      </c>
    </row>
    <row r="10279" spans="1:3" x14ac:dyDescent="0.45">
      <c r="A10279" s="11">
        <v>119.5</v>
      </c>
      <c r="B10279" s="14">
        <v>1.8237099999999999</v>
      </c>
      <c r="C10279" s="15">
        <v>2.5090050000000002</v>
      </c>
    </row>
    <row r="10280" spans="1:3" x14ac:dyDescent="0.45">
      <c r="A10280" s="11">
        <v>119.51</v>
      </c>
      <c r="B10280" s="14">
        <v>1.8272360000000001</v>
      </c>
      <c r="C10280" s="15">
        <v>2.5188250000000001</v>
      </c>
    </row>
    <row r="10281" spans="1:3" x14ac:dyDescent="0.45">
      <c r="A10281" s="11">
        <v>119.52</v>
      </c>
      <c r="B10281" s="14">
        <v>1.830762</v>
      </c>
      <c r="C10281" s="15">
        <v>2.528645</v>
      </c>
    </row>
    <row r="10282" spans="1:3" x14ac:dyDescent="0.45">
      <c r="A10282" s="11">
        <v>119.53</v>
      </c>
      <c r="B10282" s="14">
        <v>1.834287</v>
      </c>
      <c r="C10282" s="15">
        <v>2.538465</v>
      </c>
    </row>
    <row r="10283" spans="1:3" x14ac:dyDescent="0.45">
      <c r="A10283" s="11">
        <v>119.54</v>
      </c>
      <c r="B10283" s="14">
        <v>1.8378129999999999</v>
      </c>
      <c r="C10283" s="15">
        <v>2.5482849999999999</v>
      </c>
    </row>
    <row r="10284" spans="1:3" x14ac:dyDescent="0.45">
      <c r="A10284" s="11">
        <v>119.55</v>
      </c>
      <c r="B10284" s="14">
        <v>1.8413390000000001</v>
      </c>
      <c r="C10284" s="15">
        <v>2.5581040000000002</v>
      </c>
    </row>
    <row r="10285" spans="1:3" x14ac:dyDescent="0.45">
      <c r="A10285" s="11">
        <v>119.56</v>
      </c>
      <c r="B10285" s="14">
        <v>1.844865</v>
      </c>
      <c r="C10285" s="15">
        <v>2.5679240000000001</v>
      </c>
    </row>
    <row r="10286" spans="1:3" x14ac:dyDescent="0.45">
      <c r="A10286" s="11">
        <v>119.57</v>
      </c>
      <c r="B10286" s="14">
        <v>1.8483909999999999</v>
      </c>
      <c r="C10286" s="15">
        <v>2.577744</v>
      </c>
    </row>
    <row r="10287" spans="1:3" x14ac:dyDescent="0.45">
      <c r="A10287" s="11">
        <v>119.58</v>
      </c>
      <c r="B10287" s="14">
        <v>1.8519159999999999</v>
      </c>
      <c r="C10287" s="15">
        <v>2.587564</v>
      </c>
    </row>
    <row r="10288" spans="1:3" x14ac:dyDescent="0.45">
      <c r="A10288" s="11">
        <v>119.59</v>
      </c>
      <c r="B10288" s="14">
        <v>1.855442</v>
      </c>
      <c r="C10288" s="15">
        <v>2.5973839999999999</v>
      </c>
    </row>
    <row r="10289" spans="1:3" x14ac:dyDescent="0.45">
      <c r="A10289" s="11">
        <v>119.6</v>
      </c>
      <c r="B10289" s="14">
        <v>1.858968</v>
      </c>
      <c r="C10289" s="15">
        <v>2.6072039999999999</v>
      </c>
    </row>
    <row r="10290" spans="1:3" x14ac:dyDescent="0.45">
      <c r="A10290" s="11">
        <v>119.61</v>
      </c>
      <c r="B10290" s="14">
        <v>1.8624940000000001</v>
      </c>
      <c r="C10290" s="15">
        <v>2.6170239999999998</v>
      </c>
    </row>
    <row r="10291" spans="1:3" x14ac:dyDescent="0.45">
      <c r="A10291" s="11">
        <v>119.62</v>
      </c>
      <c r="B10291" s="14">
        <v>1.86602</v>
      </c>
      <c r="C10291" s="15">
        <v>2.6268440000000002</v>
      </c>
    </row>
    <row r="10292" spans="1:3" x14ac:dyDescent="0.45">
      <c r="A10292" s="11">
        <v>119.63</v>
      </c>
      <c r="B10292" s="14">
        <v>1.869545</v>
      </c>
      <c r="C10292" s="15">
        <v>2.6366640000000001</v>
      </c>
    </row>
    <row r="10293" spans="1:3" x14ac:dyDescent="0.45">
      <c r="A10293" s="11">
        <v>119.64</v>
      </c>
      <c r="B10293" s="14">
        <v>1.8730709999999999</v>
      </c>
      <c r="C10293" s="15">
        <v>2.6464840000000001</v>
      </c>
    </row>
    <row r="10294" spans="1:3" x14ac:dyDescent="0.45">
      <c r="A10294" s="11">
        <v>119.65</v>
      </c>
      <c r="B10294" s="14">
        <v>1.8765970000000001</v>
      </c>
      <c r="C10294" s="15">
        <v>2.656304</v>
      </c>
    </row>
    <row r="10295" spans="1:3" x14ac:dyDescent="0.45">
      <c r="A10295" s="11">
        <v>119.66</v>
      </c>
      <c r="B10295" s="14">
        <v>1.880123</v>
      </c>
      <c r="C10295" s="15">
        <v>2.6661229999999998</v>
      </c>
    </row>
    <row r="10296" spans="1:3" x14ac:dyDescent="0.45">
      <c r="A10296" s="11">
        <v>119.67</v>
      </c>
      <c r="B10296" s="14">
        <v>1.8836489999999999</v>
      </c>
      <c r="C10296" s="15">
        <v>2.6759430000000002</v>
      </c>
    </row>
    <row r="10297" spans="1:3" x14ac:dyDescent="0.45">
      <c r="A10297" s="11">
        <v>119.68</v>
      </c>
      <c r="B10297" s="14">
        <v>1.8871739999999999</v>
      </c>
      <c r="C10297" s="15">
        <v>2.6857630000000001</v>
      </c>
    </row>
    <row r="10298" spans="1:3" x14ac:dyDescent="0.45">
      <c r="A10298" s="11">
        <v>119.69</v>
      </c>
      <c r="B10298" s="14">
        <v>1.8907</v>
      </c>
      <c r="C10298" s="15">
        <v>2.6955830000000001</v>
      </c>
    </row>
    <row r="10299" spans="1:3" x14ac:dyDescent="0.45">
      <c r="A10299" s="11">
        <v>119.7</v>
      </c>
      <c r="B10299" s="14">
        <v>1.894226</v>
      </c>
      <c r="C10299" s="15">
        <v>2.705403</v>
      </c>
    </row>
    <row r="10300" spans="1:3" x14ac:dyDescent="0.45">
      <c r="A10300" s="11">
        <v>119.71</v>
      </c>
      <c r="B10300" s="14">
        <v>1.8977520000000001</v>
      </c>
      <c r="C10300" s="15">
        <v>2.7152229999999999</v>
      </c>
    </row>
    <row r="10301" spans="1:3" x14ac:dyDescent="0.45">
      <c r="A10301" s="11">
        <v>119.72</v>
      </c>
      <c r="B10301" s="14">
        <v>1.901278</v>
      </c>
      <c r="C10301" s="15">
        <v>2.7250429999999999</v>
      </c>
    </row>
    <row r="10302" spans="1:3" x14ac:dyDescent="0.45">
      <c r="A10302" s="11">
        <v>119.73</v>
      </c>
      <c r="B10302" s="14">
        <v>1.904803</v>
      </c>
      <c r="C10302" s="15">
        <v>2.7348629999999998</v>
      </c>
    </row>
    <row r="10303" spans="1:3" x14ac:dyDescent="0.45">
      <c r="A10303" s="11">
        <v>119.74</v>
      </c>
      <c r="B10303" s="14">
        <v>1.9083289999999999</v>
      </c>
      <c r="C10303" s="15">
        <v>2.7446830000000002</v>
      </c>
    </row>
    <row r="10304" spans="1:3" x14ac:dyDescent="0.45">
      <c r="A10304" s="11">
        <v>119.75</v>
      </c>
      <c r="B10304" s="14">
        <v>1.9118550000000001</v>
      </c>
      <c r="C10304" s="15">
        <v>2.7545030000000001</v>
      </c>
    </row>
    <row r="10305" spans="1:3" x14ac:dyDescent="0.45">
      <c r="A10305" s="11">
        <v>119.76</v>
      </c>
      <c r="B10305" s="14">
        <v>1.915381</v>
      </c>
      <c r="C10305" s="15">
        <v>2.7643219999999999</v>
      </c>
    </row>
    <row r="10306" spans="1:3" x14ac:dyDescent="0.45">
      <c r="A10306" s="11">
        <v>119.77</v>
      </c>
      <c r="B10306" s="14">
        <v>1.9189069999999999</v>
      </c>
      <c r="C10306" s="15">
        <v>2.7741419999999999</v>
      </c>
    </row>
    <row r="10307" spans="1:3" x14ac:dyDescent="0.45">
      <c r="A10307" s="11">
        <v>119.78</v>
      </c>
      <c r="B10307" s="14">
        <v>1.9224319999999999</v>
      </c>
      <c r="C10307" s="15">
        <v>2.7839619999999998</v>
      </c>
    </row>
    <row r="10308" spans="1:3" x14ac:dyDescent="0.45">
      <c r="A10308" s="11">
        <v>119.79</v>
      </c>
      <c r="B10308" s="14">
        <v>1.9259580000000001</v>
      </c>
      <c r="C10308" s="15">
        <v>2.7937820000000002</v>
      </c>
    </row>
    <row r="10309" spans="1:3" x14ac:dyDescent="0.45">
      <c r="A10309" s="11">
        <v>119.8</v>
      </c>
      <c r="B10309" s="14">
        <v>1.929484</v>
      </c>
      <c r="C10309" s="15">
        <v>2.8036020000000001</v>
      </c>
    </row>
    <row r="10310" spans="1:3" x14ac:dyDescent="0.45">
      <c r="A10310" s="11">
        <v>119.81</v>
      </c>
      <c r="B10310" s="14">
        <v>1.9330099999999999</v>
      </c>
      <c r="C10310" s="15">
        <v>2.8134220000000001</v>
      </c>
    </row>
    <row r="10311" spans="1:3" x14ac:dyDescent="0.45">
      <c r="A10311" s="11">
        <v>119.82</v>
      </c>
      <c r="B10311" s="14">
        <v>1.936536</v>
      </c>
      <c r="C10311" s="15">
        <v>2.823242</v>
      </c>
    </row>
    <row r="10312" spans="1:3" x14ac:dyDescent="0.45">
      <c r="A10312" s="11">
        <v>119.83</v>
      </c>
      <c r="B10312" s="14">
        <v>1.940061</v>
      </c>
      <c r="C10312" s="15">
        <v>2.833062</v>
      </c>
    </row>
    <row r="10313" spans="1:3" x14ac:dyDescent="0.45">
      <c r="A10313" s="11">
        <v>119.84</v>
      </c>
      <c r="B10313" s="14">
        <v>1.943587</v>
      </c>
      <c r="C10313" s="15">
        <v>2.8428819999999999</v>
      </c>
    </row>
    <row r="10314" spans="1:3" x14ac:dyDescent="0.45">
      <c r="A10314" s="11">
        <v>119.85</v>
      </c>
      <c r="B10314" s="14">
        <v>1.9471130000000001</v>
      </c>
      <c r="C10314" s="15">
        <v>2.8527010000000002</v>
      </c>
    </row>
    <row r="10315" spans="1:3" x14ac:dyDescent="0.45">
      <c r="A10315" s="11">
        <v>119.86</v>
      </c>
      <c r="B10315" s="14">
        <v>1.950639</v>
      </c>
      <c r="C10315" s="15">
        <v>2.8625210000000001</v>
      </c>
    </row>
    <row r="10316" spans="1:3" x14ac:dyDescent="0.45">
      <c r="A10316" s="11">
        <v>119.87</v>
      </c>
      <c r="B10316" s="14">
        <v>1.9541649999999999</v>
      </c>
      <c r="C10316" s="15">
        <v>2.872341</v>
      </c>
    </row>
    <row r="10317" spans="1:3" x14ac:dyDescent="0.45">
      <c r="A10317" s="11">
        <v>119.88</v>
      </c>
      <c r="B10317" s="14">
        <v>1.9576899999999999</v>
      </c>
      <c r="C10317" s="15">
        <v>2.882161</v>
      </c>
    </row>
    <row r="10318" spans="1:3" x14ac:dyDescent="0.45">
      <c r="A10318" s="11">
        <v>119.89</v>
      </c>
      <c r="B10318" s="14">
        <v>1.9612160000000001</v>
      </c>
      <c r="C10318" s="15">
        <v>2.8919809999999999</v>
      </c>
    </row>
    <row r="10319" spans="1:3" x14ac:dyDescent="0.45">
      <c r="A10319" s="11">
        <v>119.9</v>
      </c>
      <c r="B10319" s="14">
        <v>1.964742</v>
      </c>
      <c r="C10319" s="15">
        <v>2.9018009999999999</v>
      </c>
    </row>
    <row r="10320" spans="1:3" x14ac:dyDescent="0.45">
      <c r="A10320" s="11">
        <v>119.91</v>
      </c>
      <c r="B10320" s="14">
        <v>1.9682679999999999</v>
      </c>
      <c r="C10320" s="15">
        <v>2.9116209999999998</v>
      </c>
    </row>
    <row r="10321" spans="1:3" x14ac:dyDescent="0.45">
      <c r="A10321" s="11">
        <v>119.92</v>
      </c>
      <c r="B10321" s="14">
        <v>1.971794</v>
      </c>
      <c r="C10321" s="15">
        <v>2.9214410000000002</v>
      </c>
    </row>
    <row r="10322" spans="1:3" x14ac:dyDescent="0.45">
      <c r="A10322" s="11">
        <v>119.93</v>
      </c>
      <c r="B10322" s="14">
        <v>1.975319</v>
      </c>
      <c r="C10322" s="15">
        <v>2.9312610000000001</v>
      </c>
    </row>
    <row r="10323" spans="1:3" x14ac:dyDescent="0.45">
      <c r="A10323" s="11">
        <v>119.94</v>
      </c>
      <c r="B10323" s="14">
        <v>1.978845</v>
      </c>
      <c r="C10323" s="15">
        <v>2.9410810000000001</v>
      </c>
    </row>
    <row r="10324" spans="1:3" x14ac:dyDescent="0.45">
      <c r="A10324" s="11">
        <v>119.95</v>
      </c>
      <c r="B10324" s="14">
        <v>1.9823710000000001</v>
      </c>
      <c r="C10324" s="15">
        <v>2.950901</v>
      </c>
    </row>
    <row r="10325" spans="1:3" x14ac:dyDescent="0.45">
      <c r="A10325" s="11">
        <v>119.96</v>
      </c>
      <c r="B10325" s="14">
        <v>1.985897</v>
      </c>
      <c r="C10325" s="15">
        <v>2.9607199999999998</v>
      </c>
    </row>
    <row r="10326" spans="1:3" x14ac:dyDescent="0.45">
      <c r="A10326" s="11">
        <v>119.97</v>
      </c>
      <c r="B10326" s="14">
        <v>1.9894229999999999</v>
      </c>
      <c r="C10326" s="15">
        <v>2.9705400000000002</v>
      </c>
    </row>
    <row r="10327" spans="1:3" x14ac:dyDescent="0.45">
      <c r="A10327" s="11">
        <v>119.98</v>
      </c>
      <c r="B10327" s="14">
        <v>1.9929479999999999</v>
      </c>
      <c r="C10327" s="15">
        <v>2.9803600000000001</v>
      </c>
    </row>
    <row r="10328" spans="1:3" x14ac:dyDescent="0.45">
      <c r="A10328" s="11">
        <v>119.99</v>
      </c>
      <c r="B10328" s="14">
        <v>1.9964740000000001</v>
      </c>
      <c r="C10328" s="15">
        <v>2.9901800000000001</v>
      </c>
    </row>
    <row r="10329" spans="1:3" ht="14.65" thickBot="1" x14ac:dyDescent="0.5">
      <c r="A10329" s="16">
        <v>120</v>
      </c>
      <c r="B10329" s="17">
        <v>2</v>
      </c>
      <c r="C10329" s="18">
        <v>3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Sheet1</vt:lpstr>
      <vt:lpstr>DeathPayment</vt:lpstr>
      <vt:lpstr>Delta</vt:lpstr>
      <vt:lpstr>FemaleAgeStart</vt:lpstr>
      <vt:lpstr>MaleAgeStart</vt:lpstr>
      <vt:lpstr>muValues</vt:lpstr>
      <vt:lpstr>StepSize</vt:lpstr>
      <vt:lpstr>TerminalTime</vt:lpstr>
      <vt:lpstr>TerminalValue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sharpe</dc:creator>
  <cp:lastModifiedBy>Marcus Gwee Wen Hong</cp:lastModifiedBy>
  <dcterms:created xsi:type="dcterms:W3CDTF">2022-02-24T14:27:26Z</dcterms:created>
  <dcterms:modified xsi:type="dcterms:W3CDTF">2026-02-01T11:35:50Z</dcterms:modified>
</cp:coreProperties>
</file>