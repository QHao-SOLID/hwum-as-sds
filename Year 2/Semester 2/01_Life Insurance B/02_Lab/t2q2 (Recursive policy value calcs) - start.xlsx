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81" documentId="13_ncr:1_{BCBC9C4B-6BE6-4011-AD3C-EA28BB16E910}" xr6:coauthVersionLast="47" xr6:coauthVersionMax="47" xr10:uidLastSave="{CB7790F6-D95A-4188-BA62-B9953F572968}"/>
  <bookViews>
    <workbookView xWindow="-98" yWindow="-98" windowWidth="21795" windowHeight="12975" xr2:uid="{D54EA44E-5163-4FC8-BA93-F82081066612}"/>
  </bookViews>
  <sheets>
    <sheet name="Sheet1" sheetId="1" r:id="rId1"/>
  </sheets>
  <definedNames>
    <definedName name="Int_Rate">Sheet1!$Q$5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1" l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P17" i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Q16" i="1" l="1"/>
  <c r="P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O16" i="1"/>
  <c r="N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16" i="1"/>
  <c r="L17" i="1" a="1"/>
  <c r="L17" i="1"/>
  <c r="L18" i="1" a="1"/>
  <c r="L18" i="1"/>
  <c r="L19" i="1" a="1"/>
  <c r="L19" i="1"/>
  <c r="L20" i="1" a="1"/>
  <c r="L20" i="1"/>
  <c r="L21" i="1" a="1"/>
  <c r="L21" i="1"/>
  <c r="L22" i="1" a="1"/>
  <c r="L22" i="1"/>
  <c r="L23" i="1" a="1"/>
  <c r="L23" i="1"/>
  <c r="L24" i="1" a="1"/>
  <c r="L24" i="1"/>
  <c r="L25" i="1" a="1"/>
  <c r="L25" i="1"/>
  <c r="L26" i="1" a="1"/>
  <c r="L26" i="1"/>
  <c r="L27" i="1" a="1"/>
  <c r="L27" i="1"/>
  <c r="L28" i="1" a="1"/>
  <c r="L28" i="1"/>
  <c r="L29" i="1" a="1"/>
  <c r="L29" i="1"/>
  <c r="L30" i="1" a="1"/>
  <c r="L30" i="1"/>
  <c r="L31" i="1" a="1"/>
  <c r="L31" i="1"/>
  <c r="L32" i="1" a="1"/>
  <c r="L32" i="1"/>
  <c r="L33" i="1" a="1"/>
  <c r="L33" i="1"/>
  <c r="L34" i="1" a="1"/>
  <c r="L34" i="1"/>
  <c r="L35" i="1" a="1"/>
  <c r="L35" i="1"/>
  <c r="L36" i="1" a="1"/>
  <c r="L36" i="1"/>
  <c r="L37" i="1" a="1"/>
  <c r="L37" i="1"/>
  <c r="L38" i="1" a="1"/>
  <c r="L38" i="1"/>
  <c r="L39" i="1" a="1"/>
  <c r="L39" i="1"/>
  <c r="L40" i="1" a="1"/>
  <c r="L40" i="1"/>
  <c r="L41" i="1" a="1"/>
  <c r="L41" i="1"/>
  <c r="L16" i="1" a="1"/>
  <c r="L16" i="1" s="1"/>
  <c r="J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6" i="1"/>
  <c r="Q11" i="1"/>
  <c r="J17" i="1" l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Sharpe</author>
  </authors>
  <commentList>
    <comment ref="L7" authorId="0" shapeId="0" xr:uid="{AE8C9DF3-BF1A-471B-BCAD-F0B17368FF4B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<sst xmlns="http://schemas.openxmlformats.org/spreadsheetml/2006/main" count="59" uniqueCount="53">
  <si>
    <t>CMI Tables Program</t>
  </si>
  <si>
    <t>Hash</t>
  </si>
  <si>
    <t>3B00A34E/v3.0</t>
  </si>
  <si>
    <t>=======================</t>
  </si>
  <si>
    <t>Table x</t>
  </si>
  <si>
    <t>A6770</t>
  </si>
  <si>
    <t>none</t>
  </si>
  <si>
    <t>Interest</t>
  </si>
  <si>
    <t>0.00%</t>
  </si>
  <si>
    <t>Date</t>
  </si>
  <si>
    <t>08-Jan-07 8:35 AM</t>
  </si>
  <si>
    <t/>
  </si>
  <si>
    <t>Age![x]</t>
  </si>
  <si>
    <t>q{[x]}</t>
  </si>
  <si>
    <t>q{[x]+1}</t>
  </si>
  <si>
    <t>q{x+2}</t>
  </si>
  <si>
    <t>Age!x+2</t>
  </si>
  <si>
    <t>Colour key</t>
  </si>
  <si>
    <t>Parameters</t>
  </si>
  <si>
    <t>Data/values</t>
  </si>
  <si>
    <t>Calculations</t>
  </si>
  <si>
    <t>Discontinuous formulas</t>
  </si>
  <si>
    <t>25-year endowment</t>
  </si>
  <si>
    <t>(a year)</t>
  </si>
  <si>
    <t>StartAge</t>
  </si>
  <si>
    <t>PremiumEA</t>
  </si>
  <si>
    <t>TerminalEA</t>
  </si>
  <si>
    <t>25-year term assurance</t>
  </si>
  <si>
    <t>PremiumTA</t>
  </si>
  <si>
    <t>TerminalTA</t>
  </si>
  <si>
    <t>Good practice to consider:</t>
  </si>
  <si>
    <t>1) Work left to right and top to bottom</t>
  </si>
  <si>
    <t>2) No hard-coded parameters in formulas</t>
  </si>
  <si>
    <t>3) Use colour coding</t>
  </si>
  <si>
    <t>4) Check your answers - do they make sense? How can you tell?</t>
  </si>
  <si>
    <t>5) Use named parameters</t>
  </si>
  <si>
    <t>7) Short formulas</t>
  </si>
  <si>
    <t>8) Name your parameters</t>
  </si>
  <si>
    <t>6) Distinguish inputs from outputs; be clear what is data and what is a calc</t>
  </si>
  <si>
    <t>9) What else….??</t>
  </si>
  <si>
    <t>Scroll down to find the data (mortality rate assumptions) and scroll right for parameters.</t>
  </si>
  <si>
    <t>Further parameters</t>
  </si>
  <si>
    <t>Value looked up from data</t>
  </si>
  <si>
    <t>Results</t>
  </si>
  <si>
    <t>a</t>
  </si>
  <si>
    <t>v</t>
  </si>
  <si>
    <t>qx</t>
  </si>
  <si>
    <t>px</t>
  </si>
  <si>
    <t>V(t)</t>
  </si>
  <si>
    <t>x+t</t>
  </si>
  <si>
    <t>vqx</t>
  </si>
  <si>
    <t>vpx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</si>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</sst>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0000000"/>
    <numFmt numFmtId="165" formatCode="#.0000000"/>
    <numFmt numFmtId="166" formatCode="0.000000"/>
  </numFmts>
  <fonts count="9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164" fontId="1" fillId="0" borderId="0" xfId="0" applyNumberFormat="1" applyFont="1" applyProtection="1">
      <protection locked="0"/>
    </xf>
    <xf numFmtId="165" fontId="1" fillId="0" borderId="0" xfId="0" applyNumberFormat="1" applyFont="1" applyProtection="1">
      <protection locked="0"/>
    </xf>
    <xf numFmtId="0" fontId="1" fillId="0" borderId="0" xfId="0" quotePrefix="1" applyFont="1" applyProtection="1">
      <protection locked="0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 applyProtection="1">
      <protection locked="0"/>
    </xf>
    <xf numFmtId="0" fontId="5" fillId="0" borderId="4" xfId="0" applyFont="1" applyBorder="1"/>
    <xf numFmtId="0" fontId="5" fillId="2" borderId="4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2" fillId="0" borderId="0" xfId="0" applyFont="1"/>
    <xf numFmtId="0" fontId="8" fillId="0" borderId="4" xfId="0" applyFont="1" applyBorder="1"/>
    <xf numFmtId="0" fontId="0" fillId="3" borderId="4" xfId="0" applyFill="1" applyBorder="1"/>
    <xf numFmtId="0" fontId="4" fillId="4" borderId="4" xfId="0" applyFont="1" applyFill="1" applyBorder="1"/>
    <xf numFmtId="9" fontId="4" fillId="4" borderId="0" xfId="0" applyNumberFormat="1" applyFont="1" applyFill="1"/>
    <xf numFmtId="0" fontId="4" fillId="4" borderId="0" xfId="0" applyFont="1" applyFill="1"/>
    <xf numFmtId="0" fontId="4" fillId="4" borderId="7" xfId="0" applyFont="1" applyFill="1" applyBorder="1"/>
    <xf numFmtId="0" fontId="4" fillId="4" borderId="5" xfId="0" applyFont="1" applyFill="1" applyBorder="1"/>
    <xf numFmtId="0" fontId="4" fillId="4" borderId="8" xfId="0" applyFont="1" applyFill="1" applyBorder="1"/>
    <xf numFmtId="166" fontId="0" fillId="0" borderId="0" xfId="0" applyNumberFormat="1"/>
    <xf numFmtId="166" fontId="0" fillId="0" borderId="10" xfId="0" applyNumberFormat="1" applyBorder="1"/>
    <xf numFmtId="0" fontId="0" fillId="5" borderId="9" xfId="0" applyFill="1" applyBorder="1"/>
    <xf numFmtId="0" fontId="0" fillId="5" borderId="11" xfId="0" applyFill="1" applyBorder="1"/>
    <xf numFmtId="0" fontId="0" fillId="5" borderId="14" xfId="0" applyFill="1" applyBorder="1"/>
    <xf numFmtId="0" fontId="0" fillId="6" borderId="12" xfId="0" applyFill="1" applyBorder="1"/>
    <xf numFmtId="0" fontId="0" fillId="6" borderId="13" xfId="0" applyFill="1" applyBorder="1"/>
    <xf numFmtId="166" fontId="0" fillId="7" borderId="12" xfId="0" applyNumberFormat="1" applyFill="1" applyBorder="1"/>
    <xf numFmtId="166" fontId="0" fillId="7" borderId="13" xfId="0" applyNumberFormat="1" applyFill="1" applyBorder="1"/>
    <xf numFmtId="166" fontId="0" fillId="8" borderId="12" xfId="0" applyNumberFormat="1" applyFill="1" applyBorder="1"/>
    <xf numFmtId="166" fontId="0" fillId="8" borderId="1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110275</xdr:colOff>
      <xdr:row>12</xdr:row>
      <xdr:rowOff>66396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632D9-866E-46EB-8C68-8DD2FC20E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249571" cy="22322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A5E7-9853-45E7-8166-69E4E5829F61}">
  <dimension ref="A1:U160"/>
  <sheetViews>
    <sheetView tabSelected="1" zoomScale="88" zoomScaleNormal="100" workbookViewId="0">
      <pane xSplit="8" ySplit="13" topLeftCell="I27" activePane="bottomRight" state="frozen"/>
      <selection pane="topRight" activeCell="I1" sqref="I1"/>
      <selection pane="bottomLeft" activeCell="A14" sqref="A14"/>
      <selection pane="bottomRight" activeCell="R17" sqref="R17"/>
    </sheetView>
  </sheetViews>
  <sheetFormatPr defaultRowHeight="14.25" x14ac:dyDescent="0.45"/>
  <cols>
    <col min="1" max="1" width="9.1328125" bestFit="1" customWidth="1"/>
    <col min="2" max="4" width="9.265625" bestFit="1" customWidth="1"/>
    <col min="5" max="5" width="9.1328125" bestFit="1" customWidth="1"/>
    <col min="11" max="15" width="9.265625" bestFit="1" customWidth="1"/>
    <col min="16" max="16" width="17.53125" bestFit="1" customWidth="1"/>
    <col min="17" max="17" width="9.1328125" bestFit="1" customWidth="1"/>
    <col min="20" max="21" width="13.796875" customWidth="1"/>
  </cols>
  <sheetData>
    <row r="1" spans="1:21" ht="14.65" thickBot="1" x14ac:dyDescent="0.5"/>
    <row r="2" spans="1:21" x14ac:dyDescent="0.45">
      <c r="L2" s="6" t="s">
        <v>17</v>
      </c>
      <c r="M2" s="7"/>
      <c r="N2" s="8"/>
      <c r="P2" s="6" t="s">
        <v>22</v>
      </c>
      <c r="Q2" s="7"/>
      <c r="R2" s="8"/>
      <c r="T2" s="6" t="s">
        <v>27</v>
      </c>
      <c r="U2" s="8"/>
    </row>
    <row r="3" spans="1:21" ht="14.65" thickBot="1" x14ac:dyDescent="0.5">
      <c r="L3" s="9"/>
      <c r="N3" s="10"/>
      <c r="P3" s="9"/>
      <c r="R3" s="10"/>
      <c r="T3" s="9"/>
      <c r="U3" s="10"/>
    </row>
    <row r="4" spans="1:21" x14ac:dyDescent="0.45">
      <c r="L4" s="21" t="s">
        <v>18</v>
      </c>
      <c r="N4" s="10"/>
      <c r="P4" s="6" t="s">
        <v>18</v>
      </c>
      <c r="Q4" s="7"/>
      <c r="R4" s="8"/>
      <c r="T4" s="6" t="s">
        <v>41</v>
      </c>
      <c r="U4" s="8"/>
    </row>
    <row r="5" spans="1:21" x14ac:dyDescent="0.45">
      <c r="L5" s="11" t="s">
        <v>19</v>
      </c>
      <c r="N5" s="10"/>
      <c r="P5" s="9" t="s">
        <v>7</v>
      </c>
      <c r="Q5" s="22">
        <v>0.04</v>
      </c>
      <c r="R5" s="10" t="s">
        <v>23</v>
      </c>
      <c r="T5" s="9"/>
      <c r="U5" s="10"/>
    </row>
    <row r="6" spans="1:21" x14ac:dyDescent="0.45">
      <c r="L6" s="12" t="s">
        <v>20</v>
      </c>
      <c r="N6" s="10"/>
      <c r="P6" s="9"/>
      <c r="Q6" s="17"/>
      <c r="R6" s="10"/>
      <c r="T6" s="9"/>
      <c r="U6" s="10"/>
    </row>
    <row r="7" spans="1:21" x14ac:dyDescent="0.45">
      <c r="L7" s="13" t="s">
        <v>21</v>
      </c>
      <c r="N7" s="10"/>
      <c r="P7" s="9" t="s">
        <v>24</v>
      </c>
      <c r="Q7" s="23">
        <v>30</v>
      </c>
      <c r="R7" s="10"/>
      <c r="T7" s="9"/>
      <c r="U7" s="10"/>
    </row>
    <row r="8" spans="1:21" x14ac:dyDescent="0.45">
      <c r="L8" s="19" t="s">
        <v>42</v>
      </c>
      <c r="N8" s="10"/>
      <c r="P8" s="9"/>
      <c r="Q8" s="17"/>
      <c r="R8" s="10"/>
      <c r="T8" s="9"/>
      <c r="U8" s="10"/>
    </row>
    <row r="9" spans="1:21" x14ac:dyDescent="0.45">
      <c r="L9" s="20" t="s">
        <v>43</v>
      </c>
      <c r="N9" s="10"/>
      <c r="P9" s="9" t="s">
        <v>25</v>
      </c>
      <c r="Q9" s="23">
        <v>2.3908554433938321E-2</v>
      </c>
      <c r="R9" s="10"/>
      <c r="T9" s="9" t="s">
        <v>28</v>
      </c>
      <c r="U9" s="25">
        <v>1.9949774534254935E-3</v>
      </c>
    </row>
    <row r="10" spans="1:21" ht="14.65" thickBot="1" x14ac:dyDescent="0.5">
      <c r="L10" s="14"/>
      <c r="M10" s="15"/>
      <c r="N10" s="16"/>
      <c r="P10" s="9"/>
      <c r="R10" s="10"/>
      <c r="T10" s="9"/>
      <c r="U10" s="10"/>
    </row>
    <row r="11" spans="1:21" ht="14.65" thickBot="1" x14ac:dyDescent="0.5">
      <c r="P11" s="14" t="s">
        <v>26</v>
      </c>
      <c r="Q11" s="24">
        <f>1</f>
        <v>1</v>
      </c>
      <c r="R11" s="16"/>
      <c r="T11" s="14" t="s">
        <v>29</v>
      </c>
      <c r="U11" s="26">
        <v>0</v>
      </c>
    </row>
    <row r="14" spans="1:21" x14ac:dyDescent="0.45">
      <c r="P14" t="s">
        <v>44</v>
      </c>
      <c r="Q14" t="s">
        <v>52</v>
      </c>
    </row>
    <row r="15" spans="1:21" x14ac:dyDescent="0.45">
      <c r="A15" s="18" t="s">
        <v>40</v>
      </c>
      <c r="J15" s="29" t="s">
        <v>49</v>
      </c>
      <c r="K15" s="30" t="s">
        <v>45</v>
      </c>
      <c r="L15" s="29" t="s">
        <v>46</v>
      </c>
      <c r="M15" s="29" t="s">
        <v>47</v>
      </c>
      <c r="N15" s="29" t="s">
        <v>50</v>
      </c>
      <c r="O15" s="31" t="s">
        <v>51</v>
      </c>
      <c r="P15" s="29" t="s">
        <v>48</v>
      </c>
      <c r="Q15" s="29" t="s">
        <v>48</v>
      </c>
    </row>
    <row r="16" spans="1:21" x14ac:dyDescent="0.45">
      <c r="A16" t="s">
        <v>30</v>
      </c>
      <c r="J16" s="32">
        <f>25+Q7</f>
        <v>55</v>
      </c>
      <c r="K16" s="27">
        <f t="shared" ref="K16:K41" si="0">(1+Int_Rate)^-1</f>
        <v>0.96153846153846145</v>
      </c>
      <c r="L16" s="27" cm="1">
        <f t="array" ref="L16">IF(J16&lt;&gt;31,_xlfn.XLOOKUP(J16,IF(J16&gt;=32,$E$39:$E$160,$A$39:$A$160),_xlfn.IFS(J16&gt;=32,$D$39:$D$160,J16=30,$B$39:$B$160)),VLOOKUP(J16-1,$A$41:$C$121,3))</f>
        <v>8.4412800000000007E-3</v>
      </c>
      <c r="M16" s="27">
        <f>1-L16</f>
        <v>0.99155872</v>
      </c>
      <c r="N16" s="27">
        <f>K16*L16</f>
        <v>8.1166153846153853E-3</v>
      </c>
      <c r="O16" s="27">
        <f>K16*M16</f>
        <v>0.95342184615384606</v>
      </c>
      <c r="P16" s="34">
        <f>1</f>
        <v>1</v>
      </c>
      <c r="Q16" s="36">
        <f>0</f>
        <v>0</v>
      </c>
    </row>
    <row r="17" spans="1:17" x14ac:dyDescent="0.45">
      <c r="A17" t="s">
        <v>31</v>
      </c>
      <c r="J17" s="32">
        <f>J16-1</f>
        <v>54</v>
      </c>
      <c r="K17" s="27">
        <f t="shared" si="0"/>
        <v>0.96153846153846145</v>
      </c>
      <c r="L17" s="27" cm="1">
        <f t="array" ref="L17">IF(J17&lt;&gt;31,_xlfn.XLOOKUP(J17,IF(J17&gt;=32,$E$39:$E$160,$A$39:$A$160),_xlfn.IFS(J17&gt;=32,$D$39:$D$160,J17=30,$B$39:$B$160)),VLOOKUP(J17-1,$A$41:$C$121,3))</f>
        <v>7.5557200000000001E-3</v>
      </c>
      <c r="M17" s="27">
        <f t="shared" ref="M17:M41" si="1">1-L17</f>
        <v>0.99244427999999996</v>
      </c>
      <c r="N17" s="27">
        <f t="shared" ref="N17:N41" si="2">K17*L17</f>
        <v>7.2651153846153838E-3</v>
      </c>
      <c r="O17" s="27">
        <f t="shared" ref="O17:O41" si="3">K17*M17</f>
        <v>0.95427334615384607</v>
      </c>
      <c r="P17" s="34">
        <f>N17+O17*P16-$Q$9</f>
        <v>0.9376299071045231</v>
      </c>
      <c r="Q17" s="36">
        <f>N17+O17*Q16-$U$9</f>
        <v>5.2701379311898902E-3</v>
      </c>
    </row>
    <row r="18" spans="1:17" x14ac:dyDescent="0.45">
      <c r="A18" t="s">
        <v>32</v>
      </c>
      <c r="J18" s="32">
        <f t="shared" ref="J18:J41" si="4">J17-1</f>
        <v>53</v>
      </c>
      <c r="K18" s="27">
        <f t="shared" si="0"/>
        <v>0.96153846153846145</v>
      </c>
      <c r="L18" s="27" cm="1">
        <f t="array" ref="L18">IF(J18&lt;&gt;31,_xlfn.XLOOKUP(J18,IF(J18&gt;=32,$E$39:$E$160,$A$39:$A$160),_xlfn.IFS(J18&gt;=32,$D$39:$D$160,J18=30,$B$39:$B$160)),VLOOKUP(J18-1,$A$41:$C$121,3))</f>
        <v>6.7545599999999997E-3</v>
      </c>
      <c r="M18" s="27">
        <f t="shared" si="1"/>
        <v>0.99324544000000003</v>
      </c>
      <c r="N18" s="27">
        <f t="shared" si="2"/>
        <v>6.4947692307692302E-3</v>
      </c>
      <c r="O18" s="27">
        <f t="shared" si="3"/>
        <v>0.95504369230769226</v>
      </c>
      <c r="P18" s="34">
        <f t="shared" ref="P18:P41" si="5">N18+O18*P17-$Q$9</f>
        <v>0.87806374329605308</v>
      </c>
      <c r="Q18" s="36">
        <f t="shared" ref="Q18:Q41" si="6">N18+O18*Q17-$U$9</f>
        <v>9.5330037661181533E-3</v>
      </c>
    </row>
    <row r="19" spans="1:17" x14ac:dyDescent="0.45">
      <c r="A19" t="s">
        <v>33</v>
      </c>
      <c r="J19" s="32">
        <f t="shared" si="4"/>
        <v>52</v>
      </c>
      <c r="K19" s="27">
        <f t="shared" si="0"/>
        <v>0.96153846153846145</v>
      </c>
      <c r="L19" s="27" cm="1">
        <f t="array" ref="L19">IF(J19&lt;&gt;31,_xlfn.XLOOKUP(J19,IF(J19&gt;=32,$E$39:$E$160,$A$39:$A$160),_xlfn.IFS(J19&gt;=32,$D$39:$D$160,J19=30,$B$39:$B$160)),VLOOKUP(J19-1,$A$41:$C$121,3))</f>
        <v>6.0306400000000003E-3</v>
      </c>
      <c r="M19" s="27">
        <f t="shared" si="1"/>
        <v>0.99396936000000002</v>
      </c>
      <c r="N19" s="27">
        <f t="shared" si="2"/>
        <v>5.7986923076923077E-3</v>
      </c>
      <c r="O19" s="27">
        <f t="shared" si="3"/>
        <v>0.9557397692307692</v>
      </c>
      <c r="P19" s="34">
        <f t="shared" si="5"/>
        <v>0.82109057726142898</v>
      </c>
      <c r="Q19" s="36">
        <f t="shared" si="6"/>
        <v>1.2914785673772633E-2</v>
      </c>
    </row>
    <row r="20" spans="1:17" x14ac:dyDescent="0.45">
      <c r="A20" t="s">
        <v>34</v>
      </c>
      <c r="J20" s="32">
        <f t="shared" si="4"/>
        <v>51</v>
      </c>
      <c r="K20" s="27">
        <f t="shared" si="0"/>
        <v>0.96153846153846145</v>
      </c>
      <c r="L20" s="27" cm="1">
        <f t="array" ref="L20">IF(J20&lt;&gt;31,_xlfn.XLOOKUP(J20,IF(J20&gt;=32,$E$39:$E$160,$A$39:$A$160),_xlfn.IFS(J20&gt;=32,$D$39:$D$160,J20=30,$B$39:$B$160)),VLOOKUP(J20-1,$A$41:$C$121,3))</f>
        <v>5.3774000000000001E-3</v>
      </c>
      <c r="M20" s="27">
        <f t="shared" si="1"/>
        <v>0.99462260000000002</v>
      </c>
      <c r="N20" s="27">
        <f t="shared" si="2"/>
        <v>5.1705769230769227E-3</v>
      </c>
      <c r="O20" s="27">
        <f t="shared" si="3"/>
        <v>0.95636788461538458</v>
      </c>
      <c r="P20" s="34">
        <f t="shared" si="5"/>
        <v>0.76652668094227638</v>
      </c>
      <c r="Q20" s="36">
        <f t="shared" si="6"/>
        <v>1.5526885724738437E-2</v>
      </c>
    </row>
    <row r="21" spans="1:17" x14ac:dyDescent="0.45">
      <c r="A21" t="s">
        <v>35</v>
      </c>
      <c r="J21" s="32">
        <f t="shared" si="4"/>
        <v>50</v>
      </c>
      <c r="K21" s="27">
        <f t="shared" si="0"/>
        <v>0.96153846153846145</v>
      </c>
      <c r="L21" s="27" cm="1">
        <f t="array" ref="L21">IF(J21&lt;&gt;31,_xlfn.XLOOKUP(J21,IF(J21&gt;=32,$E$39:$E$160,$A$39:$A$160),_xlfn.IFS(J21&gt;=32,$D$39:$D$160,J21=30,$B$39:$B$160)),VLOOKUP(J21-1,$A$41:$C$121,3))</f>
        <v>4.7888000000000002E-3</v>
      </c>
      <c r="M21" s="27">
        <f t="shared" si="1"/>
        <v>0.99521119999999996</v>
      </c>
      <c r="N21" s="27">
        <f t="shared" si="2"/>
        <v>4.6046153846153841E-3</v>
      </c>
      <c r="O21" s="27">
        <f t="shared" si="3"/>
        <v>0.95693384615384602</v>
      </c>
      <c r="P21" s="34">
        <f t="shared" si="5"/>
        <v>0.71421138592431155</v>
      </c>
      <c r="Q21" s="36">
        <f t="shared" si="6"/>
        <v>1.746784040655509E-2</v>
      </c>
    </row>
    <row r="22" spans="1:17" x14ac:dyDescent="0.45">
      <c r="A22" t="s">
        <v>38</v>
      </c>
      <c r="J22" s="32">
        <f t="shared" si="4"/>
        <v>49</v>
      </c>
      <c r="K22" s="27">
        <f t="shared" si="0"/>
        <v>0.96153846153846145</v>
      </c>
      <c r="L22" s="27" cm="1">
        <f t="array" ref="L22">IF(J22&lt;&gt;31,_xlfn.XLOOKUP(J22,IF(J22&gt;=32,$E$39:$E$160,$A$39:$A$160),_xlfn.IFS(J22&gt;=32,$D$39:$D$160,J22=30,$B$39:$B$160)),VLOOKUP(J22-1,$A$41:$C$121,3))</f>
        <v>4.2593199999999996E-3</v>
      </c>
      <c r="M22" s="27">
        <f t="shared" si="1"/>
        <v>0.99574068000000004</v>
      </c>
      <c r="N22" s="27">
        <f t="shared" si="2"/>
        <v>4.0954999999999993E-3</v>
      </c>
      <c r="O22" s="27">
        <f t="shared" si="3"/>
        <v>0.95744296153846153</v>
      </c>
      <c r="P22" s="34">
        <f t="shared" si="5"/>
        <v>0.66400361006992359</v>
      </c>
      <c r="Q22" s="36">
        <f t="shared" si="6"/>
        <v>1.8824983397107815E-2</v>
      </c>
    </row>
    <row r="23" spans="1:17" x14ac:dyDescent="0.45">
      <c r="A23" t="s">
        <v>36</v>
      </c>
      <c r="J23" s="32">
        <f t="shared" si="4"/>
        <v>48</v>
      </c>
      <c r="K23" s="27">
        <f t="shared" si="0"/>
        <v>0.96153846153846145</v>
      </c>
      <c r="L23" s="27" cm="1">
        <f t="array" ref="L23">IF(J23&lt;&gt;31,_xlfn.XLOOKUP(J23,IF(J23&gt;=32,$E$39:$E$160,$A$39:$A$160),_xlfn.IFS(J23&gt;=32,$D$39:$D$160,J23=30,$B$39:$B$160)),VLOOKUP(J23-1,$A$41:$C$121,3))</f>
        <v>3.7838799999999999E-3</v>
      </c>
      <c r="M23" s="27">
        <f t="shared" si="1"/>
        <v>0.99621612000000004</v>
      </c>
      <c r="N23" s="27">
        <f t="shared" si="2"/>
        <v>3.6383461538461535E-3</v>
      </c>
      <c r="O23" s="27">
        <f t="shared" si="3"/>
        <v>0.95790011538461539</v>
      </c>
      <c r="P23" s="34">
        <f t="shared" si="5"/>
        <v>0.61577892642168874</v>
      </c>
      <c r="Q23" s="36">
        <f t="shared" si="6"/>
        <v>1.9675822468623705E-2</v>
      </c>
    </row>
    <row r="24" spans="1:17" x14ac:dyDescent="0.45">
      <c r="A24" t="s">
        <v>37</v>
      </c>
      <c r="J24" s="32">
        <f t="shared" si="4"/>
        <v>47</v>
      </c>
      <c r="K24" s="27">
        <f t="shared" si="0"/>
        <v>0.96153846153846145</v>
      </c>
      <c r="L24" s="27" cm="1">
        <f t="array" ref="L24">IF(J24&lt;&gt;31,_xlfn.XLOOKUP(J24,IF(J24&gt;=32,$E$39:$E$160,$A$39:$A$160),_xlfn.IFS(J24&gt;=32,$D$39:$D$160,J24=30,$B$39:$B$160)),VLOOKUP(J24-1,$A$41:$C$121,3))</f>
        <v>3.35783E-3</v>
      </c>
      <c r="M24" s="27">
        <f t="shared" si="1"/>
        <v>0.99664216999999999</v>
      </c>
      <c r="N24" s="27">
        <f t="shared" si="2"/>
        <v>3.2286826923076922E-3</v>
      </c>
      <c r="O24" s="27">
        <f t="shared" si="3"/>
        <v>0.95830977884615376</v>
      </c>
      <c r="P24" s="34">
        <f t="shared" si="5"/>
        <v>0.56942709505565992</v>
      </c>
      <c r="Q24" s="36">
        <f t="shared" si="6"/>
        <v>2.0089238317405167E-2</v>
      </c>
    </row>
    <row r="25" spans="1:17" x14ac:dyDescent="0.45">
      <c r="A25" t="s">
        <v>39</v>
      </c>
      <c r="J25" s="32">
        <f t="shared" si="4"/>
        <v>46</v>
      </c>
      <c r="K25" s="27">
        <f t="shared" si="0"/>
        <v>0.96153846153846145</v>
      </c>
      <c r="L25" s="27" cm="1">
        <f t="array" ref="L25">IF(J25&lt;&gt;31,_xlfn.XLOOKUP(J25,IF(J25&gt;=32,$E$39:$E$160,$A$39:$A$160),_xlfn.IFS(J25&gt;=32,$D$39:$D$160,J25=30,$B$39:$B$160)),VLOOKUP(J25-1,$A$41:$C$121,3))</f>
        <v>2.9769100000000001E-3</v>
      </c>
      <c r="M25" s="27">
        <f t="shared" si="1"/>
        <v>0.99702309</v>
      </c>
      <c r="N25" s="27">
        <f t="shared" si="2"/>
        <v>2.8624134615384614E-3</v>
      </c>
      <c r="O25" s="27">
        <f t="shared" si="3"/>
        <v>0.95867604807692297</v>
      </c>
      <c r="P25" s="34">
        <f t="shared" si="5"/>
        <v>0.5248499761834825</v>
      </c>
      <c r="Q25" s="36">
        <f t="shared" si="6"/>
        <v>2.0126507607118448E-2</v>
      </c>
    </row>
    <row r="26" spans="1:17" x14ac:dyDescent="0.45">
      <c r="J26" s="32">
        <f t="shared" si="4"/>
        <v>45</v>
      </c>
      <c r="K26" s="27">
        <f t="shared" si="0"/>
        <v>0.96153846153846145</v>
      </c>
      <c r="L26" s="27" cm="1">
        <f t="array" ref="L26">IF(J26&lt;&gt;31,_xlfn.XLOOKUP(J26,IF(J26&gt;=32,$E$39:$E$160,$A$39:$A$160),_xlfn.IFS(J26&gt;=32,$D$39:$D$160,J26=30,$B$39:$B$160)),VLOOKUP(J26-1,$A$41:$C$121,3))</f>
        <v>2.63723E-3</v>
      </c>
      <c r="M26" s="27">
        <f t="shared" si="1"/>
        <v>0.99736276999999995</v>
      </c>
      <c r="N26" s="27">
        <f t="shared" si="2"/>
        <v>2.5357980769230765E-3</v>
      </c>
      <c r="O26" s="27">
        <f t="shared" si="3"/>
        <v>0.95900266346153829</v>
      </c>
      <c r="P26" s="34">
        <f t="shared" si="5"/>
        <v>0.48195976872066942</v>
      </c>
      <c r="Q26" s="36">
        <f t="shared" si="6"/>
        <v>1.9842195024903087E-2</v>
      </c>
    </row>
    <row r="27" spans="1:17" x14ac:dyDescent="0.45">
      <c r="J27" s="32">
        <f t="shared" si="4"/>
        <v>44</v>
      </c>
      <c r="K27" s="27">
        <f t="shared" si="0"/>
        <v>0.96153846153846145</v>
      </c>
      <c r="L27" s="27" cm="1">
        <f t="array" ref="L27">IF(J27&lt;&gt;31,_xlfn.XLOOKUP(J27,IF(J27&gt;=32,$E$39:$E$160,$A$39:$A$160),_xlfn.IFS(J27&gt;=32,$D$39:$D$160,J27=30,$B$39:$B$160)),VLOOKUP(J27-1,$A$41:$C$121,3))</f>
        <v>2.3352300000000002E-3</v>
      </c>
      <c r="M27" s="27">
        <f t="shared" si="1"/>
        <v>0.99766476999999998</v>
      </c>
      <c r="N27" s="27">
        <f t="shared" si="2"/>
        <v>2.2454134615384615E-3</v>
      </c>
      <c r="O27" s="27">
        <f t="shared" si="3"/>
        <v>0.95929304807692295</v>
      </c>
      <c r="P27" s="34">
        <f t="shared" si="5"/>
        <v>0.44067751461409993</v>
      </c>
      <c r="Q27" s="36">
        <f t="shared" si="6"/>
        <v>1.9284915754089006E-2</v>
      </c>
    </row>
    <row r="28" spans="1:17" x14ac:dyDescent="0.45">
      <c r="A28" s="1" t="s">
        <v>0</v>
      </c>
      <c r="B28" s="2"/>
      <c r="C28" s="2"/>
      <c r="D28" s="1" t="s">
        <v>1</v>
      </c>
      <c r="E28" s="1" t="s">
        <v>2</v>
      </c>
      <c r="J28" s="32">
        <f t="shared" si="4"/>
        <v>43</v>
      </c>
      <c r="K28" s="27">
        <f t="shared" si="0"/>
        <v>0.96153846153846145</v>
      </c>
      <c r="L28" s="27" cm="1">
        <f t="array" ref="L28">IF(J28&lt;&gt;31,_xlfn.XLOOKUP(J28,IF(J28&gt;=32,$E$39:$E$160,$A$39:$A$160),_xlfn.IFS(J28&gt;=32,$D$39:$D$160,J28=30,$B$39:$B$160)),VLOOKUP(J28-1,$A$41:$C$121,3))</f>
        <v>2.06763E-3</v>
      </c>
      <c r="M28" s="27">
        <f t="shared" si="1"/>
        <v>0.99793237000000001</v>
      </c>
      <c r="N28" s="27">
        <f t="shared" si="2"/>
        <v>1.9881057692307689E-3</v>
      </c>
      <c r="O28" s="27">
        <f t="shared" si="3"/>
        <v>0.95955035576923065</v>
      </c>
      <c r="P28" s="34">
        <f t="shared" si="5"/>
        <v>0.4009318172627524</v>
      </c>
      <c r="Q28" s="36">
        <f t="shared" si="6"/>
        <v>1.8497976088621023E-2</v>
      </c>
    </row>
    <row r="29" spans="1:17" x14ac:dyDescent="0.45">
      <c r="A29" s="5" t="s">
        <v>3</v>
      </c>
      <c r="B29" s="2"/>
      <c r="C29" s="2"/>
      <c r="D29" s="2"/>
      <c r="E29" s="2"/>
      <c r="J29" s="32">
        <f t="shared" si="4"/>
        <v>42</v>
      </c>
      <c r="K29" s="27">
        <f t="shared" si="0"/>
        <v>0.96153846153846145</v>
      </c>
      <c r="L29" s="27" cm="1">
        <f t="array" ref="L29">IF(J29&lt;&gt;31,_xlfn.XLOOKUP(J29,IF(J29&gt;=32,$E$39:$E$160,$A$39:$A$160),_xlfn.IFS(J29&gt;=32,$D$39:$D$160,J29=30,$B$39:$B$160)),VLOOKUP(J29-1,$A$41:$C$121,3))</f>
        <v>1.8314500000000001E-3</v>
      </c>
      <c r="M29" s="27">
        <f t="shared" si="1"/>
        <v>0.99816855000000004</v>
      </c>
      <c r="N29" s="27">
        <f t="shared" si="2"/>
        <v>1.7610096153846152E-3</v>
      </c>
      <c r="O29" s="27">
        <f t="shared" si="3"/>
        <v>0.95977745192307684</v>
      </c>
      <c r="P29" s="34">
        <f t="shared" si="5"/>
        <v>0.36265777314877951</v>
      </c>
      <c r="Q29" s="36">
        <f t="shared" si="6"/>
        <v>1.7519972518029812E-2</v>
      </c>
    </row>
    <row r="30" spans="1:17" x14ac:dyDescent="0.45">
      <c r="A30" s="2"/>
      <c r="B30" s="2"/>
      <c r="C30" s="2"/>
      <c r="D30" s="2"/>
      <c r="E30" s="2"/>
      <c r="J30" s="32">
        <f t="shared" si="4"/>
        <v>41</v>
      </c>
      <c r="K30" s="27">
        <f t="shared" si="0"/>
        <v>0.96153846153846145</v>
      </c>
      <c r="L30" s="27" cm="1">
        <f t="array" ref="L30">IF(J30&lt;&gt;31,_xlfn.XLOOKUP(J30,IF(J30&gt;=32,$E$39:$E$160,$A$39:$A$160),_xlfn.IFS(J30&gt;=32,$D$39:$D$160,J30=30,$B$39:$B$160)),VLOOKUP(J30-1,$A$41:$C$121,3))</f>
        <v>1.62396E-3</v>
      </c>
      <c r="M30" s="27">
        <f t="shared" si="1"/>
        <v>0.99837604000000002</v>
      </c>
      <c r="N30" s="27">
        <f t="shared" si="2"/>
        <v>1.5615E-3</v>
      </c>
      <c r="O30" s="27">
        <f t="shared" si="3"/>
        <v>0.95997696153846146</v>
      </c>
      <c r="P30" s="34">
        <f t="shared" si="5"/>
        <v>0.32579605271173168</v>
      </c>
      <c r="Q30" s="36">
        <f t="shared" si="6"/>
        <v>1.6385292530670115E-2</v>
      </c>
    </row>
    <row r="31" spans="1:17" x14ac:dyDescent="0.45">
      <c r="A31" s="1" t="s">
        <v>4</v>
      </c>
      <c r="B31" s="1" t="s">
        <v>5</v>
      </c>
      <c r="C31" s="1" t="s">
        <v>6</v>
      </c>
      <c r="D31" s="2"/>
      <c r="E31" s="2"/>
      <c r="J31" s="32">
        <f t="shared" si="4"/>
        <v>40</v>
      </c>
      <c r="K31" s="27">
        <f t="shared" si="0"/>
        <v>0.96153846153846145</v>
      </c>
      <c r="L31" s="27" cm="1">
        <f t="array" ref="L31">IF(J31&lt;&gt;31,_xlfn.XLOOKUP(J31,IF(J31&gt;=32,$E$39:$E$160,$A$39:$A$160),_xlfn.IFS(J31&gt;=32,$D$39:$D$160,J31=30,$B$39:$B$160)),VLOOKUP(J31-1,$A$41:$C$121,3))</f>
        <v>1.4426700000000001E-3</v>
      </c>
      <c r="M31" s="27">
        <f t="shared" si="1"/>
        <v>0.99855733000000002</v>
      </c>
      <c r="N31" s="27">
        <f t="shared" si="2"/>
        <v>1.3871826923076923E-3</v>
      </c>
      <c r="O31" s="27">
        <f t="shared" si="3"/>
        <v>0.96015127884615381</v>
      </c>
      <c r="P31" s="34">
        <f t="shared" si="5"/>
        <v>0.29029212491256751</v>
      </c>
      <c r="Q31" s="36">
        <f t="shared" si="6"/>
        <v>1.5124564816473441E-2</v>
      </c>
    </row>
    <row r="32" spans="1:17" x14ac:dyDescent="0.45">
      <c r="A32" s="2"/>
      <c r="B32" s="2"/>
      <c r="C32" s="2"/>
      <c r="D32" s="2"/>
      <c r="E32" s="2"/>
      <c r="J32" s="32">
        <f t="shared" si="4"/>
        <v>39</v>
      </c>
      <c r="K32" s="27">
        <f t="shared" si="0"/>
        <v>0.96153846153846145</v>
      </c>
      <c r="L32" s="27" cm="1">
        <f t="array" ref="L32">IF(J32&lt;&gt;31,_xlfn.XLOOKUP(J32,IF(J32&gt;=32,$E$39:$E$160,$A$39:$A$160),_xlfn.IFS(J32&gt;=32,$D$39:$D$160,J32=30,$B$39:$B$160)),VLOOKUP(J32-1,$A$41:$C$121,3))</f>
        <v>1.28528E-3</v>
      </c>
      <c r="M32" s="27">
        <f t="shared" si="1"/>
        <v>0.99871471999999994</v>
      </c>
      <c r="N32" s="27">
        <f t="shared" si="2"/>
        <v>1.2358461538461538E-3</v>
      </c>
      <c r="O32" s="27">
        <f t="shared" si="3"/>
        <v>0.96030261538461525</v>
      </c>
      <c r="P32" s="34">
        <f t="shared" si="5"/>
        <v>0.25609557849900383</v>
      </c>
      <c r="Q32" s="36">
        <f t="shared" si="6"/>
        <v>1.376502785023424E-2</v>
      </c>
    </row>
    <row r="33" spans="1:17" x14ac:dyDescent="0.45">
      <c r="A33" s="1" t="s">
        <v>7</v>
      </c>
      <c r="B33" s="1" t="s">
        <v>8</v>
      </c>
      <c r="C33" s="1" t="s">
        <v>9</v>
      </c>
      <c r="D33" s="1" t="s">
        <v>10</v>
      </c>
      <c r="E33" s="2"/>
      <c r="J33" s="32">
        <f t="shared" si="4"/>
        <v>38</v>
      </c>
      <c r="K33" s="27">
        <f t="shared" si="0"/>
        <v>0.96153846153846145</v>
      </c>
      <c r="L33" s="27" cm="1">
        <f t="array" ref="L33">IF(J33&lt;&gt;31,_xlfn.XLOOKUP(J33,IF(J33&gt;=32,$E$39:$E$160,$A$39:$A$160),_xlfn.IFS(J33&gt;=32,$D$39:$D$160,J33=30,$B$39:$B$160)),VLOOKUP(J33-1,$A$41:$C$121,3))</f>
        <v>1.1497300000000001E-3</v>
      </c>
      <c r="M33" s="27">
        <f t="shared" si="1"/>
        <v>0.99885027000000004</v>
      </c>
      <c r="N33" s="27">
        <f t="shared" si="2"/>
        <v>1.1055096153846154E-3</v>
      </c>
      <c r="O33" s="27">
        <f t="shared" si="3"/>
        <v>0.96043295192307687</v>
      </c>
      <c r="P33" s="34">
        <f t="shared" si="5"/>
        <v>0.22315958761369259</v>
      </c>
      <c r="Q33" s="36">
        <f t="shared" si="6"/>
        <v>1.2330918493462958E-2</v>
      </c>
    </row>
    <row r="34" spans="1:17" x14ac:dyDescent="0.45">
      <c r="A34" s="2"/>
      <c r="B34" s="2"/>
      <c r="C34" s="2"/>
      <c r="D34" s="2"/>
      <c r="E34" s="2"/>
      <c r="J34" s="32">
        <f t="shared" si="4"/>
        <v>37</v>
      </c>
      <c r="K34" s="27">
        <f t="shared" si="0"/>
        <v>0.96153846153846145</v>
      </c>
      <c r="L34" s="27" cm="1">
        <f t="array" ref="L34">IF(J34&lt;&gt;31,_xlfn.XLOOKUP(J34,IF(J34&gt;=32,$E$39:$E$160,$A$39:$A$160),_xlfn.IFS(J34&gt;=32,$D$39:$D$160,J34=30,$B$39:$B$160)),VLOOKUP(J34-1,$A$41:$C$121,3))</f>
        <v>1.0340900000000001E-3</v>
      </c>
      <c r="M34" s="27">
        <f t="shared" si="1"/>
        <v>0.99896591000000001</v>
      </c>
      <c r="N34" s="27">
        <f t="shared" si="2"/>
        <v>9.943173076923076E-4</v>
      </c>
      <c r="O34" s="27">
        <f t="shared" si="3"/>
        <v>0.96054414423076917</v>
      </c>
      <c r="P34" s="34">
        <f t="shared" si="5"/>
        <v>0.19144039798503967</v>
      </c>
      <c r="Q34" s="36">
        <f t="shared" si="6"/>
        <v>1.0843731406149556E-2</v>
      </c>
    </row>
    <row r="35" spans="1:17" x14ac:dyDescent="0.45">
      <c r="A35" s="1" t="s">
        <v>11</v>
      </c>
      <c r="B35" s="2"/>
      <c r="C35" s="2"/>
      <c r="D35" s="2"/>
      <c r="E35" s="2"/>
      <c r="J35" s="32">
        <f t="shared" si="4"/>
        <v>36</v>
      </c>
      <c r="K35" s="27">
        <f t="shared" si="0"/>
        <v>0.96153846153846145</v>
      </c>
      <c r="L35" s="27" cm="1">
        <f t="array" ref="L35">IF(J35&lt;&gt;31,_xlfn.XLOOKUP(J35,IF(J35&gt;=32,$E$39:$E$160,$A$39:$A$160),_xlfn.IFS(J35&gt;=32,$D$39:$D$160,J35=30,$B$39:$B$160)),VLOOKUP(J35-1,$A$41:$C$121,3))</f>
        <v>9.3663000000000004E-4</v>
      </c>
      <c r="M35" s="27">
        <f t="shared" si="1"/>
        <v>0.99906337000000001</v>
      </c>
      <c r="N35" s="27">
        <f t="shared" si="2"/>
        <v>9.0060576923076921E-4</v>
      </c>
      <c r="O35" s="27">
        <f t="shared" si="3"/>
        <v>0.96063785576923066</v>
      </c>
      <c r="P35" s="34">
        <f t="shared" si="5"/>
        <v>0.16089694476324909</v>
      </c>
      <c r="Q35" s="36">
        <f t="shared" si="6"/>
        <v>9.3225272023462497E-3</v>
      </c>
    </row>
    <row r="36" spans="1:17" x14ac:dyDescent="0.45">
      <c r="A36" s="2"/>
      <c r="B36" s="2"/>
      <c r="C36" s="2"/>
      <c r="D36" s="2"/>
      <c r="E36" s="2"/>
      <c r="J36" s="32">
        <f t="shared" si="4"/>
        <v>35</v>
      </c>
      <c r="K36" s="27">
        <f t="shared" si="0"/>
        <v>0.96153846153846145</v>
      </c>
      <c r="L36" s="27" cm="1">
        <f t="array" ref="L36">IF(J36&lt;&gt;31,_xlfn.XLOOKUP(J36,IF(J36&gt;=32,$E$39:$E$160,$A$39:$A$160),_xlfn.IFS(J36&gt;=32,$D$39:$D$160,J36=30,$B$39:$B$160)),VLOOKUP(J36-1,$A$41:$C$121,3))</f>
        <v>8.5576999999999995E-4</v>
      </c>
      <c r="M36" s="27">
        <f t="shared" si="1"/>
        <v>0.99914422999999997</v>
      </c>
      <c r="N36" s="27">
        <f t="shared" si="2"/>
        <v>8.2285576923076908E-4</v>
      </c>
      <c r="O36" s="27">
        <f t="shared" si="3"/>
        <v>0.96071560576923065</v>
      </c>
      <c r="P36" s="34">
        <f t="shared" si="5"/>
        <v>0.13149050708993573</v>
      </c>
      <c r="Q36" s="36">
        <f t="shared" si="6"/>
        <v>7.784175684307483E-3</v>
      </c>
    </row>
    <row r="37" spans="1:17" x14ac:dyDescent="0.45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16</v>
      </c>
      <c r="J37" s="32">
        <f t="shared" si="4"/>
        <v>34</v>
      </c>
      <c r="K37" s="27">
        <f t="shared" si="0"/>
        <v>0.96153846153846145</v>
      </c>
      <c r="L37" s="27" cm="1">
        <f t="array" ref="L37">IF(J37&lt;&gt;31,_xlfn.XLOOKUP(J37,IF(J37&gt;=32,$E$39:$E$160,$A$39:$A$160),_xlfn.IFS(J37&gt;=32,$D$39:$D$160,J37=30,$B$39:$B$160)),VLOOKUP(J37-1,$A$41:$C$121,3))</f>
        <v>7.9003999999999999E-4</v>
      </c>
      <c r="M37" s="27">
        <f t="shared" si="1"/>
        <v>0.99920995999999995</v>
      </c>
      <c r="N37" s="27">
        <f t="shared" si="2"/>
        <v>7.596538461538461E-4</v>
      </c>
      <c r="O37" s="27">
        <f t="shared" si="3"/>
        <v>0.96077880769230761</v>
      </c>
      <c r="P37" s="34">
        <f t="shared" si="5"/>
        <v>0.10318439203694088</v>
      </c>
      <c r="Q37" s="36">
        <f t="shared" si="6"/>
        <v>6.2435474255647487E-3</v>
      </c>
    </row>
    <row r="38" spans="1:17" x14ac:dyDescent="0.45">
      <c r="A38" s="1"/>
      <c r="B38" s="1" t="s">
        <v>11</v>
      </c>
      <c r="C38" s="1" t="s">
        <v>11</v>
      </c>
      <c r="D38" s="1" t="s">
        <v>11</v>
      </c>
      <c r="E38" s="1"/>
      <c r="J38" s="32">
        <f t="shared" si="4"/>
        <v>33</v>
      </c>
      <c r="K38" s="27">
        <f t="shared" si="0"/>
        <v>0.96153846153846145</v>
      </c>
      <c r="L38" s="27" cm="1">
        <f t="array" ref="L38">IF(J38&lt;&gt;31,_xlfn.XLOOKUP(J38,IF(J38&gt;=32,$E$39:$E$160,$A$39:$A$160),_xlfn.IFS(J38&gt;=32,$D$39:$D$160,J38=30,$B$39:$B$160)),VLOOKUP(J38-1,$A$41:$C$121,3))</f>
        <v>7.3813000000000004E-4</v>
      </c>
      <c r="M38" s="27">
        <f t="shared" si="1"/>
        <v>0.99926187</v>
      </c>
      <c r="N38" s="27">
        <f t="shared" si="2"/>
        <v>7.0974038461538462E-4</v>
      </c>
      <c r="O38" s="27">
        <f t="shared" si="3"/>
        <v>0.9608287211538461</v>
      </c>
      <c r="P38" s="34">
        <f t="shared" si="5"/>
        <v>7.5943713394568069E-2</v>
      </c>
      <c r="Q38" s="36">
        <f t="shared" si="6"/>
        <v>4.713742619558656E-3</v>
      </c>
    </row>
    <row r="39" spans="1:17" x14ac:dyDescent="0.45">
      <c r="A39" s="1"/>
      <c r="B39" s="1"/>
      <c r="C39" s="1"/>
      <c r="D39" s="3">
        <v>7.2999999999999996E-4</v>
      </c>
      <c r="E39" s="1">
        <v>0</v>
      </c>
      <c r="J39" s="32">
        <f t="shared" si="4"/>
        <v>32</v>
      </c>
      <c r="K39" s="27">
        <f t="shared" si="0"/>
        <v>0.96153846153846145</v>
      </c>
      <c r="L39" s="27" cm="1">
        <f t="array" ref="L39">IF(J39&lt;&gt;31,_xlfn.XLOOKUP(J39,IF(J39&gt;=32,$E$39:$E$160,$A$39:$A$160),_xlfn.IFS(J39&gt;=32,$D$39:$D$160,J39=30,$B$39:$B$160)),VLOOKUP(J39-1,$A$41:$C$121,3))</f>
        <v>6.9881999999999995E-4</v>
      </c>
      <c r="M39" s="27">
        <f t="shared" si="1"/>
        <v>0.99930118000000001</v>
      </c>
      <c r="N39" s="27">
        <f t="shared" si="2"/>
        <v>6.7194230769230764E-4</v>
      </c>
      <c r="O39" s="27">
        <f t="shared" si="3"/>
        <v>0.96086651923076916</v>
      </c>
      <c r="P39" s="34">
        <f t="shared" si="5"/>
        <v>4.9735159420651744E-2</v>
      </c>
      <c r="Q39" s="36">
        <f t="shared" si="6"/>
        <v>3.2062423176718678E-3</v>
      </c>
    </row>
    <row r="40" spans="1:17" x14ac:dyDescent="0.45">
      <c r="A40" s="1"/>
      <c r="B40" s="1"/>
      <c r="C40" s="1"/>
      <c r="D40" s="3">
        <v>6.8000000000000005E-4</v>
      </c>
      <c r="E40" s="1">
        <v>1</v>
      </c>
      <c r="J40" s="32">
        <f t="shared" si="4"/>
        <v>31</v>
      </c>
      <c r="K40" s="27">
        <f t="shared" si="0"/>
        <v>0.96153846153846145</v>
      </c>
      <c r="L40" s="27" cm="1">
        <f t="array" ref="L40">IF(J40&lt;&gt;31,_xlfn.XLOOKUP(J40,IF(J40&gt;=32,$E$39:$E$160,$A$39:$A$160),_xlfn.IFS(J40&gt;=32,$D$39:$D$160,J40=30,$B$39:$B$160)),VLOOKUP(J40-1,$A$41:$C$121,3))</f>
        <v>5.7370999999999995E-4</v>
      </c>
      <c r="M40" s="27">
        <f t="shared" si="1"/>
        <v>0.99942629000000005</v>
      </c>
      <c r="N40" s="27">
        <f t="shared" si="2"/>
        <v>5.5164423076923066E-4</v>
      </c>
      <c r="O40" s="27">
        <f t="shared" si="3"/>
        <v>0.96098681730769231</v>
      </c>
      <c r="P40" s="34">
        <f t="shared" si="5"/>
        <v>2.4437922356773722E-2</v>
      </c>
      <c r="Q40" s="36">
        <f t="shared" si="6"/>
        <v>1.6378233777204643E-3</v>
      </c>
    </row>
    <row r="41" spans="1:17" x14ac:dyDescent="0.45">
      <c r="A41" s="1">
        <v>0</v>
      </c>
      <c r="B41" s="3">
        <v>5.8E-4</v>
      </c>
      <c r="C41" s="3">
        <v>6.0999999999999997E-4</v>
      </c>
      <c r="D41" s="3">
        <v>6.3000000000000003E-4</v>
      </c>
      <c r="E41" s="1">
        <v>2</v>
      </c>
      <c r="J41" s="33">
        <f t="shared" si="4"/>
        <v>30</v>
      </c>
      <c r="K41" s="28">
        <f t="shared" si="0"/>
        <v>0.96153846153846145</v>
      </c>
      <c r="L41" s="28" cm="1">
        <f t="array" ref="L41">IF(J41&lt;&gt;31,_xlfn.XLOOKUP(J41,IF(J41&gt;=32,$E$39:$E$160,$A$39:$A$160),_xlfn.IFS(J41&gt;=32,$D$39:$D$160,J41=30,$B$39:$B$160)),VLOOKUP(J41-1,$A$41:$C$121,3))</f>
        <v>4.3766999999999998E-4</v>
      </c>
      <c r="M41" s="28">
        <f t="shared" si="1"/>
        <v>0.99956233000000005</v>
      </c>
      <c r="N41" s="28">
        <f t="shared" si="2"/>
        <v>4.2083653846153839E-4</v>
      </c>
      <c r="O41" s="28">
        <f t="shared" si="3"/>
        <v>0.96111762499999998</v>
      </c>
      <c r="P41" s="35">
        <f t="shared" si="5"/>
        <v>0</v>
      </c>
      <c r="Q41" s="37">
        <f t="shared" si="6"/>
        <v>2.1553939189011828E-16</v>
      </c>
    </row>
    <row r="42" spans="1:17" x14ac:dyDescent="0.45">
      <c r="A42" s="1">
        <v>1</v>
      </c>
      <c r="B42" s="3">
        <v>5.4000000000000001E-4</v>
      </c>
      <c r="C42" s="3">
        <v>5.6999999999999998E-4</v>
      </c>
      <c r="D42" s="3">
        <v>5.8E-4</v>
      </c>
      <c r="E42" s="1">
        <v>3</v>
      </c>
    </row>
    <row r="43" spans="1:17" x14ac:dyDescent="0.45">
      <c r="A43" s="1">
        <v>2</v>
      </c>
      <c r="B43" s="3">
        <v>5.0000000000000001E-4</v>
      </c>
      <c r="C43" s="3">
        <v>5.1999999999999995E-4</v>
      </c>
      <c r="D43" s="3">
        <v>5.2999999999999998E-4</v>
      </c>
      <c r="E43" s="1">
        <v>4</v>
      </c>
    </row>
    <row r="44" spans="1:17" x14ac:dyDescent="0.45">
      <c r="A44" s="1">
        <v>3</v>
      </c>
      <c r="B44" s="3">
        <v>4.6000000000000001E-4</v>
      </c>
      <c r="C44" s="3">
        <v>4.8000000000000001E-4</v>
      </c>
      <c r="D44" s="3">
        <v>4.8999999999999998E-4</v>
      </c>
      <c r="E44" s="1">
        <v>5</v>
      </c>
    </row>
    <row r="45" spans="1:17" x14ac:dyDescent="0.45">
      <c r="A45" s="1">
        <v>4</v>
      </c>
      <c r="B45" s="3">
        <v>4.2000000000000002E-4</v>
      </c>
      <c r="C45" s="3">
        <v>4.4000000000000002E-4</v>
      </c>
      <c r="D45" s="3">
        <v>4.4999999999999999E-4</v>
      </c>
      <c r="E45" s="1">
        <v>6</v>
      </c>
    </row>
    <row r="46" spans="1:17" x14ac:dyDescent="0.45">
      <c r="A46" s="1">
        <v>5</v>
      </c>
      <c r="B46" s="3">
        <v>3.8999999999999999E-4</v>
      </c>
      <c r="C46" s="3">
        <v>4.0999999999999999E-4</v>
      </c>
      <c r="D46" s="3">
        <v>4.2000000000000002E-4</v>
      </c>
      <c r="E46" s="1">
        <v>7</v>
      </c>
    </row>
    <row r="47" spans="1:17" x14ac:dyDescent="0.45">
      <c r="A47" s="1">
        <v>6</v>
      </c>
      <c r="B47" s="3">
        <v>3.6000000000000002E-4</v>
      </c>
      <c r="C47" s="3">
        <v>3.8000000000000002E-4</v>
      </c>
      <c r="D47" s="3">
        <v>4.0000000000000002E-4</v>
      </c>
      <c r="E47" s="1">
        <v>8</v>
      </c>
    </row>
    <row r="48" spans="1:17" x14ac:dyDescent="0.45">
      <c r="A48" s="1">
        <v>7</v>
      </c>
      <c r="B48" s="3">
        <v>3.4000000000000002E-4</v>
      </c>
      <c r="C48" s="3">
        <v>3.6000000000000002E-4</v>
      </c>
      <c r="D48" s="3">
        <v>3.8000000000000002E-4</v>
      </c>
      <c r="E48" s="1">
        <v>9</v>
      </c>
    </row>
    <row r="49" spans="1:5" x14ac:dyDescent="0.45">
      <c r="A49" s="1">
        <v>8</v>
      </c>
      <c r="B49" s="3">
        <v>3.2000000000000003E-4</v>
      </c>
      <c r="C49" s="3">
        <v>3.4000000000000002E-4</v>
      </c>
      <c r="D49" s="3">
        <v>3.6999999999999999E-4</v>
      </c>
      <c r="E49" s="1">
        <v>10</v>
      </c>
    </row>
    <row r="50" spans="1:5" x14ac:dyDescent="0.45">
      <c r="A50" s="1">
        <v>9</v>
      </c>
      <c r="B50" s="3">
        <v>2.9999999999999997E-4</v>
      </c>
      <c r="C50" s="3">
        <v>3.3E-4</v>
      </c>
      <c r="D50" s="3">
        <v>3.6999999999999999E-4</v>
      </c>
      <c r="E50" s="1">
        <v>11</v>
      </c>
    </row>
    <row r="51" spans="1:5" x14ac:dyDescent="0.45">
      <c r="A51" s="1">
        <v>10</v>
      </c>
      <c r="B51" s="3">
        <v>2.9999999999999997E-4</v>
      </c>
      <c r="C51" s="3">
        <v>3.3E-4</v>
      </c>
      <c r="D51" s="3">
        <v>3.6999999999999999E-4</v>
      </c>
      <c r="E51" s="1">
        <v>12</v>
      </c>
    </row>
    <row r="52" spans="1:5" x14ac:dyDescent="0.45">
      <c r="A52" s="1">
        <v>11</v>
      </c>
      <c r="B52" s="3">
        <v>2.9999999999999997E-4</v>
      </c>
      <c r="C52" s="3">
        <v>3.3E-4</v>
      </c>
      <c r="D52" s="3">
        <v>4.0000000000000002E-4</v>
      </c>
      <c r="E52" s="1">
        <v>13</v>
      </c>
    </row>
    <row r="53" spans="1:5" x14ac:dyDescent="0.45">
      <c r="A53" s="1">
        <v>12</v>
      </c>
      <c r="B53" s="3">
        <v>2.9999999999999997E-4</v>
      </c>
      <c r="C53" s="3">
        <v>3.6000000000000002E-4</v>
      </c>
      <c r="D53" s="3">
        <v>4.6999999999999999E-4</v>
      </c>
      <c r="E53" s="1">
        <v>14</v>
      </c>
    </row>
    <row r="54" spans="1:5" x14ac:dyDescent="0.45">
      <c r="A54" s="1">
        <v>13</v>
      </c>
      <c r="B54" s="3">
        <v>3.2000000000000003E-4</v>
      </c>
      <c r="C54" s="3">
        <v>4.2000000000000002E-4</v>
      </c>
      <c r="D54" s="3">
        <v>6.0999999999999997E-4</v>
      </c>
      <c r="E54" s="1">
        <v>15</v>
      </c>
    </row>
    <row r="55" spans="1:5" x14ac:dyDescent="0.45">
      <c r="A55" s="1">
        <v>14</v>
      </c>
      <c r="B55" s="3">
        <v>3.8000000000000002E-4</v>
      </c>
      <c r="C55" s="3">
        <v>5.5000000000000003E-4</v>
      </c>
      <c r="D55" s="3">
        <v>8.0999999999999996E-4</v>
      </c>
      <c r="E55" s="1">
        <v>16</v>
      </c>
    </row>
    <row r="56" spans="1:5" x14ac:dyDescent="0.45">
      <c r="A56" s="1">
        <v>15</v>
      </c>
      <c r="B56" s="3">
        <v>4.8999999999999998E-4</v>
      </c>
      <c r="C56" s="3">
        <v>7.2999999999999996E-4</v>
      </c>
      <c r="D56" s="3">
        <v>1.0553800000000001E-3</v>
      </c>
      <c r="E56" s="1">
        <v>17</v>
      </c>
    </row>
    <row r="57" spans="1:5" x14ac:dyDescent="0.45">
      <c r="A57" s="1">
        <v>16</v>
      </c>
      <c r="B57" s="3">
        <v>6.4999999999999997E-4</v>
      </c>
      <c r="C57" s="3">
        <v>9.588E-4</v>
      </c>
      <c r="D57" s="3">
        <v>9.968100000000001E-4</v>
      </c>
      <c r="E57" s="1">
        <v>18</v>
      </c>
    </row>
    <row r="58" spans="1:5" x14ac:dyDescent="0.45">
      <c r="A58" s="1">
        <v>17</v>
      </c>
      <c r="B58" s="3">
        <v>8.3858999999999995E-4</v>
      </c>
      <c r="C58" s="3">
        <v>8.9716000000000004E-4</v>
      </c>
      <c r="D58" s="3">
        <v>9.4140000000000001E-4</v>
      </c>
      <c r="E58" s="1">
        <v>19</v>
      </c>
    </row>
    <row r="59" spans="1:5" x14ac:dyDescent="0.45">
      <c r="A59" s="1">
        <v>18</v>
      </c>
      <c r="B59" s="3">
        <v>7.7521999999999997E-4</v>
      </c>
      <c r="C59" s="3">
        <v>8.3951000000000002E-4</v>
      </c>
      <c r="D59" s="3">
        <v>8.8946999999999995E-4</v>
      </c>
      <c r="E59" s="1">
        <v>20</v>
      </c>
    </row>
    <row r="60" spans="1:5" x14ac:dyDescent="0.45">
      <c r="A60" s="1">
        <v>19</v>
      </c>
      <c r="B60" s="3">
        <v>7.1637000000000003E-4</v>
      </c>
      <c r="C60" s="3">
        <v>7.8611000000000002E-4</v>
      </c>
      <c r="D60" s="3">
        <v>8.4133999999999999E-4</v>
      </c>
      <c r="E60" s="1">
        <v>21</v>
      </c>
    </row>
    <row r="61" spans="1:5" x14ac:dyDescent="0.45">
      <c r="A61" s="1">
        <v>20</v>
      </c>
      <c r="B61" s="3">
        <v>6.6228000000000001E-4</v>
      </c>
      <c r="C61" s="3">
        <v>7.3724000000000001E-4</v>
      </c>
      <c r="D61" s="3">
        <v>7.9739000000000003E-4</v>
      </c>
      <c r="E61" s="1">
        <v>22</v>
      </c>
    </row>
    <row r="62" spans="1:5" x14ac:dyDescent="0.45">
      <c r="A62" s="1">
        <v>21</v>
      </c>
      <c r="B62" s="3">
        <v>6.1315999999999996E-4</v>
      </c>
      <c r="C62" s="3">
        <v>6.9319E-4</v>
      </c>
      <c r="D62" s="3">
        <v>7.5801000000000004E-4</v>
      </c>
      <c r="E62" s="1">
        <v>23</v>
      </c>
    </row>
    <row r="63" spans="1:5" x14ac:dyDescent="0.45">
      <c r="A63" s="1">
        <v>22</v>
      </c>
      <c r="B63" s="3">
        <v>5.6924000000000005E-4</v>
      </c>
      <c r="C63" s="3">
        <v>6.5428999999999997E-4</v>
      </c>
      <c r="D63" s="3">
        <v>7.2365999999999999E-4</v>
      </c>
      <c r="E63" s="1">
        <v>24</v>
      </c>
    </row>
    <row r="64" spans="1:5" x14ac:dyDescent="0.45">
      <c r="A64" s="1">
        <v>23</v>
      </c>
      <c r="B64" s="3">
        <v>5.3078999999999995E-4</v>
      </c>
      <c r="C64" s="3">
        <v>6.2087000000000004E-4</v>
      </c>
      <c r="D64" s="3">
        <v>6.9481000000000002E-4</v>
      </c>
      <c r="E64" s="1">
        <v>25</v>
      </c>
    </row>
    <row r="65" spans="1:5" x14ac:dyDescent="0.45">
      <c r="A65" s="1">
        <v>24</v>
      </c>
      <c r="B65" s="3">
        <v>4.9804000000000005E-4</v>
      </c>
      <c r="C65" s="3">
        <v>5.9327999999999996E-4</v>
      </c>
      <c r="D65" s="3">
        <v>6.7201000000000001E-4</v>
      </c>
      <c r="E65" s="1">
        <v>26</v>
      </c>
    </row>
    <row r="66" spans="1:5" x14ac:dyDescent="0.45">
      <c r="A66" s="1">
        <v>25</v>
      </c>
      <c r="B66" s="3">
        <v>4.7129000000000002E-4</v>
      </c>
      <c r="C66" s="3">
        <v>5.7193000000000001E-4</v>
      </c>
      <c r="D66" s="3">
        <v>6.5581999999999999E-4</v>
      </c>
      <c r="E66" s="1">
        <v>27</v>
      </c>
    </row>
    <row r="67" spans="1:5" x14ac:dyDescent="0.45">
      <c r="A67" s="1">
        <v>26</v>
      </c>
      <c r="B67" s="3">
        <v>4.5080000000000001E-4</v>
      </c>
      <c r="C67" s="3">
        <v>5.5719999999999999E-4</v>
      </c>
      <c r="D67" s="3">
        <v>6.4689000000000001E-4</v>
      </c>
      <c r="E67" s="1">
        <v>28</v>
      </c>
    </row>
    <row r="68" spans="1:5" x14ac:dyDescent="0.45">
      <c r="A68" s="1">
        <v>27</v>
      </c>
      <c r="B68" s="3">
        <v>4.3688E-4</v>
      </c>
      <c r="C68" s="3">
        <v>5.4953999999999995E-4</v>
      </c>
      <c r="D68" s="3">
        <v>6.4592000000000002E-4</v>
      </c>
      <c r="E68" s="1">
        <v>29</v>
      </c>
    </row>
    <row r="69" spans="1:5" x14ac:dyDescent="0.45">
      <c r="A69" s="1">
        <v>28</v>
      </c>
      <c r="B69" s="3">
        <v>4.2983000000000002E-4</v>
      </c>
      <c r="C69" s="3">
        <v>5.4940000000000002E-4</v>
      </c>
      <c r="D69" s="3">
        <v>6.5368000000000002E-4</v>
      </c>
      <c r="E69" s="1">
        <v>30</v>
      </c>
    </row>
    <row r="70" spans="1:5" x14ac:dyDescent="0.45">
      <c r="A70" s="1">
        <v>29</v>
      </c>
      <c r="B70" s="3">
        <v>4.2998E-4</v>
      </c>
      <c r="C70" s="3">
        <v>5.5727999999999995E-4</v>
      </c>
      <c r="D70" s="3">
        <v>6.7100999999999999E-4</v>
      </c>
      <c r="E70" s="1">
        <v>31</v>
      </c>
    </row>
    <row r="71" spans="1:5" x14ac:dyDescent="0.45">
      <c r="A71" s="1">
        <v>30</v>
      </c>
      <c r="B71" s="3">
        <v>4.3766999999999998E-4</v>
      </c>
      <c r="C71" s="3">
        <v>5.7370999999999995E-4</v>
      </c>
      <c r="D71" s="3">
        <v>6.9881999999999995E-4</v>
      </c>
      <c r="E71" s="1">
        <v>32</v>
      </c>
    </row>
    <row r="72" spans="1:5" x14ac:dyDescent="0.45">
      <c r="A72" s="1">
        <v>31</v>
      </c>
      <c r="B72" s="3">
        <v>4.5325999999999998E-4</v>
      </c>
      <c r="C72" s="3">
        <v>5.9924000000000002E-4</v>
      </c>
      <c r="D72" s="3">
        <v>7.3813000000000004E-4</v>
      </c>
      <c r="E72" s="1">
        <v>33</v>
      </c>
    </row>
    <row r="73" spans="1:5" x14ac:dyDescent="0.45">
      <c r="A73" s="1">
        <v>32</v>
      </c>
      <c r="B73" s="3">
        <v>4.7710999999999999E-4</v>
      </c>
      <c r="C73" s="3">
        <v>6.3445999999999999E-4</v>
      </c>
      <c r="D73" s="3">
        <v>7.9003999999999999E-4</v>
      </c>
      <c r="E73" s="1">
        <v>34</v>
      </c>
    </row>
    <row r="74" spans="1:5" x14ac:dyDescent="0.45">
      <c r="A74" s="1">
        <v>33</v>
      </c>
      <c r="B74" s="3">
        <v>5.0960999999999997E-4</v>
      </c>
      <c r="C74" s="3">
        <v>6.8000999999999999E-4</v>
      </c>
      <c r="D74" s="3">
        <v>8.5576999999999995E-4</v>
      </c>
      <c r="E74" s="1">
        <v>35</v>
      </c>
    </row>
    <row r="75" spans="1:5" x14ac:dyDescent="0.45">
      <c r="A75" s="1">
        <v>34</v>
      </c>
      <c r="B75" s="3">
        <v>5.5117000000000002E-4</v>
      </c>
      <c r="C75" s="3">
        <v>7.3654999999999999E-4</v>
      </c>
      <c r="D75" s="3">
        <v>9.3663000000000004E-4</v>
      </c>
      <c r="E75" s="1">
        <v>36</v>
      </c>
    </row>
    <row r="76" spans="1:5" x14ac:dyDescent="0.45">
      <c r="A76" s="1">
        <v>35</v>
      </c>
      <c r="B76" s="3">
        <v>6.0221999999999999E-4</v>
      </c>
      <c r="C76" s="3">
        <v>8.0480999999999999E-4</v>
      </c>
      <c r="D76" s="3">
        <v>1.0340900000000001E-3</v>
      </c>
      <c r="E76" s="1">
        <v>37</v>
      </c>
    </row>
    <row r="77" spans="1:5" x14ac:dyDescent="0.45">
      <c r="A77" s="1">
        <v>36</v>
      </c>
      <c r="B77" s="3">
        <v>6.6319999999999997E-4</v>
      </c>
      <c r="C77" s="3">
        <v>8.8553999999999998E-4</v>
      </c>
      <c r="D77" s="3">
        <v>1.1497300000000001E-3</v>
      </c>
      <c r="E77" s="1">
        <v>38</v>
      </c>
    </row>
    <row r="78" spans="1:5" x14ac:dyDescent="0.45">
      <c r="A78" s="1">
        <v>37</v>
      </c>
      <c r="B78" s="3">
        <v>7.3457000000000004E-4</v>
      </c>
      <c r="C78" s="3">
        <v>9.7955999999999998E-4</v>
      </c>
      <c r="D78" s="3">
        <v>1.28528E-3</v>
      </c>
      <c r="E78" s="1">
        <v>39</v>
      </c>
    </row>
    <row r="79" spans="1:5" x14ac:dyDescent="0.45">
      <c r="A79" s="1">
        <v>38</v>
      </c>
      <c r="B79" s="3">
        <v>8.1682E-4</v>
      </c>
      <c r="C79" s="3">
        <v>1.0877199999999999E-3</v>
      </c>
      <c r="D79" s="3">
        <v>1.4426700000000001E-3</v>
      </c>
      <c r="E79" s="1">
        <v>40</v>
      </c>
    </row>
    <row r="80" spans="1:5" x14ac:dyDescent="0.45">
      <c r="A80" s="1">
        <v>39</v>
      </c>
      <c r="B80" s="3">
        <v>9.1045999999999998E-4</v>
      </c>
      <c r="C80" s="3">
        <v>1.2109499999999999E-3</v>
      </c>
      <c r="D80" s="3">
        <v>1.62396E-3</v>
      </c>
      <c r="E80" s="1">
        <v>41</v>
      </c>
    </row>
    <row r="81" spans="1:5" x14ac:dyDescent="0.45">
      <c r="A81" s="1">
        <v>40</v>
      </c>
      <c r="B81" s="3">
        <v>1.0160099999999999E-3</v>
      </c>
      <c r="C81" s="3">
        <v>1.3502099999999999E-3</v>
      </c>
      <c r="D81" s="3">
        <v>1.8314500000000001E-3</v>
      </c>
      <c r="E81" s="1">
        <v>42</v>
      </c>
    </row>
    <row r="82" spans="1:5" x14ac:dyDescent="0.45">
      <c r="A82" s="1">
        <v>41</v>
      </c>
      <c r="B82" s="3">
        <v>1.13404E-3</v>
      </c>
      <c r="C82" s="3">
        <v>1.50654E-3</v>
      </c>
      <c r="D82" s="3">
        <v>2.06763E-3</v>
      </c>
      <c r="E82" s="1">
        <v>43</v>
      </c>
    </row>
    <row r="83" spans="1:5" x14ac:dyDescent="0.45">
      <c r="A83" s="1">
        <v>42</v>
      </c>
      <c r="B83" s="3">
        <v>1.26512E-3</v>
      </c>
      <c r="C83" s="3">
        <v>1.6810499999999999E-3</v>
      </c>
      <c r="D83" s="3">
        <v>2.3352300000000002E-3</v>
      </c>
      <c r="E83" s="1">
        <v>44</v>
      </c>
    </row>
    <row r="84" spans="1:5" x14ac:dyDescent="0.45">
      <c r="A84" s="1">
        <v>43</v>
      </c>
      <c r="B84" s="3">
        <v>1.40986E-3</v>
      </c>
      <c r="C84" s="3">
        <v>1.8749000000000001E-3</v>
      </c>
      <c r="D84" s="3">
        <v>2.63723E-3</v>
      </c>
      <c r="E84" s="1">
        <v>45</v>
      </c>
    </row>
    <row r="85" spans="1:5" x14ac:dyDescent="0.45">
      <c r="A85" s="1">
        <v>44</v>
      </c>
      <c r="B85" s="3">
        <v>1.5688900000000001E-3</v>
      </c>
      <c r="C85" s="3">
        <v>2.0893499999999998E-3</v>
      </c>
      <c r="D85" s="3">
        <v>2.9769100000000001E-3</v>
      </c>
      <c r="E85" s="1">
        <v>46</v>
      </c>
    </row>
    <row r="86" spans="1:5" x14ac:dyDescent="0.45">
      <c r="A86" s="1">
        <v>45</v>
      </c>
      <c r="B86" s="3">
        <v>1.74288E-3</v>
      </c>
      <c r="C86" s="3">
        <v>2.3257099999999999E-3</v>
      </c>
      <c r="D86" s="3">
        <v>3.35783E-3</v>
      </c>
      <c r="E86" s="1">
        <v>47</v>
      </c>
    </row>
    <row r="87" spans="1:5" x14ac:dyDescent="0.45">
      <c r="A87" s="1">
        <v>46</v>
      </c>
      <c r="B87" s="3">
        <v>1.9325099999999999E-3</v>
      </c>
      <c r="C87" s="3">
        <v>2.5853899999999999E-3</v>
      </c>
      <c r="D87" s="3">
        <v>3.7838799999999999E-3</v>
      </c>
      <c r="E87" s="1">
        <v>48</v>
      </c>
    </row>
    <row r="88" spans="1:5" x14ac:dyDescent="0.45">
      <c r="A88" s="1">
        <v>47</v>
      </c>
      <c r="B88" s="3">
        <v>2.1385100000000002E-3</v>
      </c>
      <c r="C88" s="3">
        <v>2.8698899999999999E-3</v>
      </c>
      <c r="D88" s="3">
        <v>4.2593199999999996E-3</v>
      </c>
      <c r="E88" s="1">
        <v>49</v>
      </c>
    </row>
    <row r="89" spans="1:5" x14ac:dyDescent="0.45">
      <c r="A89" s="1">
        <v>48</v>
      </c>
      <c r="B89" s="3">
        <v>2.36163E-3</v>
      </c>
      <c r="C89" s="3">
        <v>3.1807900000000002E-3</v>
      </c>
      <c r="D89" s="3">
        <v>4.7888000000000002E-3</v>
      </c>
      <c r="E89" s="1">
        <v>50</v>
      </c>
    </row>
    <row r="90" spans="1:5" x14ac:dyDescent="0.45">
      <c r="A90" s="1">
        <v>49</v>
      </c>
      <c r="B90" s="3">
        <v>2.6026600000000001E-3</v>
      </c>
      <c r="C90" s="3">
        <v>3.5197900000000001E-3</v>
      </c>
      <c r="D90" s="3">
        <v>5.3774000000000001E-3</v>
      </c>
      <c r="E90" s="1">
        <v>51</v>
      </c>
    </row>
    <row r="91" spans="1:5" x14ac:dyDescent="0.45">
      <c r="A91" s="1">
        <v>50</v>
      </c>
      <c r="B91" s="3">
        <v>2.86243E-3</v>
      </c>
      <c r="C91" s="3">
        <v>3.8886599999999999E-3</v>
      </c>
      <c r="D91" s="3">
        <v>6.0306400000000003E-3</v>
      </c>
      <c r="E91" s="1">
        <v>52</v>
      </c>
    </row>
    <row r="92" spans="1:5" x14ac:dyDescent="0.45">
      <c r="A92" s="1">
        <v>51</v>
      </c>
      <c r="B92" s="3">
        <v>3.1417799999999998E-3</v>
      </c>
      <c r="C92" s="3">
        <v>4.2893100000000002E-3</v>
      </c>
      <c r="D92" s="3">
        <v>6.7545599999999997E-3</v>
      </c>
      <c r="E92" s="1">
        <v>53</v>
      </c>
    </row>
    <row r="93" spans="1:5" x14ac:dyDescent="0.45">
      <c r="A93" s="1">
        <v>52</v>
      </c>
      <c r="B93" s="3">
        <v>3.4416199999999998E-3</v>
      </c>
      <c r="C93" s="3">
        <v>4.7237499999999997E-3</v>
      </c>
      <c r="D93" s="3">
        <v>7.5557200000000001E-3</v>
      </c>
      <c r="E93" s="1">
        <v>54</v>
      </c>
    </row>
    <row r="94" spans="1:5" x14ac:dyDescent="0.45">
      <c r="A94" s="1">
        <v>53</v>
      </c>
      <c r="B94" s="3">
        <v>3.7628800000000001E-3</v>
      </c>
      <c r="C94" s="3">
        <v>5.1941299999999999E-3</v>
      </c>
      <c r="D94" s="3">
        <v>8.4412800000000007E-3</v>
      </c>
      <c r="E94" s="1">
        <v>55</v>
      </c>
    </row>
    <row r="95" spans="1:5" x14ac:dyDescent="0.45">
      <c r="A95" s="1">
        <v>54</v>
      </c>
      <c r="B95" s="3">
        <v>4.1065399999999997E-3</v>
      </c>
      <c r="C95" s="3">
        <v>5.7027099999999997E-3</v>
      </c>
      <c r="D95" s="3">
        <v>9.4190200000000002E-3</v>
      </c>
      <c r="E95" s="1">
        <v>56</v>
      </c>
    </row>
    <row r="96" spans="1:5" x14ac:dyDescent="0.45">
      <c r="A96" s="1">
        <v>55</v>
      </c>
      <c r="B96" s="3">
        <v>4.4736200000000002E-3</v>
      </c>
      <c r="C96" s="3">
        <v>6.2519000000000003E-3</v>
      </c>
      <c r="D96" s="3">
        <v>1.049742E-2</v>
      </c>
      <c r="E96" s="1">
        <v>57</v>
      </c>
    </row>
    <row r="97" spans="1:5" x14ac:dyDescent="0.45">
      <c r="A97" s="1">
        <v>56</v>
      </c>
      <c r="B97" s="3">
        <v>4.8651700000000003E-3</v>
      </c>
      <c r="C97" s="3">
        <v>6.8442399999999997E-3</v>
      </c>
      <c r="D97" s="3">
        <v>1.168566E-2</v>
      </c>
      <c r="E97" s="1">
        <v>58</v>
      </c>
    </row>
    <row r="98" spans="1:5" x14ac:dyDescent="0.45">
      <c r="A98" s="1">
        <v>57</v>
      </c>
      <c r="B98" s="3">
        <v>5.2823100000000001E-3</v>
      </c>
      <c r="C98" s="3">
        <v>7.4824499999999999E-3</v>
      </c>
      <c r="D98" s="3">
        <v>1.299373E-2</v>
      </c>
      <c r="E98" s="1">
        <v>59</v>
      </c>
    </row>
    <row r="99" spans="1:5" x14ac:dyDescent="0.45">
      <c r="A99" s="1">
        <v>58</v>
      </c>
      <c r="B99" s="3">
        <v>5.7261999999999999E-3</v>
      </c>
      <c r="C99" s="3">
        <v>8.1693800000000004E-3</v>
      </c>
      <c r="D99" s="3">
        <v>1.4432459999999999E-2</v>
      </c>
      <c r="E99" s="1">
        <v>60</v>
      </c>
    </row>
    <row r="100" spans="1:5" x14ac:dyDescent="0.45">
      <c r="A100" s="1">
        <v>59</v>
      </c>
      <c r="B100" s="3">
        <v>6.1980200000000003E-3</v>
      </c>
      <c r="C100" s="3">
        <v>8.9080500000000007E-3</v>
      </c>
      <c r="D100" s="3">
        <v>1.601356E-2</v>
      </c>
      <c r="E100" s="1">
        <v>61</v>
      </c>
    </row>
    <row r="101" spans="1:5" x14ac:dyDescent="0.45">
      <c r="A101" s="1">
        <v>60</v>
      </c>
      <c r="B101" s="3">
        <v>6.6990399999999999E-3</v>
      </c>
      <c r="C101" s="3">
        <v>9.7016800000000007E-3</v>
      </c>
      <c r="D101" s="3">
        <v>1.774972E-2</v>
      </c>
      <c r="E101" s="1">
        <v>62</v>
      </c>
    </row>
    <row r="102" spans="1:5" x14ac:dyDescent="0.45">
      <c r="A102" s="1">
        <v>61</v>
      </c>
      <c r="B102" s="3">
        <v>7.2305700000000004E-3</v>
      </c>
      <c r="C102" s="3">
        <v>1.0553649999999999E-2</v>
      </c>
      <c r="D102" s="3">
        <v>1.9654640000000001E-2</v>
      </c>
      <c r="E102" s="1">
        <v>63</v>
      </c>
    </row>
    <row r="103" spans="1:5" x14ac:dyDescent="0.45">
      <c r="A103" s="1">
        <v>62</v>
      </c>
      <c r="B103" s="3">
        <v>7.7939699999999999E-3</v>
      </c>
      <c r="C103" s="3">
        <v>1.146756E-2</v>
      </c>
      <c r="D103" s="3">
        <v>2.1743100000000001E-2</v>
      </c>
      <c r="E103" s="1">
        <v>64</v>
      </c>
    </row>
    <row r="104" spans="1:5" x14ac:dyDescent="0.45">
      <c r="A104" s="1">
        <v>63</v>
      </c>
      <c r="B104" s="3">
        <v>8.3906499999999995E-3</v>
      </c>
      <c r="C104" s="3">
        <v>1.244719E-2</v>
      </c>
      <c r="D104" s="3">
        <v>2.4031009999999998E-2</v>
      </c>
      <c r="E104" s="1">
        <v>65</v>
      </c>
    </row>
    <row r="105" spans="1:5" x14ac:dyDescent="0.45">
      <c r="A105" s="1">
        <v>64</v>
      </c>
      <c r="B105" s="3">
        <v>9.02209E-3</v>
      </c>
      <c r="C105" s="3">
        <v>1.349653E-2</v>
      </c>
      <c r="D105" s="3">
        <v>2.65355E-2</v>
      </c>
      <c r="E105" s="1">
        <v>66</v>
      </c>
    </row>
    <row r="106" spans="1:5" x14ac:dyDescent="0.45">
      <c r="A106" s="1">
        <v>65</v>
      </c>
      <c r="B106" s="3">
        <v>9.68982E-3</v>
      </c>
      <c r="C106" s="3">
        <v>1.461982E-2</v>
      </c>
      <c r="D106" s="3">
        <v>2.9274910000000001E-2</v>
      </c>
      <c r="E106" s="1">
        <v>67</v>
      </c>
    </row>
    <row r="107" spans="1:5" x14ac:dyDescent="0.45">
      <c r="A107" s="1">
        <v>66</v>
      </c>
      <c r="B107" s="3">
        <v>1.0395450000000001E-2</v>
      </c>
      <c r="C107" s="3">
        <v>1.5821499999999999E-2</v>
      </c>
      <c r="D107" s="3">
        <v>3.2268900000000003E-2</v>
      </c>
      <c r="E107" s="1">
        <v>68</v>
      </c>
    </row>
    <row r="108" spans="1:5" x14ac:dyDescent="0.45">
      <c r="A108" s="1">
        <v>67</v>
      </c>
      <c r="B108" s="3">
        <v>1.114064E-2</v>
      </c>
      <c r="C108" s="3">
        <v>1.7106280000000001E-2</v>
      </c>
      <c r="D108" s="3">
        <v>3.5538460000000001E-2</v>
      </c>
      <c r="E108" s="1">
        <v>69</v>
      </c>
    </row>
    <row r="109" spans="1:5" x14ac:dyDescent="0.45">
      <c r="A109" s="1">
        <v>68</v>
      </c>
      <c r="B109" s="3">
        <v>1.19271E-2</v>
      </c>
      <c r="C109" s="3">
        <v>1.847909E-2</v>
      </c>
      <c r="D109" s="3">
        <v>3.9105939999999999E-2</v>
      </c>
      <c r="E109" s="1">
        <v>70</v>
      </c>
    </row>
    <row r="110" spans="1:5" x14ac:dyDescent="0.45">
      <c r="A110" s="1">
        <v>69</v>
      </c>
      <c r="B110" s="3">
        <v>1.275665E-2</v>
      </c>
      <c r="C110" s="3">
        <v>1.994514E-2</v>
      </c>
      <c r="D110" s="3">
        <v>4.2995070000000003E-2</v>
      </c>
      <c r="E110" s="1">
        <v>71</v>
      </c>
    </row>
    <row r="111" spans="1:5" x14ac:dyDescent="0.45">
      <c r="A111" s="1">
        <v>70</v>
      </c>
      <c r="B111" s="3">
        <v>1.363115E-2</v>
      </c>
      <c r="C111" s="3">
        <v>2.1509899999999998E-2</v>
      </c>
      <c r="D111" s="3">
        <v>4.7230960000000002E-2</v>
      </c>
      <c r="E111" s="1">
        <v>72</v>
      </c>
    </row>
    <row r="112" spans="1:5" x14ac:dyDescent="0.45">
      <c r="A112" s="1">
        <v>71</v>
      </c>
      <c r="B112" s="3">
        <v>1.4552519999999999E-2</v>
      </c>
      <c r="C112" s="3">
        <v>2.3179120000000001E-2</v>
      </c>
      <c r="D112" s="3">
        <v>5.1840079999999997E-2</v>
      </c>
      <c r="E112" s="1">
        <v>73</v>
      </c>
    </row>
    <row r="113" spans="1:5" x14ac:dyDescent="0.45">
      <c r="A113" s="1">
        <v>72</v>
      </c>
      <c r="B113" s="3">
        <v>1.552279E-2</v>
      </c>
      <c r="C113" s="3">
        <v>2.4958830000000001E-2</v>
      </c>
      <c r="D113" s="3">
        <v>5.685022E-2</v>
      </c>
      <c r="E113" s="1">
        <v>74</v>
      </c>
    </row>
    <row r="114" spans="1:5" x14ac:dyDescent="0.45">
      <c r="A114" s="1">
        <v>73</v>
      </c>
      <c r="B114" s="3">
        <v>1.6544039999999999E-2</v>
      </c>
      <c r="C114" s="3">
        <v>2.6855360000000002E-2</v>
      </c>
      <c r="D114" s="3">
        <v>6.2290409999999997E-2</v>
      </c>
      <c r="E114" s="1">
        <v>75</v>
      </c>
    </row>
    <row r="115" spans="1:5" x14ac:dyDescent="0.45">
      <c r="A115" s="1">
        <v>74</v>
      </c>
      <c r="B115" s="3">
        <v>1.7618439999999999E-2</v>
      </c>
      <c r="C115" s="3">
        <v>2.8875339999999999E-2</v>
      </c>
      <c r="D115" s="3">
        <v>6.8190829999999994E-2</v>
      </c>
      <c r="E115" s="1">
        <v>76</v>
      </c>
    </row>
    <row r="116" spans="1:5" x14ac:dyDescent="0.45">
      <c r="A116" s="1">
        <v>75</v>
      </c>
      <c r="B116" s="3">
        <v>1.8748219999999999E-2</v>
      </c>
      <c r="C116" s="3">
        <v>3.1025690000000002E-2</v>
      </c>
      <c r="D116" s="3">
        <v>7.4582629999999997E-2</v>
      </c>
      <c r="E116" s="1">
        <v>77</v>
      </c>
    </row>
    <row r="117" spans="1:5" x14ac:dyDescent="0.45">
      <c r="A117" s="1">
        <v>76</v>
      </c>
      <c r="B117" s="3">
        <v>1.9935720000000001E-2</v>
      </c>
      <c r="C117" s="3">
        <v>3.3313660000000002E-2</v>
      </c>
      <c r="D117" s="3">
        <v>8.1497790000000001E-2</v>
      </c>
      <c r="E117" s="1">
        <v>78</v>
      </c>
    </row>
    <row r="118" spans="1:5" x14ac:dyDescent="0.45">
      <c r="A118" s="1">
        <v>77</v>
      </c>
      <c r="B118" s="3">
        <v>2.1183339999999998E-2</v>
      </c>
      <c r="C118" s="3">
        <v>3.5746790000000001E-2</v>
      </c>
      <c r="D118" s="3">
        <v>8.8968829999999999E-2</v>
      </c>
      <c r="E118" s="1">
        <v>79</v>
      </c>
    </row>
    <row r="119" spans="1:5" x14ac:dyDescent="0.45">
      <c r="A119" s="1">
        <v>78</v>
      </c>
      <c r="B119" s="3">
        <v>2.2493570000000001E-2</v>
      </c>
      <c r="C119" s="3">
        <v>3.8332949999999998E-2</v>
      </c>
      <c r="D119" s="3">
        <v>9.7028550000000005E-2</v>
      </c>
      <c r="E119" s="1">
        <v>80</v>
      </c>
    </row>
    <row r="120" spans="1:5" x14ac:dyDescent="0.45">
      <c r="A120" s="1">
        <v>79</v>
      </c>
      <c r="B120" s="3">
        <v>2.3869000000000001E-2</v>
      </c>
      <c r="C120" s="3">
        <v>4.1080319999999997E-2</v>
      </c>
      <c r="D120" s="3">
        <v>0.10570968</v>
      </c>
      <c r="E120" s="1">
        <v>81</v>
      </c>
    </row>
    <row r="121" spans="1:5" x14ac:dyDescent="0.45">
      <c r="A121" s="1">
        <v>80</v>
      </c>
      <c r="B121" s="3">
        <v>2.5312270000000001E-2</v>
      </c>
      <c r="C121" s="3">
        <v>4.3997410000000001E-2</v>
      </c>
      <c r="D121" s="3">
        <v>0.11504443</v>
      </c>
      <c r="E121" s="1">
        <v>82</v>
      </c>
    </row>
    <row r="122" spans="1:5" x14ac:dyDescent="0.45">
      <c r="A122" s="1"/>
      <c r="B122" s="1"/>
      <c r="C122" s="1"/>
      <c r="D122" s="3">
        <v>0.12506402999999999</v>
      </c>
      <c r="E122" s="1">
        <v>83</v>
      </c>
    </row>
    <row r="123" spans="1:5" x14ac:dyDescent="0.45">
      <c r="A123" s="1"/>
      <c r="B123" s="1"/>
      <c r="C123" s="1"/>
      <c r="D123" s="3">
        <v>0.13579820000000001</v>
      </c>
      <c r="E123" s="1">
        <v>84</v>
      </c>
    </row>
    <row r="124" spans="1:5" x14ac:dyDescent="0.45">
      <c r="A124" s="1"/>
      <c r="B124" s="1"/>
      <c r="C124" s="1"/>
      <c r="D124" s="3">
        <v>0.14727448000000001</v>
      </c>
      <c r="E124" s="1">
        <v>85</v>
      </c>
    </row>
    <row r="125" spans="1:5" x14ac:dyDescent="0.45">
      <c r="A125" s="1"/>
      <c r="B125" s="1"/>
      <c r="C125" s="1"/>
      <c r="D125" s="3">
        <v>0.15951762</v>
      </c>
      <c r="E125" s="1">
        <v>86</v>
      </c>
    </row>
    <row r="126" spans="1:5" x14ac:dyDescent="0.45">
      <c r="A126" s="1"/>
      <c r="B126" s="1"/>
      <c r="C126" s="1"/>
      <c r="D126" s="3">
        <v>0.17254882999999999</v>
      </c>
      <c r="E126" s="1">
        <v>87</v>
      </c>
    </row>
    <row r="127" spans="1:5" x14ac:dyDescent="0.45">
      <c r="A127" s="1"/>
      <c r="B127" s="1"/>
      <c r="C127" s="1"/>
      <c r="D127" s="3">
        <v>0.18638498000000001</v>
      </c>
      <c r="E127" s="1">
        <v>88</v>
      </c>
    </row>
    <row r="128" spans="1:5" x14ac:dyDescent="0.45">
      <c r="A128" s="1"/>
      <c r="B128" s="1"/>
      <c r="C128" s="1"/>
      <c r="D128" s="3">
        <v>0.20103786000000001</v>
      </c>
      <c r="E128" s="1">
        <v>89</v>
      </c>
    </row>
    <row r="129" spans="1:5" x14ac:dyDescent="0.45">
      <c r="A129" s="1"/>
      <c r="B129" s="1"/>
      <c r="C129" s="1"/>
      <c r="D129" s="3">
        <v>0.21651334999999999</v>
      </c>
      <c r="E129" s="1">
        <v>90</v>
      </c>
    </row>
    <row r="130" spans="1:5" x14ac:dyDescent="0.45">
      <c r="A130" s="1"/>
      <c r="B130" s="1"/>
      <c r="C130" s="1"/>
      <c r="D130" s="3">
        <v>0.23281066</v>
      </c>
      <c r="E130" s="1">
        <v>91</v>
      </c>
    </row>
    <row r="131" spans="1:5" x14ac:dyDescent="0.45">
      <c r="A131" s="1"/>
      <c r="B131" s="1"/>
      <c r="C131" s="1"/>
      <c r="D131" s="3">
        <v>0.24992159999999999</v>
      </c>
      <c r="E131" s="1">
        <v>92</v>
      </c>
    </row>
    <row r="132" spans="1:5" x14ac:dyDescent="0.45">
      <c r="A132" s="1"/>
      <c r="B132" s="1"/>
      <c r="C132" s="1"/>
      <c r="D132" s="3">
        <v>0.26782990000000001</v>
      </c>
      <c r="E132" s="1">
        <v>93</v>
      </c>
    </row>
    <row r="133" spans="1:5" x14ac:dyDescent="0.45">
      <c r="A133" s="1"/>
      <c r="B133" s="1"/>
      <c r="C133" s="1"/>
      <c r="D133" s="3">
        <v>0.28651073999999999</v>
      </c>
      <c r="E133" s="1">
        <v>94</v>
      </c>
    </row>
    <row r="134" spans="1:5" x14ac:dyDescent="0.45">
      <c r="A134" s="1"/>
      <c r="B134" s="1"/>
      <c r="C134" s="1"/>
      <c r="D134" s="3">
        <v>0.30593028</v>
      </c>
      <c r="E134" s="1">
        <v>95</v>
      </c>
    </row>
    <row r="135" spans="1:5" x14ac:dyDescent="0.45">
      <c r="A135" s="1"/>
      <c r="B135" s="1"/>
      <c r="C135" s="1"/>
      <c r="D135" s="3">
        <v>0.32604549999999999</v>
      </c>
      <c r="E135" s="1">
        <v>96</v>
      </c>
    </row>
    <row r="136" spans="1:5" x14ac:dyDescent="0.45">
      <c r="A136" s="1"/>
      <c r="B136" s="1"/>
      <c r="C136" s="1"/>
      <c r="D136" s="3">
        <v>0.34680421</v>
      </c>
      <c r="E136" s="1">
        <v>97</v>
      </c>
    </row>
    <row r="137" spans="1:5" x14ac:dyDescent="0.45">
      <c r="A137" s="1"/>
      <c r="B137" s="1"/>
      <c r="C137" s="1"/>
      <c r="D137" s="3">
        <v>0.36814521</v>
      </c>
      <c r="E137" s="1">
        <v>98</v>
      </c>
    </row>
    <row r="138" spans="1:5" x14ac:dyDescent="0.45">
      <c r="A138" s="1"/>
      <c r="B138" s="1"/>
      <c r="C138" s="1"/>
      <c r="D138" s="3">
        <v>0.38999883000000002</v>
      </c>
      <c r="E138" s="1">
        <v>99</v>
      </c>
    </row>
    <row r="139" spans="1:5" x14ac:dyDescent="0.45">
      <c r="A139" s="1"/>
      <c r="B139" s="1"/>
      <c r="C139" s="1"/>
      <c r="D139" s="3">
        <v>0.41228762000000002</v>
      </c>
      <c r="E139" s="1">
        <v>100</v>
      </c>
    </row>
    <row r="140" spans="1:5" x14ac:dyDescent="0.45">
      <c r="A140" s="1"/>
      <c r="B140" s="1"/>
      <c r="C140" s="1"/>
      <c r="D140" s="3">
        <v>0.43492729000000002</v>
      </c>
      <c r="E140" s="1">
        <v>101</v>
      </c>
    </row>
    <row r="141" spans="1:5" x14ac:dyDescent="0.45">
      <c r="A141" s="1"/>
      <c r="B141" s="1"/>
      <c r="C141" s="1"/>
      <c r="D141" s="3">
        <v>0.45782791</v>
      </c>
      <c r="E141" s="1">
        <v>102</v>
      </c>
    </row>
    <row r="142" spans="1:5" x14ac:dyDescent="0.45">
      <c r="A142" s="1"/>
      <c r="B142" s="1"/>
      <c r="C142" s="1"/>
      <c r="D142" s="3">
        <v>0.48089531000000002</v>
      </c>
      <c r="E142" s="1">
        <v>103</v>
      </c>
    </row>
    <row r="143" spans="1:5" x14ac:dyDescent="0.45">
      <c r="A143" s="1"/>
      <c r="B143" s="1"/>
      <c r="C143" s="1"/>
      <c r="D143" s="3">
        <v>0.50403251000000004</v>
      </c>
      <c r="E143" s="1">
        <v>104</v>
      </c>
    </row>
    <row r="144" spans="1:5" x14ac:dyDescent="0.45">
      <c r="A144" s="1"/>
      <c r="B144" s="1"/>
      <c r="C144" s="1"/>
      <c r="D144" s="3">
        <v>0.52714143999999996</v>
      </c>
      <c r="E144" s="1">
        <v>105</v>
      </c>
    </row>
    <row r="145" spans="1:5" x14ac:dyDescent="0.45">
      <c r="A145" s="1"/>
      <c r="B145" s="1"/>
      <c r="C145" s="1"/>
      <c r="D145" s="3">
        <v>0.55012452000000001</v>
      </c>
      <c r="E145" s="1">
        <v>106</v>
      </c>
    </row>
    <row r="146" spans="1:5" x14ac:dyDescent="0.45">
      <c r="A146" s="1"/>
      <c r="B146" s="1"/>
      <c r="C146" s="1"/>
      <c r="D146" s="3">
        <v>0.57288631000000001</v>
      </c>
      <c r="E146" s="1">
        <v>107</v>
      </c>
    </row>
    <row r="147" spans="1:5" x14ac:dyDescent="0.45">
      <c r="A147" s="1"/>
      <c r="B147" s="1"/>
      <c r="C147" s="1"/>
      <c r="D147" s="3">
        <v>0.59533510000000001</v>
      </c>
      <c r="E147" s="1">
        <v>108</v>
      </c>
    </row>
    <row r="148" spans="1:5" x14ac:dyDescent="0.45">
      <c r="A148" s="1"/>
      <c r="B148" s="1"/>
      <c r="C148" s="1"/>
      <c r="D148" s="3">
        <v>0.6173843</v>
      </c>
      <c r="E148" s="1">
        <v>109</v>
      </c>
    </row>
    <row r="149" spans="1:5" x14ac:dyDescent="0.45">
      <c r="A149" s="1"/>
      <c r="B149" s="1"/>
      <c r="C149" s="1"/>
      <c r="D149" s="3">
        <v>0.63895371999999995</v>
      </c>
      <c r="E149" s="1">
        <v>110</v>
      </c>
    </row>
    <row r="150" spans="1:5" x14ac:dyDescent="0.45">
      <c r="A150" s="1"/>
      <c r="B150" s="1"/>
      <c r="C150" s="1"/>
      <c r="D150" s="3">
        <v>0.65997059999999996</v>
      </c>
      <c r="E150" s="1">
        <v>111</v>
      </c>
    </row>
    <row r="151" spans="1:5" x14ac:dyDescent="0.45">
      <c r="A151" s="1"/>
      <c r="B151" s="1"/>
      <c r="C151" s="1"/>
      <c r="D151" s="3">
        <v>0.68037042000000003</v>
      </c>
      <c r="E151" s="1">
        <v>112</v>
      </c>
    </row>
    <row r="152" spans="1:5" x14ac:dyDescent="0.45">
      <c r="A152" s="1"/>
      <c r="B152" s="1"/>
      <c r="C152" s="1"/>
      <c r="D152" s="3">
        <v>0.70009748000000005</v>
      </c>
      <c r="E152" s="1">
        <v>113</v>
      </c>
    </row>
    <row r="153" spans="1:5" x14ac:dyDescent="0.45">
      <c r="A153" s="1"/>
      <c r="B153" s="1"/>
      <c r="C153" s="1"/>
      <c r="D153" s="3">
        <v>0.71910518999999995</v>
      </c>
      <c r="E153" s="1">
        <v>114</v>
      </c>
    </row>
    <row r="154" spans="1:5" x14ac:dyDescent="0.45">
      <c r="A154" s="1"/>
      <c r="B154" s="1"/>
      <c r="C154" s="1"/>
      <c r="D154" s="3">
        <v>0.73735616999999998</v>
      </c>
      <c r="E154" s="1">
        <v>115</v>
      </c>
    </row>
    <row r="155" spans="1:5" x14ac:dyDescent="0.45">
      <c r="A155" s="1"/>
      <c r="B155" s="1"/>
      <c r="C155" s="1"/>
      <c r="D155" s="3">
        <v>0.75482210000000005</v>
      </c>
      <c r="E155" s="1">
        <v>116</v>
      </c>
    </row>
    <row r="156" spans="1:5" x14ac:dyDescent="0.45">
      <c r="A156" s="1"/>
      <c r="B156" s="1"/>
      <c r="C156" s="1"/>
      <c r="D156" s="3">
        <v>0.77148338999999999</v>
      </c>
      <c r="E156" s="1">
        <v>117</v>
      </c>
    </row>
    <row r="157" spans="1:5" x14ac:dyDescent="0.45">
      <c r="A157" s="1"/>
      <c r="B157" s="1"/>
      <c r="C157" s="1"/>
      <c r="D157" s="3">
        <v>0.78732873999999997</v>
      </c>
      <c r="E157" s="1">
        <v>118</v>
      </c>
    </row>
    <row r="158" spans="1:5" x14ac:dyDescent="0.45">
      <c r="A158" s="1"/>
      <c r="B158" s="1"/>
      <c r="C158" s="1"/>
      <c r="D158" s="3">
        <v>0.80235445999999999</v>
      </c>
      <c r="E158" s="1">
        <v>119</v>
      </c>
    </row>
    <row r="159" spans="1:5" x14ac:dyDescent="0.45">
      <c r="A159" s="1"/>
      <c r="B159" s="1"/>
      <c r="C159" s="1"/>
      <c r="D159" s="3">
        <v>0.81656382999999999</v>
      </c>
      <c r="E159" s="1">
        <v>120</v>
      </c>
    </row>
    <row r="160" spans="1:5" x14ac:dyDescent="0.45">
      <c r="A160" s="1"/>
      <c r="B160" s="1"/>
      <c r="C160" s="1"/>
      <c r="D160" s="4">
        <v>1</v>
      </c>
      <c r="E160" s="1">
        <v>121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Int_Rate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sharpe</dc:creator>
  <cp:keywords/>
  <dc:description/>
  <cp:lastModifiedBy>Marcus Gwee Wen Hong</cp:lastModifiedBy>
  <cp:revision/>
  <dcterms:created xsi:type="dcterms:W3CDTF">2022-01-27T14:38:05Z</dcterms:created>
  <dcterms:modified xsi:type="dcterms:W3CDTF">2026-02-05T07:14:20Z</dcterms:modified>
  <cp:category/>
  <cp:contentStatus/>
</cp:coreProperties>
</file>