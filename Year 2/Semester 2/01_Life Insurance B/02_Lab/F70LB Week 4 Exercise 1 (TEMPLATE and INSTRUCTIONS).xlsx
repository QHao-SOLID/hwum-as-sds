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521" documentId="13_ncr:1_{395E5486-3A09-450A-A18F-2AD530CF3B09}" xr6:coauthVersionLast="47" xr6:coauthVersionMax="47" xr10:uidLastSave="{69B0DAC0-D7B1-49E7-93A1-1531EBD69809}"/>
  <bookViews>
    <workbookView xWindow="-98" yWindow="-98" windowWidth="21795" windowHeight="12975" activeTab="6" xr2:uid="{00000000-000D-0000-FFFF-FFFF00000000}"/>
  </bookViews>
  <sheets>
    <sheet name="Instructions" sheetId="11" r:id="rId1"/>
    <sheet name="Colour key" sheetId="12" r:id="rId2"/>
    <sheet name="Q1" sheetId="1" r:id="rId3"/>
    <sheet name="Q2" sheetId="5" r:id="rId4"/>
    <sheet name="Q3" sheetId="6" r:id="rId5"/>
    <sheet name="Q4" sheetId="8" r:id="rId6"/>
    <sheet name="Q5" sheetId="10" r:id="rId7"/>
  </sheets>
  <definedNames>
    <definedName name="constant_q">'Q2'!$E$11</definedName>
    <definedName name="Expenses">'Q1'!$F$9</definedName>
    <definedName name="int_1">#REF!</definedName>
    <definedName name="int_2">#REF!</definedName>
    <definedName name="INT_Q3">'Q3'!$E$6</definedName>
    <definedName name="interest" localSheetId="3">'Q2'!$E$7</definedName>
    <definedName name="interest" localSheetId="4">'Q3'!$E$6</definedName>
    <definedName name="interest">'Q1'!$F$7</definedName>
    <definedName name="premium">#REF!</definedName>
    <definedName name="res_int" localSheetId="3">'Q2'!$J$19</definedName>
    <definedName name="res_int" localSheetId="4">'Q3'!#REF!</definedName>
    <definedName name="res_int">'Q1'!$I$11</definedName>
    <definedName name="term">'Q5'!$E$14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19" i="1"/>
  <c r="E20" i="1"/>
  <c r="E18" i="1"/>
  <c r="E17" i="1"/>
  <c r="E21" i="6"/>
  <c r="P27" i="10" l="1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26" i="10"/>
  <c r="G17" i="8"/>
  <c r="G16" i="8"/>
  <c r="K23" i="6"/>
  <c r="K24" i="6"/>
  <c r="K25" i="6"/>
  <c r="K22" i="6"/>
  <c r="K25" i="5"/>
  <c r="K26" i="5"/>
  <c r="K27" i="5"/>
  <c r="K24" i="5"/>
  <c r="K19" i="1"/>
  <c r="K20" i="1"/>
  <c r="K21" i="1"/>
  <c r="K18" i="1"/>
  <c r="M28" i="10" a="1"/>
  <c r="M28" i="10" s="1"/>
  <c r="M29" i="10" a="1"/>
  <c r="M29" i="10"/>
  <c r="M30" i="10" a="1"/>
  <c r="M30" i="10"/>
  <c r="M31" i="10" a="1"/>
  <c r="M31" i="10"/>
  <c r="M32" i="10" a="1"/>
  <c r="M32" i="10" s="1"/>
  <c r="M33" i="10" a="1"/>
  <c r="M33" i="10"/>
  <c r="M34" i="10" a="1"/>
  <c r="M34" i="10"/>
  <c r="M35" i="10" a="1"/>
  <c r="M35" i="10"/>
  <c r="M36" i="10" a="1"/>
  <c r="M36" i="10" s="1"/>
  <c r="M37" i="10" a="1"/>
  <c r="M37" i="10"/>
  <c r="M38" i="10" a="1"/>
  <c r="M38" i="10"/>
  <c r="M39" i="10" a="1"/>
  <c r="M39" i="10"/>
  <c r="M40" i="10" a="1"/>
  <c r="M40" i="10" s="1"/>
  <c r="M41" i="10" a="1"/>
  <c r="M41" i="10"/>
  <c r="M42" i="10" a="1"/>
  <c r="M42" i="10"/>
  <c r="M43" i="10" a="1"/>
  <c r="M43" i="10"/>
  <c r="M44" i="10" a="1"/>
  <c r="M44" i="10" s="1"/>
  <c r="M45" i="10" a="1"/>
  <c r="M45" i="10"/>
  <c r="M27" i="10" a="1"/>
  <c r="M27" i="10" s="1"/>
  <c r="R35" i="10" l="1"/>
  <c r="S35" i="10" s="1"/>
  <c r="T35" i="10" s="1"/>
  <c r="R43" i="10"/>
  <c r="S43" i="10" s="1"/>
  <c r="T43" i="10" s="1"/>
  <c r="R26" i="10"/>
  <c r="S26" i="10" s="1"/>
  <c r="T26" i="10" s="1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26" i="10"/>
  <c r="L26" i="10"/>
  <c r="R27" i="10"/>
  <c r="S27" i="10" s="1"/>
  <c r="T27" i="10" s="1"/>
  <c r="R28" i="10"/>
  <c r="S28" i="10" s="1"/>
  <c r="T28" i="10" s="1"/>
  <c r="R29" i="10"/>
  <c r="S29" i="10" s="1"/>
  <c r="T29" i="10" s="1"/>
  <c r="R30" i="10"/>
  <c r="S30" i="10" s="1"/>
  <c r="T30" i="10" s="1"/>
  <c r="R31" i="10"/>
  <c r="R32" i="10"/>
  <c r="R33" i="10"/>
  <c r="R34" i="10"/>
  <c r="R36" i="10"/>
  <c r="S36" i="10" s="1"/>
  <c r="T36" i="10" s="1"/>
  <c r="R37" i="10"/>
  <c r="S37" i="10" s="1"/>
  <c r="T37" i="10" s="1"/>
  <c r="R38" i="10"/>
  <c r="S38" i="10" s="1"/>
  <c r="T38" i="10" s="1"/>
  <c r="R39" i="10"/>
  <c r="R40" i="10"/>
  <c r="R41" i="10"/>
  <c r="R42" i="10"/>
  <c r="R44" i="10"/>
  <c r="S44" i="10" s="1"/>
  <c r="T44" i="10" s="1"/>
  <c r="R45" i="10"/>
  <c r="S45" i="10" s="1"/>
  <c r="T45" i="10" s="1"/>
  <c r="K4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26" i="10"/>
  <c r="F13" i="10"/>
  <c r="N28" i="10" s="1"/>
  <c r="N27" i="10"/>
  <c r="N34" i="10"/>
  <c r="N35" i="10"/>
  <c r="N42" i="10"/>
  <c r="N43" i="10"/>
  <c r="M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J45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6" i="10"/>
  <c r="F29" i="10"/>
  <c r="F30" i="10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28" i="10"/>
  <c r="F27" i="10"/>
  <c r="F26" i="10"/>
  <c r="H28" i="10"/>
  <c r="H29" i="10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27" i="10"/>
  <c r="H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26" i="10"/>
  <c r="K18" i="8"/>
  <c r="K16" i="8"/>
  <c r="K17" i="8"/>
  <c r="K15" i="8"/>
  <c r="I16" i="8"/>
  <c r="I17" i="8"/>
  <c r="I15" i="8"/>
  <c r="H16" i="8"/>
  <c r="H17" i="8"/>
  <c r="H15" i="8"/>
  <c r="C7" i="8"/>
  <c r="F16" i="8"/>
  <c r="F17" i="8"/>
  <c r="F15" i="8"/>
  <c r="E16" i="8"/>
  <c r="E17" i="8"/>
  <c r="E15" i="8"/>
  <c r="G15" i="8"/>
  <c r="D17" i="8"/>
  <c r="D16" i="8"/>
  <c r="L22" i="6"/>
  <c r="L23" i="6"/>
  <c r="L24" i="6"/>
  <c r="L25" i="6"/>
  <c r="L21" i="6"/>
  <c r="K21" i="6"/>
  <c r="G22" i="6"/>
  <c r="G23" i="6"/>
  <c r="G24" i="6"/>
  <c r="G25" i="6"/>
  <c r="G21" i="6"/>
  <c r="I22" i="6"/>
  <c r="I23" i="6"/>
  <c r="I24" i="6"/>
  <c r="I21" i="6"/>
  <c r="H23" i="6"/>
  <c r="H24" i="6"/>
  <c r="H25" i="6"/>
  <c r="I25" i="6" s="1"/>
  <c r="H22" i="6"/>
  <c r="H21" i="6"/>
  <c r="F22" i="6"/>
  <c r="F23" i="6"/>
  <c r="F24" i="6"/>
  <c r="F25" i="6"/>
  <c r="F21" i="6"/>
  <c r="E23" i="6"/>
  <c r="E24" i="6"/>
  <c r="E25" i="6"/>
  <c r="E22" i="6"/>
  <c r="D22" i="6"/>
  <c r="D23" i="6"/>
  <c r="D24" i="6"/>
  <c r="D25" i="6"/>
  <c r="D21" i="6"/>
  <c r="J25" i="6" l="1"/>
  <c r="I18" i="8"/>
  <c r="C9" i="8" s="1"/>
  <c r="S39" i="10"/>
  <c r="T39" i="10" s="1"/>
  <c r="O46" i="10"/>
  <c r="S31" i="10"/>
  <c r="T31" i="10" s="1"/>
  <c r="U33" i="10" s="1"/>
  <c r="S42" i="10"/>
  <c r="T42" i="10" s="1"/>
  <c r="S34" i="10"/>
  <c r="T34" i="10" s="1"/>
  <c r="S41" i="10"/>
  <c r="T41" i="10" s="1"/>
  <c r="S33" i="10"/>
  <c r="T33" i="10" s="1"/>
  <c r="U34" i="10" s="1"/>
  <c r="S40" i="10"/>
  <c r="T40" i="10" s="1"/>
  <c r="S32" i="10"/>
  <c r="T32" i="10" s="1"/>
  <c r="U28" i="10"/>
  <c r="U29" i="10"/>
  <c r="U30" i="10"/>
  <c r="U26" i="10"/>
  <c r="U32" i="10"/>
  <c r="U27" i="10"/>
  <c r="N41" i="10"/>
  <c r="N33" i="10"/>
  <c r="N40" i="10"/>
  <c r="N32" i="10"/>
  <c r="N39" i="10"/>
  <c r="N31" i="10"/>
  <c r="N26" i="10"/>
  <c r="N38" i="10"/>
  <c r="N30" i="10"/>
  <c r="N45" i="10"/>
  <c r="N37" i="10"/>
  <c r="N29" i="10"/>
  <c r="N44" i="10"/>
  <c r="N36" i="10"/>
  <c r="J21" i="6"/>
  <c r="M21" i="6" s="1"/>
  <c r="M25" i="6"/>
  <c r="J24" i="6"/>
  <c r="M24" i="6" s="1"/>
  <c r="J22" i="6"/>
  <c r="M22" i="6" s="1"/>
  <c r="J23" i="6"/>
  <c r="M23" i="6" s="1"/>
  <c r="K23" i="5"/>
  <c r="I27" i="5"/>
  <c r="I26" i="5"/>
  <c r="I25" i="5"/>
  <c r="I24" i="5"/>
  <c r="I23" i="5"/>
  <c r="H27" i="5"/>
  <c r="H26" i="5"/>
  <c r="J26" i="5" s="1"/>
  <c r="H25" i="5"/>
  <c r="J25" i="5" s="1"/>
  <c r="H24" i="5"/>
  <c r="J24" i="5" s="1"/>
  <c r="H23" i="5"/>
  <c r="J23" i="5" s="1"/>
  <c r="G27" i="5"/>
  <c r="G26" i="5"/>
  <c r="G25" i="5"/>
  <c r="G24" i="5"/>
  <c r="G23" i="5"/>
  <c r="F26" i="5"/>
  <c r="F27" i="5" s="1"/>
  <c r="F25" i="5"/>
  <c r="F24" i="5"/>
  <c r="F23" i="5"/>
  <c r="E27" i="5"/>
  <c r="E26" i="5"/>
  <c r="E25" i="5"/>
  <c r="E24" i="5"/>
  <c r="E23" i="5"/>
  <c r="D27" i="5"/>
  <c r="D26" i="5"/>
  <c r="D25" i="5"/>
  <c r="D24" i="5"/>
  <c r="D23" i="5"/>
  <c r="L18" i="1"/>
  <c r="L19" i="1"/>
  <c r="L20" i="1"/>
  <c r="L21" i="1"/>
  <c r="L17" i="1"/>
  <c r="K17" i="1"/>
  <c r="H18" i="1"/>
  <c r="H19" i="1"/>
  <c r="H20" i="1"/>
  <c r="H21" i="1"/>
  <c r="H17" i="1"/>
  <c r="I18" i="1"/>
  <c r="I19" i="1"/>
  <c r="I20" i="1"/>
  <c r="I21" i="1"/>
  <c r="I17" i="1"/>
  <c r="F11" i="1"/>
  <c r="G18" i="1"/>
  <c r="G19" i="1"/>
  <c r="G20" i="1"/>
  <c r="G21" i="1"/>
  <c r="G17" i="1"/>
  <c r="F8" i="1"/>
  <c r="F18" i="1"/>
  <c r="F19" i="1"/>
  <c r="F20" i="1"/>
  <c r="F21" i="1"/>
  <c r="F17" i="1"/>
  <c r="J17" i="1"/>
  <c r="M17" i="1" s="1"/>
  <c r="A27" i="10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U37" i="10" l="1"/>
  <c r="U41" i="10"/>
  <c r="U39" i="10"/>
  <c r="U31" i="10"/>
  <c r="U44" i="10"/>
  <c r="U42" i="10"/>
  <c r="U43" i="10"/>
  <c r="U40" i="10"/>
  <c r="U35" i="10"/>
  <c r="U36" i="10"/>
  <c r="U38" i="10"/>
  <c r="U45" i="10"/>
  <c r="M26" i="6"/>
  <c r="J6" i="6" s="1"/>
  <c r="J27" i="5"/>
  <c r="E7" i="6"/>
  <c r="J18" i="1" l="1"/>
  <c r="M18" i="1" s="1"/>
  <c r="E8" i="5"/>
  <c r="L25" i="5" l="1"/>
  <c r="M25" i="5" s="1"/>
  <c r="L24" i="5"/>
  <c r="M24" i="5" s="1"/>
  <c r="L23" i="5"/>
  <c r="M23" i="5" s="1"/>
  <c r="L27" i="5"/>
  <c r="M27" i="5" s="1"/>
  <c r="L26" i="5"/>
  <c r="M26" i="5" s="1"/>
  <c r="J19" i="1"/>
  <c r="M19" i="1" s="1"/>
  <c r="M28" i="5" l="1"/>
  <c r="J21" i="1"/>
  <c r="M21" i="1" s="1"/>
  <c r="J20" i="1"/>
  <c r="M20" i="1" s="1"/>
  <c r="M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6" authorId="0" shapeId="0" xr:uid="{869E95AC-5222-4538-9F8D-B2ABF76A1C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Discontinuous formula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<sst xmlns="http://schemas.openxmlformats.org/spreadsheetml/2006/main" count="230" uniqueCount="162">
  <si>
    <t>Year</t>
  </si>
  <si>
    <t>Premium</t>
  </si>
  <si>
    <t>Expenses</t>
  </si>
  <si>
    <t>Interest</t>
  </si>
  <si>
    <t>Death benefit</t>
  </si>
  <si>
    <t>Survival benefit</t>
  </si>
  <si>
    <t>Net premium</t>
  </si>
  <si>
    <t>Cashflow(t)</t>
  </si>
  <si>
    <t>t-1px</t>
  </si>
  <si>
    <t>Discount factor</t>
  </si>
  <si>
    <t>PV profit</t>
  </si>
  <si>
    <t>RDR</t>
  </si>
  <si>
    <t>Interest on cashflows</t>
  </si>
  <si>
    <t>Total</t>
  </si>
  <si>
    <t>q(x)</t>
  </si>
  <si>
    <t>Cashflow</t>
  </si>
  <si>
    <t>The premium is calculated using goal seek so that the total PV profit = 0</t>
  </si>
  <si>
    <t>Discount factor v</t>
  </si>
  <si>
    <t>Parameters</t>
  </si>
  <si>
    <t>Constant q(x)</t>
  </si>
  <si>
    <t>Initial expenses</t>
  </si>
  <si>
    <t>Regular expenses</t>
  </si>
  <si>
    <t>Annual increase in reg expenses</t>
  </si>
  <si>
    <t>Calculations</t>
  </si>
  <si>
    <t>Death benefit is determined by using goal seek and setting Total PV profit to zero</t>
  </si>
  <si>
    <t>of first premium</t>
  </si>
  <si>
    <t>of all premiums</t>
  </si>
  <si>
    <t>Initial death benefit</t>
  </si>
  <si>
    <t>Annnual increase in death benefit</t>
  </si>
  <si>
    <t>Term</t>
  </si>
  <si>
    <t>EPV profit</t>
  </si>
  <si>
    <t>Result</t>
  </si>
  <si>
    <t>Claim expense</t>
  </si>
  <si>
    <t>Discount</t>
  </si>
  <si>
    <t>Profit margin</t>
  </si>
  <si>
    <t>Results</t>
  </si>
  <si>
    <t>to find DPP</t>
  </si>
  <si>
    <t>Profit</t>
  </si>
  <si>
    <t>Signature</t>
  </si>
  <si>
    <t>Vector</t>
  </si>
  <si>
    <t>Reserve</t>
  </si>
  <si>
    <t>Benefit</t>
  </si>
  <si>
    <t>Sum of EPV(Profit)</t>
  </si>
  <si>
    <t>EPV of</t>
  </si>
  <si>
    <t>(t-1)_px</t>
  </si>
  <si>
    <t xml:space="preserve">Profit </t>
  </si>
  <si>
    <t>Interest on</t>
  </si>
  <si>
    <t>Inc in</t>
  </si>
  <si>
    <t>p(x+t-1)</t>
  </si>
  <si>
    <t>End of yr</t>
  </si>
  <si>
    <t>Start of yr</t>
  </si>
  <si>
    <t>Expected</t>
  </si>
  <si>
    <t>Survival</t>
  </si>
  <si>
    <t>Death</t>
  </si>
  <si>
    <t>Working backwards</t>
  </si>
  <si>
    <t>Mortality (increase)</t>
  </si>
  <si>
    <t>Mortality (initial)</t>
  </si>
  <si>
    <t>Interest earned</t>
  </si>
  <si>
    <t>Sum assured</t>
  </si>
  <si>
    <t>Renewal exp (fixed amount)</t>
  </si>
  <si>
    <t>Renewal exp (% of prem)</t>
  </si>
  <si>
    <t>Initial exp (fixed amount)</t>
  </si>
  <si>
    <t>Initial exp (% of prem)</t>
  </si>
  <si>
    <t>Time at year</t>
  </si>
  <si>
    <t>start (t-1)</t>
  </si>
  <si>
    <t>end (t)</t>
  </si>
  <si>
    <t>q(x+t-1)</t>
  </si>
  <si>
    <t>v^t @RDR</t>
  </si>
  <si>
    <t>Calculate EPV profit without allowance for reserves</t>
  </si>
  <si>
    <t>Calculations which allow for reserves</t>
  </si>
  <si>
    <t>Total EPV of profit</t>
  </si>
  <si>
    <t>Comments</t>
  </si>
  <si>
    <t>(a)</t>
  </si>
  <si>
    <t>(a) Comment on the total cashflows:</t>
  </si>
  <si>
    <t>(b) …with no reserves</t>
  </si>
  <si>
    <t>(c) …with reserves</t>
  </si>
  <si>
    <t>(c) DPP with reserves</t>
  </si>
  <si>
    <t>(c) Comment on how reserves affect profit and why</t>
  </si>
  <si>
    <t>Colour keys</t>
  </si>
  <si>
    <t xml:space="preserve">The colours below are used to make the worksheet more readable and easier to check. </t>
  </si>
  <si>
    <t>Using a colour key like this is considered good practice in the workplace.</t>
  </si>
  <si>
    <t xml:space="preserve">At the start of your career, it is especially important that you produce work that is easy to read, reuse and check. </t>
  </si>
  <si>
    <t xml:space="preserve">Your colleagues will appreciate it! And it is more efficient because it saves time for the more senior people. </t>
  </si>
  <si>
    <t>Not all of this key will be required in simple spreadsheets.</t>
  </si>
  <si>
    <t>Our colour key</t>
  </si>
  <si>
    <t>Parameters/inputs</t>
  </si>
  <si>
    <t>Data/values</t>
  </si>
  <si>
    <t>Calculations and text</t>
  </si>
  <si>
    <t>Discontinuous formulas are highlighted</t>
  </si>
  <si>
    <t>Value looked up from data</t>
  </si>
  <si>
    <t>Instructions</t>
  </si>
  <si>
    <t>(Note: If you would like to view these instructions at the same time as other sheets then you can use View&gt;New Window to create a second window.)</t>
  </si>
  <si>
    <t>Question 1</t>
  </si>
  <si>
    <t xml:space="preserve">(b) </t>
  </si>
  <si>
    <t xml:space="preserve">(c) </t>
  </si>
  <si>
    <t>annuity, such that the expected present value of profit is zero.</t>
  </si>
  <si>
    <t>Annuity payments of £10,000 are made annually in arrears, for a maximum of 5 years, during the lifetime of a man aged 50.</t>
  </si>
  <si>
    <t xml:space="preserve"> Use the following pricing basis:</t>
  </si>
  <si>
    <t>Using the emerging cashflow technique, calculate the single premium for a temporary</t>
  </si>
  <si>
    <t xml:space="preserve">Mortality AM92 Ultimate </t>
  </si>
  <si>
    <t>Renewal Expenses £20 payable at the start of each year</t>
  </si>
  <si>
    <t>Interest 6% a year</t>
  </si>
  <si>
    <t>Question 2</t>
  </si>
  <si>
    <t>Using the emerging cashfl.ow technique, calculate the sum assured for a 5 year term</t>
  </si>
  <si>
    <t xml:space="preserve">assurance, such that the expected present value of profit is zero. </t>
  </si>
  <si>
    <t xml:space="preserve">Premiums of £300 are payable annually in advance. Benefits are paid at the end of year of death. </t>
  </si>
  <si>
    <t>Use the following pricing basis:</t>
  </si>
  <si>
    <t xml:space="preserve">Interest </t>
  </si>
  <si>
    <t xml:space="preserve">Mortality </t>
  </si>
  <si>
    <t xml:space="preserve">Initial Expenses </t>
  </si>
  <si>
    <t>Renewal Expense</t>
  </si>
  <si>
    <t xml:space="preserve">7%p.a. </t>
  </si>
  <si>
    <t xml:space="preserve">probability of death is 10% per year </t>
  </si>
  <si>
    <t>£5 in year 1 increasing at 5% a year inflation</t>
  </si>
  <si>
    <t>Question 3</t>
  </si>
  <si>
    <t>Using the emerging cashflow technique, calculate the regular premium for a 5 year</t>
  </si>
  <si>
    <t xml:space="preserve">endowment assurance sold to a 55 year old. We require an expected present value of profit of £1000. </t>
  </si>
  <si>
    <t xml:space="preserve">Premiums are payable annually in advance. Benefits are paid at the end of year of death. </t>
  </si>
  <si>
    <t xml:space="preserve">The benefit is £50,000 in year 1, and increases by £10,000 each year. </t>
  </si>
  <si>
    <t xml:space="preserve">Claim Expenses </t>
  </si>
  <si>
    <t xml:space="preserve">7.5%p.a. </t>
  </si>
  <si>
    <t xml:space="preserve">AM92 Select </t>
  </si>
  <si>
    <t xml:space="preserve">50% of premium </t>
  </si>
  <si>
    <t xml:space="preserve">5% of every premium </t>
  </si>
  <si>
    <t>£50 paid at the time a claim is paid</t>
  </si>
  <si>
    <t xml:space="preserve">(Hint - remember the claim expenses are paid at a different time than the other expenses. You may need 2 expense columns.) </t>
  </si>
  <si>
    <t>Question 4</t>
  </si>
  <si>
    <t xml:space="preserve">The profit signature of a 3-year assurance contract issued to a life aged 60 is (-250, 150, 170). </t>
  </si>
  <si>
    <t>The premium payable at the start of each ear is £200. Mortality is</t>
  </si>
  <si>
    <t xml:space="preserve">assumed to follow AM92 ultimate mortality and there are no lapses. </t>
  </si>
  <si>
    <t>Assuming that the office uses a risk discount rate of 15% per annum, what is the profit margin of the contract?</t>
  </si>
  <si>
    <t>Question 5</t>
  </si>
  <si>
    <t>A life insurer issues endowment assurances on the following terms.</t>
  </si>
  <si>
    <t xml:space="preserve">Premiums of £910 are payable annually in advance. </t>
  </si>
  <si>
    <t xml:space="preserve">The sum assured of £25,000 is payable at the end of the year of death or at the end of the 20 year term if earlier. </t>
  </si>
  <si>
    <t>The insurer expects the following experience:</t>
  </si>
  <si>
    <t xml:space="preserve">5%p.a. </t>
  </si>
  <si>
    <t>0.0014 in the first year, increasing by 0.0002 each year i.e. the mortality rate in year 20 will be 0.0052</t>
  </si>
  <si>
    <t>£200 plus 80% of premium</t>
  </si>
  <si>
    <t>In each year except the first £10 plus 2.5% of premium</t>
  </si>
  <si>
    <t>Calculate the cashflows on the above policy and comment on your results</t>
  </si>
  <si>
    <t>Using a RDR of 10%, calculate the EPV of profit with no reserves.</t>
  </si>
  <si>
    <t>Using the reserves provided in the template, calculate the profit signature allowing for reserves.</t>
  </si>
  <si>
    <t>Hence calculate the EPV of profit and DPP (allowing for reserves).</t>
  </si>
  <si>
    <t>Comment on your answers.</t>
  </si>
  <si>
    <t>Annuity</t>
  </si>
  <si>
    <t xml:space="preserve">Total: </t>
  </si>
  <si>
    <t>qx</t>
  </si>
  <si>
    <t>Expenses (BOY)</t>
  </si>
  <si>
    <t>Expenses (EOY)</t>
  </si>
  <si>
    <t>Death Benefit</t>
  </si>
  <si>
    <t>Survival Benefit</t>
  </si>
  <si>
    <t>discount factor</t>
  </si>
  <si>
    <t>PV Profit</t>
  </si>
  <si>
    <t>EPV Prem</t>
  </si>
  <si>
    <t>EPV Profit</t>
  </si>
  <si>
    <t>(t-1)px</t>
  </si>
  <si>
    <t>Cashflow (Prem only)</t>
  </si>
  <si>
    <t>Int</t>
  </si>
  <si>
    <t>disc fac</t>
  </si>
  <si>
    <t>Profit sig</t>
  </si>
  <si>
    <t>Gross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</si>
</sst>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&quot;£&quot;#,##0;[Red]\-&quot;£&quot;#,##0"/>
    <numFmt numFmtId="165" formatCode="&quot;£&quot;#,##0.00;[Red]\-&quot;£&quot;#,##0.00"/>
    <numFmt numFmtId="166" formatCode="_-* #,##0.00000_-;\-* #,##0.00000_-;_-* &quot;-&quot;??_-;_-@_-"/>
    <numFmt numFmtId="167" formatCode="#,##0.0000"/>
    <numFmt numFmtId="168" formatCode="0.0000"/>
    <numFmt numFmtId="169" formatCode="#,##0.00000"/>
    <numFmt numFmtId="170" formatCode="#,##0.00_ ;[Red]\-#,##0.00\ "/>
    <numFmt numFmtId="171" formatCode="#,##0.0000000000_ ;[Red]\-#,##0.0000000000\ "/>
    <numFmt numFmtId="172" formatCode="0.00000"/>
    <numFmt numFmtId="173" formatCode="0.0%"/>
    <numFmt numFmtId="174" formatCode="0.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sz val="11"/>
      <color rgb="FF00B050"/>
      <name val="Calibri"/>
      <family val="2"/>
      <scheme val="minor"/>
    </font>
    <font>
      <sz val="10"/>
      <color rgb="FFFF66FF"/>
      <name val="Arial"/>
      <family val="2"/>
    </font>
    <font>
      <sz val="10"/>
      <color theme="3" tint="0.499984740745262"/>
      <name val="Arial"/>
      <family val="2"/>
    </font>
    <font>
      <sz val="11"/>
      <color theme="8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</cellStyleXfs>
  <cellXfs count="190">
    <xf numFmtId="0" fontId="0" fillId="0" borderId="0" xfId="0"/>
    <xf numFmtId="43" fontId="0" fillId="0" borderId="0" xfId="1" applyFont="1"/>
    <xf numFmtId="9" fontId="4" fillId="0" borderId="0" xfId="0" applyNumberFormat="1" applyFont="1"/>
    <xf numFmtId="0" fontId="4" fillId="0" borderId="0" xfId="0" applyFont="1" applyAlignment="1">
      <alignment horizontal="right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0" xfId="0" applyFont="1"/>
    <xf numFmtId="0" fontId="4" fillId="2" borderId="0" xfId="0" applyFont="1" applyFill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4" fillId="0" borderId="0" xfId="0" applyFont="1"/>
    <xf numFmtId="9" fontId="12" fillId="3" borderId="9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65" fontId="12" fillId="3" borderId="9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166" fontId="9" fillId="0" borderId="0" xfId="1" applyNumberFormat="1" applyFont="1" applyBorder="1" applyAlignment="1">
      <alignment horizontal="center"/>
    </xf>
    <xf numFmtId="0" fontId="14" fillId="0" borderId="1" xfId="0" applyFont="1" applyBorder="1"/>
    <xf numFmtId="0" fontId="14" fillId="0" borderId="4" xfId="0" applyFont="1" applyBorder="1"/>
    <xf numFmtId="0" fontId="6" fillId="0" borderId="0" xfId="0" applyFont="1" applyAlignment="1">
      <alignment horizontal="right"/>
    </xf>
    <xf numFmtId="0" fontId="5" fillId="0" borderId="0" xfId="0" applyFont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5" fillId="0" borderId="7" xfId="0" applyFont="1" applyBorder="1"/>
    <xf numFmtId="4" fontId="12" fillId="3" borderId="10" xfId="0" applyNumberFormat="1" applyFont="1" applyFill="1" applyBorder="1" applyAlignment="1">
      <alignment horizontal="center" vertical="center"/>
    </xf>
    <xf numFmtId="165" fontId="12" fillId="3" borderId="11" xfId="0" applyNumberFormat="1" applyFont="1" applyFill="1" applyBorder="1" applyAlignment="1">
      <alignment horizontal="center" vertical="center"/>
    </xf>
    <xf numFmtId="9" fontId="12" fillId="3" borderId="12" xfId="0" applyNumberFormat="1" applyFont="1" applyFill="1" applyBorder="1" applyAlignment="1">
      <alignment horizontal="center" vertical="center"/>
    </xf>
    <xf numFmtId="4" fontId="12" fillId="3" borderId="9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2" borderId="7" xfId="0" applyFont="1" applyFill="1" applyBorder="1"/>
    <xf numFmtId="0" fontId="6" fillId="0" borderId="4" xfId="0" applyFont="1" applyBorder="1" applyAlignment="1">
      <alignment horizontal="right"/>
    </xf>
    <xf numFmtId="43" fontId="15" fillId="0" borderId="0" xfId="1" applyFont="1" applyBorder="1"/>
    <xf numFmtId="0" fontId="4" fillId="2" borderId="2" xfId="0" applyFont="1" applyFill="1" applyBorder="1"/>
    <xf numFmtId="43" fontId="0" fillId="0" borderId="5" xfId="1" applyFont="1" applyBorder="1"/>
    <xf numFmtId="0" fontId="14" fillId="0" borderId="2" xfId="0" applyFont="1" applyBorder="1"/>
    <xf numFmtId="0" fontId="5" fillId="0" borderId="4" xfId="0" applyFont="1" applyBorder="1"/>
    <xf numFmtId="167" fontId="0" fillId="0" borderId="0" xfId="0" applyNumberFormat="1"/>
    <xf numFmtId="0" fontId="4" fillId="0" borderId="7" xfId="0" applyFont="1" applyBorder="1" applyAlignment="1">
      <alignment horizontal="right"/>
    </xf>
    <xf numFmtId="9" fontId="4" fillId="0" borderId="7" xfId="0" applyNumberFormat="1" applyFont="1" applyBorder="1"/>
    <xf numFmtId="0" fontId="4" fillId="0" borderId="2" xfId="0" applyFont="1" applyBorder="1" applyAlignment="1">
      <alignment horizontal="right"/>
    </xf>
    <xf numFmtId="9" fontId="4" fillId="0" borderId="2" xfId="0" applyNumberFormat="1" applyFont="1" applyBorder="1"/>
    <xf numFmtId="0" fontId="13" fillId="0" borderId="1" xfId="0" applyFont="1" applyBorder="1"/>
    <xf numFmtId="10" fontId="0" fillId="0" borderId="8" xfId="0" applyNumberFormat="1" applyBorder="1"/>
    <xf numFmtId="0" fontId="16" fillId="0" borderId="0" xfId="2"/>
    <xf numFmtId="2" fontId="16" fillId="0" borderId="0" xfId="2" applyNumberFormat="1"/>
    <xf numFmtId="0" fontId="17" fillId="0" borderId="0" xfId="2" applyFont="1"/>
    <xf numFmtId="0" fontId="16" fillId="0" borderId="0" xfId="2" quotePrefix="1" applyAlignment="1">
      <alignment horizontal="left"/>
    </xf>
    <xf numFmtId="0" fontId="18" fillId="0" borderId="0" xfId="2" quotePrefix="1" applyFont="1" applyAlignment="1">
      <alignment horizontal="left"/>
    </xf>
    <xf numFmtId="0" fontId="16" fillId="0" borderId="2" xfId="2" applyBorder="1"/>
    <xf numFmtId="0" fontId="16" fillId="0" borderId="3" xfId="2" applyBorder="1"/>
    <xf numFmtId="0" fontId="17" fillId="0" borderId="4" xfId="2" applyFont="1" applyBorder="1"/>
    <xf numFmtId="0" fontId="17" fillId="0" borderId="5" xfId="2" applyFont="1" applyBorder="1"/>
    <xf numFmtId="0" fontId="16" fillId="0" borderId="5" xfId="2" applyBorder="1"/>
    <xf numFmtId="0" fontId="17" fillId="0" borderId="6" xfId="2" applyFont="1" applyBorder="1"/>
    <xf numFmtId="0" fontId="17" fillId="0" borderId="7" xfId="2" applyFont="1" applyBorder="1"/>
    <xf numFmtId="0" fontId="16" fillId="0" borderId="8" xfId="2" applyBorder="1"/>
    <xf numFmtId="0" fontId="17" fillId="0" borderId="1" xfId="2" applyFont="1" applyBorder="1"/>
    <xf numFmtId="0" fontId="17" fillId="0" borderId="3" xfId="2" applyFont="1" applyBorder="1"/>
    <xf numFmtId="0" fontId="16" fillId="0" borderId="4" xfId="2" applyBorder="1"/>
    <xf numFmtId="0" fontId="16" fillId="0" borderId="6" xfId="2" applyBorder="1"/>
    <xf numFmtId="0" fontId="17" fillId="0" borderId="8" xfId="2" applyFont="1" applyBorder="1" applyAlignment="1">
      <alignment horizontal="center"/>
    </xf>
    <xf numFmtId="164" fontId="17" fillId="0" borderId="1" xfId="2" applyNumberFormat="1" applyFont="1" applyBorder="1"/>
    <xf numFmtId="164" fontId="17" fillId="0" borderId="3" xfId="2" applyNumberFormat="1" applyFont="1" applyBorder="1"/>
    <xf numFmtId="164" fontId="17" fillId="0" borderId="4" xfId="2" quotePrefix="1" applyNumberFormat="1" applyFont="1" applyBorder="1" applyAlignment="1">
      <alignment horizontal="center"/>
    </xf>
    <xf numFmtId="164" fontId="17" fillId="0" borderId="5" xfId="2" quotePrefix="1" applyNumberFormat="1" applyFont="1" applyBorder="1" applyAlignment="1">
      <alignment horizontal="center"/>
    </xf>
    <xf numFmtId="164" fontId="17" fillId="0" borderId="6" xfId="2" quotePrefix="1" applyNumberFormat="1" applyFont="1" applyBorder="1" applyAlignment="1">
      <alignment horizontal="center"/>
    </xf>
    <xf numFmtId="164" fontId="17" fillId="0" borderId="8" xfId="2" quotePrefix="1" applyNumberFormat="1" applyFont="1" applyBorder="1" applyAlignment="1">
      <alignment horizontal="center"/>
    </xf>
    <xf numFmtId="164" fontId="19" fillId="0" borderId="4" xfId="2" applyNumberFormat="1" applyFont="1" applyBorder="1"/>
    <xf numFmtId="164" fontId="19" fillId="0" borderId="6" xfId="2" applyNumberFormat="1" applyFont="1" applyBorder="1"/>
    <xf numFmtId="169" fontId="12" fillId="3" borderId="9" xfId="0" applyNumberFormat="1" applyFont="1" applyFill="1" applyBorder="1" applyAlignment="1">
      <alignment horizontal="center" vertical="center"/>
    </xf>
    <xf numFmtId="0" fontId="16" fillId="0" borderId="7" xfId="2" applyBorder="1"/>
    <xf numFmtId="2" fontId="16" fillId="0" borderId="7" xfId="2" applyNumberFormat="1" applyBorder="1"/>
    <xf numFmtId="0" fontId="17" fillId="0" borderId="1" xfId="2" applyFont="1" applyBorder="1" applyAlignment="1">
      <alignment horizontal="center"/>
    </xf>
    <xf numFmtId="0" fontId="17" fillId="0" borderId="2" xfId="2" applyFont="1" applyBorder="1" applyAlignment="1">
      <alignment horizontal="center"/>
    </xf>
    <xf numFmtId="0" fontId="17" fillId="0" borderId="2" xfId="2" quotePrefix="1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17" fillId="0" borderId="1" xfId="2" quotePrefix="1" applyFont="1" applyBorder="1" applyAlignment="1">
      <alignment horizontal="center"/>
    </xf>
    <xf numFmtId="165" fontId="16" fillId="0" borderId="0" xfId="2" applyNumberFormat="1"/>
    <xf numFmtId="4" fontId="16" fillId="0" borderId="5" xfId="2" applyNumberFormat="1" applyBorder="1"/>
    <xf numFmtId="4" fontId="16" fillId="0" borderId="8" xfId="2" applyNumberFormat="1" applyBorder="1"/>
    <xf numFmtId="2" fontId="16" fillId="0" borderId="4" xfId="2" applyNumberFormat="1" applyBorder="1"/>
    <xf numFmtId="0" fontId="18" fillId="0" borderId="0" xfId="2" applyFont="1"/>
    <xf numFmtId="0" fontId="20" fillId="0" borderId="0" xfId="2" applyFont="1"/>
    <xf numFmtId="0" fontId="18" fillId="0" borderId="0" xfId="0" applyFont="1"/>
    <xf numFmtId="0" fontId="16" fillId="0" borderId="0" xfId="0" applyFont="1"/>
    <xf numFmtId="0" fontId="2" fillId="0" borderId="1" xfId="0" applyFont="1" applyBorder="1"/>
    <xf numFmtId="0" fontId="12" fillId="3" borderId="4" xfId="0" applyFont="1" applyFill="1" applyBorder="1"/>
    <xf numFmtId="0" fontId="9" fillId="0" borderId="4" xfId="0" applyFont="1" applyBorder="1" applyProtection="1">
      <protection locked="0"/>
    </xf>
    <xf numFmtId="0" fontId="5" fillId="4" borderId="4" xfId="0" applyFont="1" applyFill="1" applyBorder="1"/>
    <xf numFmtId="0" fontId="21" fillId="0" borderId="4" xfId="0" applyFont="1" applyBorder="1"/>
    <xf numFmtId="0" fontId="20" fillId="0" borderId="0" xfId="0" applyFont="1"/>
    <xf numFmtId="0" fontId="17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22" fillId="0" borderId="0" xfId="0" applyFont="1"/>
    <xf numFmtId="0" fontId="17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6" fontId="9" fillId="0" borderId="7" xfId="1" applyNumberFormat="1" applyFont="1" applyBorder="1" applyAlignment="1">
      <alignment horizontal="center"/>
    </xf>
    <xf numFmtId="164" fontId="16" fillId="0" borderId="1" xfId="2" applyNumberFormat="1" applyBorder="1"/>
    <xf numFmtId="165" fontId="16" fillId="0" borderId="2" xfId="2" applyNumberFormat="1" applyBorder="1"/>
    <xf numFmtId="168" fontId="16" fillId="0" borderId="2" xfId="2" applyNumberFormat="1" applyBorder="1"/>
    <xf numFmtId="2" fontId="16" fillId="0" borderId="2" xfId="2" applyNumberFormat="1" applyBorder="1"/>
    <xf numFmtId="4" fontId="16" fillId="0" borderId="3" xfId="2" applyNumberFormat="1" applyBorder="1"/>
    <xf numFmtId="165" fontId="0" fillId="0" borderId="0" xfId="0" applyNumberFormat="1"/>
    <xf numFmtId="165" fontId="0" fillId="0" borderId="7" xfId="0" applyNumberFormat="1" applyBorder="1"/>
    <xf numFmtId="171" fontId="0" fillId="0" borderId="7" xfId="0" applyNumberFormat="1" applyBorder="1"/>
    <xf numFmtId="0" fontId="0" fillId="0" borderId="13" xfId="0" applyBorder="1" applyAlignment="1">
      <alignment horizontal="center"/>
    </xf>
    <xf numFmtId="0" fontId="0" fillId="3" borderId="14" xfId="0" applyFill="1" applyBorder="1"/>
    <xf numFmtId="0" fontId="0" fillId="0" borderId="13" xfId="0" applyBorder="1"/>
    <xf numFmtId="0" fontId="0" fillId="0" borderId="15" xfId="0" applyBorder="1"/>
    <xf numFmtId="173" fontId="12" fillId="3" borderId="9" xfId="0" applyNumberFormat="1" applyFont="1" applyFill="1" applyBorder="1" applyAlignment="1">
      <alignment horizontal="center" vertical="center"/>
    </xf>
    <xf numFmtId="170" fontId="0" fillId="0" borderId="7" xfId="0" applyNumberFormat="1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9" fontId="0" fillId="0" borderId="7" xfId="0" applyNumberFormat="1" applyBorder="1"/>
    <xf numFmtId="0" fontId="2" fillId="5" borderId="15" xfId="0" applyFont="1" applyFill="1" applyBorder="1"/>
    <xf numFmtId="0" fontId="2" fillId="5" borderId="14" xfId="0" applyFont="1" applyFill="1" applyBorder="1"/>
    <xf numFmtId="0" fontId="2" fillId="5" borderId="9" xfId="0" applyFont="1" applyFill="1" applyBorder="1"/>
    <xf numFmtId="174" fontId="16" fillId="0" borderId="2" xfId="2" applyNumberFormat="1" applyBorder="1"/>
    <xf numFmtId="164" fontId="19" fillId="0" borderId="0" xfId="2" applyNumberFormat="1" applyFont="1"/>
    <xf numFmtId="164" fontId="19" fillId="0" borderId="7" xfId="2" applyNumberFormat="1" applyFont="1" applyBorder="1"/>
    <xf numFmtId="9" fontId="17" fillId="0" borderId="0" xfId="3" applyFont="1" applyBorder="1"/>
    <xf numFmtId="0" fontId="17" fillId="0" borderId="0" xfId="2" applyFont="1" applyAlignment="1">
      <alignment horizontal="center"/>
    </xf>
    <xf numFmtId="0" fontId="17" fillId="0" borderId="0" xfId="2" quotePrefix="1" applyFont="1" applyAlignment="1">
      <alignment horizontal="center"/>
    </xf>
    <xf numFmtId="0" fontId="17" fillId="0" borderId="4" xfId="2" applyFont="1" applyBorder="1" applyAlignment="1">
      <alignment horizontal="center"/>
    </xf>
    <xf numFmtId="0" fontId="17" fillId="0" borderId="5" xfId="2" applyFont="1" applyBorder="1" applyAlignment="1">
      <alignment horizontal="center"/>
    </xf>
    <xf numFmtId="168" fontId="16" fillId="0" borderId="0" xfId="2" applyNumberFormat="1"/>
    <xf numFmtId="174" fontId="16" fillId="0" borderId="0" xfId="2" applyNumberFormat="1"/>
    <xf numFmtId="164" fontId="16" fillId="0" borderId="4" xfId="2" applyNumberFormat="1" applyBorder="1"/>
    <xf numFmtId="164" fontId="16" fillId="0" borderId="6" xfId="2" applyNumberFormat="1" applyBorder="1"/>
    <xf numFmtId="165" fontId="16" fillId="0" borderId="7" xfId="2" applyNumberFormat="1" applyBorder="1"/>
    <xf numFmtId="168" fontId="16" fillId="0" borderId="7" xfId="2" applyNumberFormat="1" applyBorder="1"/>
    <xf numFmtId="174" fontId="16" fillId="0" borderId="7" xfId="2" applyNumberFormat="1" applyBorder="1"/>
    <xf numFmtId="174" fontId="16" fillId="0" borderId="5" xfId="2" applyNumberFormat="1" applyBorder="1"/>
    <xf numFmtId="2" fontId="17" fillId="3" borderId="14" xfId="2" applyNumberFormat="1" applyFont="1" applyFill="1" applyBorder="1"/>
    <xf numFmtId="0" fontId="17" fillId="0" borderId="4" xfId="2" quotePrefix="1" applyFont="1" applyBorder="1" applyAlignment="1">
      <alignment horizontal="center"/>
    </xf>
    <xf numFmtId="9" fontId="2" fillId="0" borderId="0" xfId="3" applyFont="1" applyBorder="1" applyAlignment="1">
      <alignment horizontal="center"/>
    </xf>
    <xf numFmtId="0" fontId="17" fillId="3" borderId="9" xfId="2" applyFont="1" applyFill="1" applyBorder="1"/>
    <xf numFmtId="2" fontId="0" fillId="0" borderId="0" xfId="0" applyNumberFormat="1"/>
    <xf numFmtId="174" fontId="0" fillId="0" borderId="0" xfId="0" applyNumberFormat="1"/>
    <xf numFmtId="2" fontId="0" fillId="0" borderId="7" xfId="0" applyNumberFormat="1" applyBorder="1"/>
    <xf numFmtId="174" fontId="0" fillId="0" borderId="7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3" borderId="9" xfId="0" applyNumberFormat="1" applyFill="1" applyBorder="1"/>
    <xf numFmtId="0" fontId="2" fillId="3" borderId="17" xfId="0" applyFont="1" applyFill="1" applyBorder="1"/>
    <xf numFmtId="0" fontId="0" fillId="3" borderId="7" xfId="0" applyFill="1" applyBorder="1"/>
    <xf numFmtId="0" fontId="0" fillId="3" borderId="8" xfId="0" applyFill="1" applyBorder="1"/>
    <xf numFmtId="9" fontId="0" fillId="0" borderId="2" xfId="0" applyNumberFormat="1" applyBorder="1"/>
    <xf numFmtId="9" fontId="0" fillId="0" borderId="0" xfId="0" applyNumberFormat="1"/>
    <xf numFmtId="0" fontId="24" fillId="0" borderId="1" xfId="0" applyFont="1" applyBorder="1"/>
    <xf numFmtId="0" fontId="24" fillId="0" borderId="4" xfId="0" applyFont="1" applyBorder="1"/>
    <xf numFmtId="0" fontId="24" fillId="0" borderId="6" xfId="0" applyFont="1" applyBorder="1"/>
    <xf numFmtId="0" fontId="2" fillId="3" borderId="6" xfId="0" applyFont="1" applyFill="1" applyBorder="1"/>
    <xf numFmtId="0" fontId="0" fillId="0" borderId="1" xfId="0" applyBorder="1"/>
    <xf numFmtId="174" fontId="0" fillId="0" borderId="2" xfId="0" applyNumberFormat="1" applyBorder="1"/>
    <xf numFmtId="165" fontId="0" fillId="0" borderId="2" xfId="0" applyNumberFormat="1" applyBorder="1"/>
    <xf numFmtId="2" fontId="0" fillId="0" borderId="2" xfId="0" applyNumberFormat="1" applyBorder="1"/>
    <xf numFmtId="174" fontId="0" fillId="0" borderId="3" xfId="0" applyNumberFormat="1" applyBorder="1"/>
    <xf numFmtId="170" fontId="0" fillId="0" borderId="0" xfId="0" applyNumberFormat="1"/>
    <xf numFmtId="174" fontId="0" fillId="0" borderId="5" xfId="0" applyNumberFormat="1" applyBorder="1"/>
    <xf numFmtId="174" fontId="0" fillId="0" borderId="8" xfId="0" applyNumberFormat="1" applyBorder="1"/>
    <xf numFmtId="0" fontId="2" fillId="0" borderId="18" xfId="0" applyFont="1" applyBorder="1"/>
    <xf numFmtId="0" fontId="0" fillId="3" borderId="19" xfId="0" applyFill="1" applyBorder="1"/>
    <xf numFmtId="171" fontId="0" fillId="0" borderId="0" xfId="0" applyNumberFormat="1"/>
    <xf numFmtId="172" fontId="0" fillId="0" borderId="0" xfId="0" applyNumberFormat="1"/>
    <xf numFmtId="169" fontId="0" fillId="0" borderId="0" xfId="0" applyNumberFormat="1"/>
    <xf numFmtId="172" fontId="0" fillId="0" borderId="7" xfId="0" applyNumberFormat="1" applyBorder="1"/>
    <xf numFmtId="169" fontId="0" fillId="0" borderId="7" xfId="0" applyNumberFormat="1" applyBorder="1"/>
    <xf numFmtId="0" fontId="17" fillId="0" borderId="1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8AA0E5F9-AFA6-4115-A710-22576797D5A9}"/>
    <cellStyle name="Percent 2" xfId="3" xr:uid="{799142DD-78B1-433A-8952-8602387E8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528637</xdr:colOff>
          <xdr:row>1</xdr:row>
          <xdr:rowOff>195262</xdr:rowOff>
        </xdr:from>
        <xdr:to>
          <xdr:col>13</xdr:col>
          <xdr:colOff>145627</xdr:colOff>
          <xdr:row>8</xdr:row>
          <xdr:rowOff>75806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D384D728-6859-24DA-1B2B-C1CA7F7738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7:$M$14" spid="_x0000_s113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72175" y="376237"/>
              <a:ext cx="7113165" cy="143311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647701</xdr:colOff>
          <xdr:row>9</xdr:row>
          <xdr:rowOff>71437</xdr:rowOff>
        </xdr:from>
        <xdr:to>
          <xdr:col>13</xdr:col>
          <xdr:colOff>491899</xdr:colOff>
          <xdr:row>18</xdr:row>
          <xdr:rowOff>157162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7A26025C-3799-5AD2-EE40-19CF54199D8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18:$K$26" spid="_x0000_s123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638801" y="2162175"/>
              <a:ext cx="6854598" cy="191928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708931</xdr:colOff>
          <xdr:row>7</xdr:row>
          <xdr:rowOff>114300</xdr:rowOff>
        </xdr:from>
        <xdr:to>
          <xdr:col>13</xdr:col>
          <xdr:colOff>457199</xdr:colOff>
          <xdr:row>16</xdr:row>
          <xdr:rowOff>143991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E36D842F-7A2A-EC1B-256C-37BFF61926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30:$N$42" spid="_x0000_s133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14406" y="1666875"/>
              <a:ext cx="6696756" cy="202994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233364</xdr:colOff>
          <xdr:row>2</xdr:row>
          <xdr:rowOff>70562</xdr:rowOff>
        </xdr:from>
        <xdr:to>
          <xdr:col>17</xdr:col>
          <xdr:colOff>321414</xdr:colOff>
          <xdr:row>8</xdr:row>
          <xdr:rowOff>157161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228CAF3-2A4A-C491-BDFC-3104D53E901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46:$L$49" spid="_x0000_s143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05089" y="518237"/>
              <a:ext cx="10598888" cy="11914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298828</xdr:colOff>
          <xdr:row>1</xdr:row>
          <xdr:rowOff>32692</xdr:rowOff>
        </xdr:from>
        <xdr:to>
          <xdr:col>24</xdr:col>
          <xdr:colOff>326091</xdr:colOff>
          <xdr:row>17</xdr:row>
          <xdr:rowOff>57744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D88FC12-81CA-6CEA-73DA-8CF36EF9A8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nstructions!$C$53:$M$70" spid="_x0000_s164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003776" y="199625"/>
              <a:ext cx="6616207" cy="302002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D5FB-1241-4CF0-B57B-B253CC03D078}">
  <sheetPr codeName="Sheet4"/>
  <dimension ref="B2:P70"/>
  <sheetViews>
    <sheetView zoomScale="109" zoomScaleNormal="93"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C59" sqref="C59"/>
    </sheetView>
  </sheetViews>
  <sheetFormatPr defaultRowHeight="14.25" x14ac:dyDescent="0.45"/>
  <sheetData>
    <row r="2" spans="2:16" x14ac:dyDescent="0.45">
      <c r="B2" s="94" t="s">
        <v>90</v>
      </c>
    </row>
    <row r="3" spans="2:16" x14ac:dyDescent="0.45">
      <c r="B3" s="101" t="s">
        <v>91</v>
      </c>
    </row>
    <row r="4" spans="2:16" x14ac:dyDescent="0.45">
      <c r="B4" s="95"/>
    </row>
    <row r="5" spans="2:16" x14ac:dyDescent="0.45">
      <c r="B5" s="94" t="s">
        <v>92</v>
      </c>
      <c r="K5" s="102"/>
    </row>
    <row r="6" spans="2:16" x14ac:dyDescent="0.45">
      <c r="C6" s="95"/>
      <c r="K6" s="95"/>
    </row>
    <row r="7" spans="2:16" x14ac:dyDescent="0.45">
      <c r="C7" s="95" t="s">
        <v>98</v>
      </c>
      <c r="K7" s="95"/>
      <c r="L7" s="104"/>
    </row>
    <row r="8" spans="2:16" x14ac:dyDescent="0.45">
      <c r="C8" s="95" t="s">
        <v>95</v>
      </c>
      <c r="K8" s="95"/>
      <c r="L8" s="104"/>
    </row>
    <row r="9" spans="2:16" x14ac:dyDescent="0.45">
      <c r="C9" s="95" t="s">
        <v>96</v>
      </c>
      <c r="D9" s="105"/>
    </row>
    <row r="10" spans="2:16" x14ac:dyDescent="0.45">
      <c r="C10" t="s">
        <v>97</v>
      </c>
      <c r="D10" s="106"/>
      <c r="K10" s="95"/>
    </row>
    <row r="11" spans="2:16" x14ac:dyDescent="0.45">
      <c r="B11" s="95"/>
      <c r="C11" s="103"/>
      <c r="D11" s="106"/>
      <c r="K11" s="95"/>
      <c r="L11" s="107"/>
      <c r="N11" s="5"/>
      <c r="P11" s="5"/>
    </row>
    <row r="12" spans="2:16" x14ac:dyDescent="0.45">
      <c r="C12" s="103" t="s">
        <v>101</v>
      </c>
      <c r="D12" s="106"/>
      <c r="K12" s="95"/>
      <c r="L12" s="107"/>
    </row>
    <row r="13" spans="2:16" x14ac:dyDescent="0.45">
      <c r="B13" s="95"/>
      <c r="C13" s="103" t="s">
        <v>99</v>
      </c>
      <c r="D13" s="106"/>
      <c r="K13" s="95"/>
      <c r="L13" s="5"/>
      <c r="M13" s="95"/>
    </row>
    <row r="14" spans="2:16" x14ac:dyDescent="0.45">
      <c r="B14" s="95"/>
      <c r="C14" s="108" t="s">
        <v>100</v>
      </c>
      <c r="D14" s="106"/>
      <c r="K14" s="95"/>
      <c r="L14" s="5"/>
    </row>
    <row r="15" spans="2:16" x14ac:dyDescent="0.45">
      <c r="B15" s="95"/>
      <c r="C15" s="106"/>
      <c r="D15" s="103"/>
      <c r="F15" s="95"/>
      <c r="K15" s="95"/>
    </row>
    <row r="16" spans="2:16" x14ac:dyDescent="0.45">
      <c r="B16" s="94" t="s">
        <v>102</v>
      </c>
      <c r="D16" s="103"/>
      <c r="F16" s="95"/>
    </row>
    <row r="17" spans="2:16" x14ac:dyDescent="0.45">
      <c r="C17" s="95"/>
      <c r="D17" s="103"/>
      <c r="F17" s="95"/>
    </row>
    <row r="18" spans="2:16" x14ac:dyDescent="0.45">
      <c r="C18" t="s">
        <v>103</v>
      </c>
      <c r="D18" s="103"/>
      <c r="F18" s="95"/>
    </row>
    <row r="19" spans="2:16" x14ac:dyDescent="0.45">
      <c r="B19" s="95"/>
      <c r="C19" s="95" t="s">
        <v>104</v>
      </c>
    </row>
    <row r="20" spans="2:16" x14ac:dyDescent="0.45">
      <c r="C20" s="95" t="s">
        <v>105</v>
      </c>
      <c r="P20" s="5"/>
    </row>
    <row r="21" spans="2:16" x14ac:dyDescent="0.45">
      <c r="C21" s="95" t="s">
        <v>106</v>
      </c>
    </row>
    <row r="22" spans="2:16" x14ac:dyDescent="0.45">
      <c r="B22" s="95"/>
      <c r="C22" s="95"/>
    </row>
    <row r="23" spans="2:16" x14ac:dyDescent="0.45">
      <c r="B23" s="95"/>
      <c r="C23" s="95" t="s">
        <v>107</v>
      </c>
      <c r="E23" s="109" t="s">
        <v>111</v>
      </c>
    </row>
    <row r="24" spans="2:16" x14ac:dyDescent="0.45">
      <c r="C24" s="95" t="s">
        <v>108</v>
      </c>
      <c r="E24" s="109" t="s">
        <v>112</v>
      </c>
    </row>
    <row r="25" spans="2:16" x14ac:dyDescent="0.45">
      <c r="B25" s="95"/>
      <c r="C25" s="95" t="s">
        <v>109</v>
      </c>
      <c r="E25" s="110">
        <v>200</v>
      </c>
    </row>
    <row r="26" spans="2:16" x14ac:dyDescent="0.45">
      <c r="B26" s="95"/>
      <c r="C26" s="95" t="s">
        <v>110</v>
      </c>
      <c r="E26" s="109" t="s">
        <v>113</v>
      </c>
    </row>
    <row r="27" spans="2:16" x14ac:dyDescent="0.45">
      <c r="C27" s="95"/>
    </row>
    <row r="28" spans="2:16" x14ac:dyDescent="0.45">
      <c r="B28" s="94" t="s">
        <v>114</v>
      </c>
      <c r="C28" s="101"/>
    </row>
    <row r="29" spans="2:16" x14ac:dyDescent="0.45">
      <c r="C29" s="95"/>
    </row>
    <row r="30" spans="2:16" x14ac:dyDescent="0.45">
      <c r="B30" s="95"/>
      <c r="C30" s="95" t="s">
        <v>115</v>
      </c>
    </row>
    <row r="31" spans="2:16" x14ac:dyDescent="0.45">
      <c r="C31" t="s">
        <v>116</v>
      </c>
    </row>
    <row r="32" spans="2:16" x14ac:dyDescent="0.45">
      <c r="C32" s="95" t="s">
        <v>117</v>
      </c>
    </row>
    <row r="33" spans="2:6" x14ac:dyDescent="0.45">
      <c r="C33" s="95" t="s">
        <v>118</v>
      </c>
    </row>
    <row r="34" spans="2:6" x14ac:dyDescent="0.45">
      <c r="C34" s="95" t="s">
        <v>106</v>
      </c>
    </row>
    <row r="36" spans="2:6" x14ac:dyDescent="0.45">
      <c r="C36" s="95" t="s">
        <v>107</v>
      </c>
      <c r="E36" t="s">
        <v>120</v>
      </c>
    </row>
    <row r="37" spans="2:6" x14ac:dyDescent="0.45">
      <c r="C37" s="95" t="s">
        <v>108</v>
      </c>
      <c r="E37" t="s">
        <v>121</v>
      </c>
    </row>
    <row r="38" spans="2:6" x14ac:dyDescent="0.45">
      <c r="C38" s="95" t="s">
        <v>109</v>
      </c>
      <c r="D38" s="103"/>
      <c r="E38" t="s">
        <v>122</v>
      </c>
      <c r="F38" s="95"/>
    </row>
    <row r="39" spans="2:6" x14ac:dyDescent="0.45">
      <c r="C39" s="95" t="s">
        <v>110</v>
      </c>
      <c r="D39" s="103"/>
      <c r="E39" t="s">
        <v>123</v>
      </c>
      <c r="F39" s="95"/>
    </row>
    <row r="40" spans="2:6" x14ac:dyDescent="0.45">
      <c r="C40" s="95" t="s">
        <v>119</v>
      </c>
      <c r="D40" s="103"/>
      <c r="E40" t="s">
        <v>124</v>
      </c>
      <c r="F40" s="95"/>
    </row>
    <row r="42" spans="2:6" x14ac:dyDescent="0.45">
      <c r="C42" s="101" t="s">
        <v>125</v>
      </c>
    </row>
    <row r="43" spans="2:6" x14ac:dyDescent="0.45">
      <c r="C43" s="101"/>
    </row>
    <row r="44" spans="2:6" x14ac:dyDescent="0.45">
      <c r="B44" s="94" t="s">
        <v>126</v>
      </c>
      <c r="C44" s="95"/>
    </row>
    <row r="45" spans="2:6" x14ac:dyDescent="0.45">
      <c r="C45" s="95"/>
    </row>
    <row r="46" spans="2:6" x14ac:dyDescent="0.45">
      <c r="C46" t="s">
        <v>127</v>
      </c>
    </row>
    <row r="47" spans="2:6" x14ac:dyDescent="0.45">
      <c r="B47" s="95"/>
      <c r="C47" t="s">
        <v>128</v>
      </c>
    </row>
    <row r="48" spans="2:6" x14ac:dyDescent="0.45">
      <c r="C48" s="95" t="s">
        <v>129</v>
      </c>
    </row>
    <row r="49" spans="2:5" x14ac:dyDescent="0.45">
      <c r="C49" s="95" t="s">
        <v>130</v>
      </c>
    </row>
    <row r="50" spans="2:5" x14ac:dyDescent="0.45">
      <c r="C50" s="95"/>
    </row>
    <row r="51" spans="2:5" x14ac:dyDescent="0.45">
      <c r="B51" s="94" t="s">
        <v>131</v>
      </c>
    </row>
    <row r="53" spans="2:5" x14ac:dyDescent="0.45">
      <c r="C53" t="s">
        <v>132</v>
      </c>
    </row>
    <row r="54" spans="2:5" x14ac:dyDescent="0.45">
      <c r="C54" t="s">
        <v>133</v>
      </c>
    </row>
    <row r="55" spans="2:5" x14ac:dyDescent="0.45">
      <c r="C55" t="s">
        <v>134</v>
      </c>
    </row>
    <row r="56" spans="2:5" x14ac:dyDescent="0.45">
      <c r="C56" t="s">
        <v>135</v>
      </c>
    </row>
    <row r="59" spans="2:5" x14ac:dyDescent="0.45">
      <c r="C59" s="95" t="s">
        <v>107</v>
      </c>
      <c r="E59" t="s">
        <v>136</v>
      </c>
    </row>
    <row r="60" spans="2:5" x14ac:dyDescent="0.45">
      <c r="C60" s="95" t="s">
        <v>108</v>
      </c>
      <c r="E60" t="s">
        <v>137</v>
      </c>
    </row>
    <row r="61" spans="2:5" x14ac:dyDescent="0.45">
      <c r="C61" s="95" t="s">
        <v>109</v>
      </c>
      <c r="E61" t="s">
        <v>138</v>
      </c>
    </row>
    <row r="62" spans="2:5" x14ac:dyDescent="0.45">
      <c r="C62" s="95" t="s">
        <v>110</v>
      </c>
      <c r="E62" t="s">
        <v>139</v>
      </c>
    </row>
    <row r="64" spans="2:5" x14ac:dyDescent="0.45">
      <c r="C64" s="95" t="s">
        <v>72</v>
      </c>
      <c r="D64" t="s">
        <v>140</v>
      </c>
    </row>
    <row r="66" spans="3:4" x14ac:dyDescent="0.45">
      <c r="C66" s="95" t="s">
        <v>93</v>
      </c>
      <c r="D66" t="s">
        <v>141</v>
      </c>
    </row>
    <row r="68" spans="3:4" x14ac:dyDescent="0.45">
      <c r="C68" t="s">
        <v>94</v>
      </c>
      <c r="D68" t="s">
        <v>142</v>
      </c>
    </row>
    <row r="69" spans="3:4" x14ac:dyDescent="0.45">
      <c r="D69" t="s">
        <v>143</v>
      </c>
    </row>
    <row r="70" spans="3:4" x14ac:dyDescent="0.45">
      <c r="D7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7CAB-B3A0-450E-97E5-6D75CA53159A}">
  <sheetPr codeName="Sheet5"/>
  <dimension ref="A2:B19"/>
  <sheetViews>
    <sheetView workbookViewId="0"/>
  </sheetViews>
  <sheetFormatPr defaultRowHeight="14.25" x14ac:dyDescent="0.45"/>
  <cols>
    <col min="1" max="1" width="37.3984375" customWidth="1"/>
  </cols>
  <sheetData>
    <row r="2" spans="1:2" x14ac:dyDescent="0.45">
      <c r="A2" s="94" t="s">
        <v>78</v>
      </c>
    </row>
    <row r="4" spans="1:2" x14ac:dyDescent="0.45">
      <c r="A4" s="95" t="s">
        <v>79</v>
      </c>
    </row>
    <row r="5" spans="1:2" x14ac:dyDescent="0.45">
      <c r="A5" s="95" t="s">
        <v>80</v>
      </c>
    </row>
    <row r="6" spans="1:2" x14ac:dyDescent="0.45">
      <c r="A6" s="95" t="s">
        <v>81</v>
      </c>
    </row>
    <row r="7" spans="1:2" x14ac:dyDescent="0.45">
      <c r="A7" s="95" t="s">
        <v>82</v>
      </c>
    </row>
    <row r="8" spans="1:2" x14ac:dyDescent="0.45">
      <c r="A8" s="95" t="s">
        <v>83</v>
      </c>
    </row>
    <row r="9" spans="1:2" x14ac:dyDescent="0.45">
      <c r="A9" s="95"/>
    </row>
    <row r="10" spans="1:2" ht="14.65" thickBot="1" x14ac:dyDescent="0.5"/>
    <row r="11" spans="1:2" x14ac:dyDescent="0.45">
      <c r="A11" s="96" t="s">
        <v>84</v>
      </c>
      <c r="B11" s="14"/>
    </row>
    <row r="12" spans="1:2" x14ac:dyDescent="0.45">
      <c r="A12" s="15"/>
      <c r="B12" s="16"/>
    </row>
    <row r="13" spans="1:2" x14ac:dyDescent="0.45">
      <c r="A13" s="97" t="s">
        <v>85</v>
      </c>
      <c r="B13" s="16"/>
    </row>
    <row r="14" spans="1:2" x14ac:dyDescent="0.45">
      <c r="A14" s="98" t="s">
        <v>86</v>
      </c>
      <c r="B14" s="16"/>
    </row>
    <row r="15" spans="1:2" x14ac:dyDescent="0.45">
      <c r="A15" s="46" t="s">
        <v>87</v>
      </c>
      <c r="B15" s="16"/>
    </row>
    <row r="16" spans="1:2" x14ac:dyDescent="0.45">
      <c r="A16" s="99" t="s">
        <v>88</v>
      </c>
      <c r="B16" s="16"/>
    </row>
    <row r="17" spans="1:2" x14ac:dyDescent="0.45">
      <c r="A17" s="100" t="s">
        <v>89</v>
      </c>
      <c r="B17" s="16"/>
    </row>
    <row r="18" spans="1:2" x14ac:dyDescent="0.45">
      <c r="A18" s="15"/>
      <c r="B18" s="16"/>
    </row>
    <row r="19" spans="1:2" ht="14.65" thickBot="1" x14ac:dyDescent="0.5">
      <c r="A19" s="17"/>
      <c r="B19" s="1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N24"/>
  <sheetViews>
    <sheetView topLeftCell="A2" workbookViewId="0">
      <selection activeCell="G13" sqref="G13"/>
    </sheetView>
  </sheetViews>
  <sheetFormatPr defaultRowHeight="14.25" x14ac:dyDescent="0.45"/>
  <cols>
    <col min="2" max="2" width="11.265625" customWidth="1"/>
    <col min="3" max="3" width="14.59765625" bestFit="1" customWidth="1"/>
    <col min="4" max="4" width="14.59765625" customWidth="1"/>
    <col min="5" max="5" width="11.265625" customWidth="1"/>
    <col min="6" max="6" width="15.3984375" customWidth="1"/>
    <col min="7" max="7" width="17.1328125" customWidth="1"/>
    <col min="8" max="8" width="13.3984375" customWidth="1"/>
    <col min="9" max="9" width="14.53125" customWidth="1"/>
    <col min="10" max="10" width="19.59765625" customWidth="1"/>
    <col min="11" max="11" width="11.73046875" customWidth="1"/>
    <col min="12" max="12" width="12.73046875" customWidth="1"/>
    <col min="13" max="13" width="15.796875" customWidth="1"/>
  </cols>
  <sheetData>
    <row r="2" spans="2:14" ht="21" x14ac:dyDescent="0.65">
      <c r="C2" s="20" t="s">
        <v>92</v>
      </c>
    </row>
    <row r="5" spans="2:14" ht="14.65" thickBot="1" x14ac:dyDescent="0.5">
      <c r="B5" s="12"/>
    </row>
    <row r="6" spans="2:14" ht="21.4" thickBot="1" x14ac:dyDescent="0.7">
      <c r="B6" s="12"/>
      <c r="C6" s="26" t="s">
        <v>18</v>
      </c>
      <c r="D6" s="45"/>
      <c r="E6" s="13"/>
      <c r="F6" s="13"/>
      <c r="G6" s="13"/>
      <c r="H6" s="13"/>
      <c r="I6" s="13"/>
      <c r="J6" s="14"/>
    </row>
    <row r="7" spans="2:14" ht="18.399999999999999" thickBot="1" x14ac:dyDescent="0.6">
      <c r="B7" s="12"/>
      <c r="C7" s="46"/>
      <c r="D7" s="29"/>
      <c r="E7" s="28" t="s">
        <v>12</v>
      </c>
      <c r="F7" s="21">
        <v>0.06</v>
      </c>
      <c r="J7" s="16"/>
    </row>
    <row r="8" spans="2:14" ht="18.399999999999999" thickBot="1" x14ac:dyDescent="0.6">
      <c r="C8" s="46"/>
      <c r="D8" s="29"/>
      <c r="E8" s="28" t="s">
        <v>17</v>
      </c>
      <c r="F8" s="47">
        <f>1/(1+interest)</f>
        <v>0.94339622641509424</v>
      </c>
      <c r="J8" s="16"/>
    </row>
    <row r="9" spans="2:14" ht="18.399999999999999" thickBot="1" x14ac:dyDescent="0.6">
      <c r="C9" s="46"/>
      <c r="D9" s="29"/>
      <c r="E9" s="28" t="s">
        <v>2</v>
      </c>
      <c r="F9" s="22">
        <v>20</v>
      </c>
      <c r="J9" s="16"/>
    </row>
    <row r="10" spans="2:14" ht="18.399999999999999" thickBot="1" x14ac:dyDescent="0.6">
      <c r="C10" s="15"/>
      <c r="E10" s="28" t="s">
        <v>6</v>
      </c>
      <c r="F10" s="23">
        <v>41857.265453791711</v>
      </c>
      <c r="G10" s="12" t="s">
        <v>16</v>
      </c>
      <c r="J10" s="16"/>
    </row>
    <row r="11" spans="2:14" ht="14.65" thickBot="1" x14ac:dyDescent="0.5">
      <c r="C11" s="17"/>
      <c r="D11" s="18"/>
      <c r="E11" s="18" t="s">
        <v>145</v>
      </c>
      <c r="F11" s="18">
        <f>10000</f>
        <v>10000</v>
      </c>
      <c r="G11" s="18"/>
      <c r="H11" s="48"/>
      <c r="I11" s="49"/>
      <c r="J11" s="19"/>
    </row>
    <row r="12" spans="2:14" ht="14.65" thickBot="1" x14ac:dyDescent="0.5">
      <c r="H12" s="3"/>
      <c r="I12" s="2"/>
    </row>
    <row r="13" spans="2:14" ht="21" x14ac:dyDescent="0.65">
      <c r="C13" s="26" t="s">
        <v>23</v>
      </c>
      <c r="D13" s="13"/>
      <c r="E13" s="13"/>
      <c r="F13" s="13"/>
      <c r="G13" s="13"/>
      <c r="H13" s="50"/>
      <c r="I13" s="51"/>
      <c r="J13" s="13"/>
      <c r="K13" s="13"/>
      <c r="L13" s="13"/>
      <c r="M13" s="13"/>
      <c r="N13" s="14"/>
    </row>
    <row r="14" spans="2:14" x14ac:dyDescent="0.45">
      <c r="C14" s="15"/>
      <c r="N14" s="16"/>
    </row>
    <row r="15" spans="2:14" ht="14.65" thickBot="1" x14ac:dyDescent="0.5">
      <c r="C15" s="15"/>
      <c r="N15" s="16"/>
    </row>
    <row r="16" spans="2:14" ht="28.5" x14ac:dyDescent="0.45">
      <c r="C16" s="6" t="s">
        <v>0</v>
      </c>
      <c r="D16" s="7" t="s">
        <v>14</v>
      </c>
      <c r="E16" s="4" t="s">
        <v>1</v>
      </c>
      <c r="F16" s="4" t="s">
        <v>2</v>
      </c>
      <c r="G16" s="4" t="s">
        <v>3</v>
      </c>
      <c r="H16" s="4" t="s">
        <v>4</v>
      </c>
      <c r="I16" s="4" t="s">
        <v>5</v>
      </c>
      <c r="J16" s="4" t="s">
        <v>7</v>
      </c>
      <c r="K16" s="7" t="s">
        <v>8</v>
      </c>
      <c r="L16" s="7" t="s">
        <v>9</v>
      </c>
      <c r="M16" s="24" t="s">
        <v>10</v>
      </c>
      <c r="N16" s="16"/>
    </row>
    <row r="17" spans="2:14" x14ac:dyDescent="0.45">
      <c r="C17" s="8">
        <v>1</v>
      </c>
      <c r="D17" s="25">
        <v>2.5079999999999998E-3</v>
      </c>
      <c r="E17" s="117">
        <f>F10</f>
        <v>41857.265453791711</v>
      </c>
      <c r="F17">
        <f>Expenses</f>
        <v>20</v>
      </c>
      <c r="G17">
        <f>interest+1</f>
        <v>1.06</v>
      </c>
      <c r="H17">
        <f>0</f>
        <v>0</v>
      </c>
      <c r="I17">
        <f>$F$11</f>
        <v>10000</v>
      </c>
      <c r="J17" s="179">
        <f>(E17-F17)*G17-I17*(1-D17)</f>
        <v>34372.581381019219</v>
      </c>
      <c r="K17" s="180">
        <f>1</f>
        <v>1</v>
      </c>
      <c r="L17" s="181">
        <f>$F$8^C17</f>
        <v>0.94339622641509424</v>
      </c>
      <c r="M17" s="16">
        <f>PRODUCT(J17:L17)</f>
        <v>32426.96356699926</v>
      </c>
      <c r="N17" s="16"/>
    </row>
    <row r="18" spans="2:14" x14ac:dyDescent="0.45">
      <c r="C18" s="8">
        <v>2</v>
      </c>
      <c r="D18" s="25">
        <v>2.8089999999999999E-3</v>
      </c>
      <c r="E18" s="117">
        <f>0</f>
        <v>0</v>
      </c>
      <c r="F18">
        <f>Expenses</f>
        <v>20</v>
      </c>
      <c r="G18">
        <f>interest+1</f>
        <v>1.06</v>
      </c>
      <c r="H18">
        <f>0</f>
        <v>0</v>
      </c>
      <c r="I18">
        <f t="shared" ref="I18:I21" si="0">$F$11</f>
        <v>10000</v>
      </c>
      <c r="J18" s="179">
        <f t="shared" ref="J18:J21" si="1">(E18-F18)*G18-I18*(1-D18)</f>
        <v>-9993.11</v>
      </c>
      <c r="K18" s="180">
        <f>(1-D17)*K17</f>
        <v>0.99749200000000005</v>
      </c>
      <c r="L18" s="181">
        <f t="shared" ref="L18:L21" si="2">$F$8^C18</f>
        <v>0.88999644001423972</v>
      </c>
      <c r="M18" s="16">
        <f t="shared" ref="M18:M21" si="3">PRODUCT(J18:L18)</f>
        <v>-8871.5265932004259</v>
      </c>
      <c r="N18" s="16"/>
    </row>
    <row r="19" spans="2:14" x14ac:dyDescent="0.45">
      <c r="C19" s="8">
        <v>3</v>
      </c>
      <c r="D19" s="25">
        <v>3.1519999999999999E-3</v>
      </c>
      <c r="E19" s="117">
        <f>0</f>
        <v>0</v>
      </c>
      <c r="F19">
        <f>Expenses</f>
        <v>20</v>
      </c>
      <c r="G19">
        <f>interest+1</f>
        <v>1.06</v>
      </c>
      <c r="H19">
        <f>0</f>
        <v>0</v>
      </c>
      <c r="I19">
        <f t="shared" si="0"/>
        <v>10000</v>
      </c>
      <c r="J19" s="179">
        <f t="shared" si="1"/>
        <v>-9989.68</v>
      </c>
      <c r="K19" s="180">
        <f t="shared" ref="K19:K21" si="4">(1-D18)*K18</f>
        <v>0.99469004497200009</v>
      </c>
      <c r="L19" s="181">
        <f t="shared" si="2"/>
        <v>0.83961928303230149</v>
      </c>
      <c r="M19" s="16">
        <f t="shared" si="3"/>
        <v>-8342.9905630620287</v>
      </c>
      <c r="N19" s="16"/>
    </row>
    <row r="20" spans="2:14" x14ac:dyDescent="0.45">
      <c r="C20" s="8">
        <v>4</v>
      </c>
      <c r="D20" s="25">
        <v>3.539E-3</v>
      </c>
      <c r="E20" s="117">
        <f>0</f>
        <v>0</v>
      </c>
      <c r="F20">
        <f>Expenses</f>
        <v>20</v>
      </c>
      <c r="G20">
        <f>interest+1</f>
        <v>1.06</v>
      </c>
      <c r="H20">
        <f>0</f>
        <v>0</v>
      </c>
      <c r="I20">
        <f t="shared" si="0"/>
        <v>10000</v>
      </c>
      <c r="J20" s="179">
        <f t="shared" si="1"/>
        <v>-9985.8100000000013</v>
      </c>
      <c r="K20" s="180">
        <f t="shared" si="4"/>
        <v>0.99155478195024827</v>
      </c>
      <c r="L20" s="181">
        <f t="shared" si="2"/>
        <v>0.79209366323802022</v>
      </c>
      <c r="M20" s="16">
        <f t="shared" si="3"/>
        <v>-7842.8977089186683</v>
      </c>
      <c r="N20" s="16"/>
    </row>
    <row r="21" spans="2:14" ht="14.65" thickBot="1" x14ac:dyDescent="0.5">
      <c r="C21" s="9">
        <v>5</v>
      </c>
      <c r="D21" s="111">
        <v>3.9760000000000004E-3</v>
      </c>
      <c r="E21" s="118">
        <f>0</f>
        <v>0</v>
      </c>
      <c r="F21" s="18">
        <f>Expenses</f>
        <v>20</v>
      </c>
      <c r="G21" s="18">
        <f>interest+1</f>
        <v>1.06</v>
      </c>
      <c r="H21" s="18">
        <f>0</f>
        <v>0</v>
      </c>
      <c r="I21" s="18">
        <f t="shared" si="0"/>
        <v>10000</v>
      </c>
      <c r="J21" s="119">
        <f t="shared" si="1"/>
        <v>-9981.44</v>
      </c>
      <c r="K21" s="182">
        <f t="shared" si="4"/>
        <v>0.98804566957692641</v>
      </c>
      <c r="L21" s="183">
        <f t="shared" si="2"/>
        <v>0.74725817286605678</v>
      </c>
      <c r="M21" s="19">
        <f t="shared" si="3"/>
        <v>-7369.5487018181411</v>
      </c>
      <c r="N21" s="16"/>
    </row>
    <row r="22" spans="2:14" ht="14.65" thickBot="1" x14ac:dyDescent="0.5">
      <c r="B22" s="1"/>
      <c r="C22" s="15"/>
      <c r="L22" s="177" t="s">
        <v>146</v>
      </c>
      <c r="M22" s="178">
        <f>SUM(M17:M21)</f>
        <v>0</v>
      </c>
      <c r="N22" s="16"/>
    </row>
    <row r="23" spans="2:14" x14ac:dyDescent="0.45">
      <c r="C23" s="15"/>
      <c r="N23" s="16"/>
    </row>
    <row r="24" spans="2:14" ht="14.65" thickBot="1" x14ac:dyDescent="0.5"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</row>
  </sheetData>
  <phoneticPr fontId="8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M28"/>
  <sheetViews>
    <sheetView workbookViewId="0">
      <selection activeCell="M21" sqref="M21"/>
    </sheetView>
  </sheetViews>
  <sheetFormatPr defaultRowHeight="14.25" x14ac:dyDescent="0.45"/>
  <cols>
    <col min="2" max="2" width="11.265625" customWidth="1"/>
    <col min="3" max="3" width="22.86328125" customWidth="1"/>
    <col min="4" max="4" width="11.265625" customWidth="1"/>
    <col min="5" max="5" width="15.3984375" customWidth="1"/>
    <col min="6" max="6" width="17.1328125" customWidth="1"/>
    <col min="7" max="7" width="13.3984375" customWidth="1"/>
    <col min="9" max="9" width="19.59765625" customWidth="1"/>
    <col min="10" max="10" width="11.73046875" customWidth="1"/>
  </cols>
  <sheetData>
    <row r="2" spans="3:13" ht="21" x14ac:dyDescent="0.65">
      <c r="C2" s="20" t="s">
        <v>102</v>
      </c>
    </row>
    <row r="4" spans="3:13" ht="14.65" thickBot="1" x14ac:dyDescent="0.5"/>
    <row r="5" spans="3:13" ht="21" x14ac:dyDescent="0.65">
      <c r="C5" s="26" t="s">
        <v>18</v>
      </c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3:13" ht="21.4" thickBot="1" x14ac:dyDescent="0.7">
      <c r="C6" s="27"/>
      <c r="M6" s="16"/>
    </row>
    <row r="7" spans="3:13" ht="21.4" thickBot="1" x14ac:dyDescent="0.7">
      <c r="C7" s="27"/>
      <c r="D7" s="28" t="s">
        <v>12</v>
      </c>
      <c r="E7" s="21">
        <v>7.0000000000000007E-2</v>
      </c>
      <c r="F7" s="10"/>
      <c r="G7" s="28" t="s">
        <v>4</v>
      </c>
      <c r="H7" s="23">
        <v>2564.6266193537194</v>
      </c>
      <c r="M7" s="16"/>
    </row>
    <row r="8" spans="3:13" ht="18.399999999999999" thickBot="1" x14ac:dyDescent="0.6">
      <c r="C8" s="15"/>
      <c r="D8" s="28" t="s">
        <v>17</v>
      </c>
      <c r="E8">
        <f>1/(1+interest)</f>
        <v>0.93457943925233644</v>
      </c>
      <c r="G8" s="10" t="s">
        <v>24</v>
      </c>
      <c r="M8" s="16"/>
    </row>
    <row r="9" spans="3:13" ht="18.399999999999999" thickBot="1" x14ac:dyDescent="0.6">
      <c r="C9" s="15"/>
      <c r="D9" s="28" t="s">
        <v>6</v>
      </c>
      <c r="E9" s="23">
        <v>300</v>
      </c>
      <c r="M9" s="16"/>
    </row>
    <row r="10" spans="3:13" ht="14.65" thickBot="1" x14ac:dyDescent="0.5">
      <c r="C10" s="15"/>
      <c r="H10" s="29"/>
      <c r="M10" s="16"/>
    </row>
    <row r="11" spans="3:13" ht="18" x14ac:dyDescent="0.55000000000000004">
      <c r="C11" s="30"/>
      <c r="D11" s="28" t="s">
        <v>19</v>
      </c>
      <c r="E11" s="34">
        <v>0.1</v>
      </c>
      <c r="F11" s="10"/>
      <c r="H11" s="29"/>
      <c r="M11" s="16"/>
    </row>
    <row r="12" spans="3:13" ht="18" x14ac:dyDescent="0.55000000000000004">
      <c r="C12" s="30"/>
      <c r="D12" s="28" t="s">
        <v>20</v>
      </c>
      <c r="E12" s="35">
        <v>200</v>
      </c>
      <c r="F12" s="10"/>
      <c r="H12" s="29"/>
      <c r="M12" s="16"/>
    </row>
    <row r="13" spans="3:13" ht="18" x14ac:dyDescent="0.55000000000000004">
      <c r="C13" s="30"/>
      <c r="D13" s="28" t="s">
        <v>21</v>
      </c>
      <c r="E13" s="35">
        <v>5</v>
      </c>
      <c r="F13" s="10"/>
      <c r="H13" s="29"/>
      <c r="M13" s="16"/>
    </row>
    <row r="14" spans="3:13" ht="18.399999999999999" thickBot="1" x14ac:dyDescent="0.6">
      <c r="C14" s="30"/>
      <c r="D14" s="28" t="s">
        <v>22</v>
      </c>
      <c r="E14" s="36">
        <v>0.05</v>
      </c>
      <c r="F14" s="10"/>
      <c r="H14" s="29"/>
      <c r="M14" s="16"/>
    </row>
    <row r="15" spans="3:13" ht="14.65" thickBot="1" x14ac:dyDescent="0.5">
      <c r="C15" s="31"/>
      <c r="D15" s="32"/>
      <c r="E15" s="32"/>
      <c r="F15" s="32"/>
      <c r="G15" s="32"/>
      <c r="H15" s="33"/>
      <c r="I15" s="18"/>
      <c r="J15" s="18"/>
      <c r="K15" s="18"/>
      <c r="L15" s="18"/>
      <c r="M15" s="19"/>
    </row>
    <row r="16" spans="3:13" x14ac:dyDescent="0.45">
      <c r="C16" s="10"/>
      <c r="D16" s="10"/>
      <c r="E16" s="10"/>
      <c r="F16" s="10"/>
      <c r="G16" s="10"/>
      <c r="H16" s="29"/>
    </row>
    <row r="17" spans="3:13" x14ac:dyDescent="0.45">
      <c r="C17" s="10"/>
      <c r="D17" s="10"/>
      <c r="E17" s="10"/>
      <c r="F17" s="10"/>
      <c r="G17" s="10"/>
      <c r="H17" s="29"/>
    </row>
    <row r="18" spans="3:13" x14ac:dyDescent="0.45">
      <c r="C18" s="10"/>
      <c r="D18" s="10"/>
      <c r="E18" s="10"/>
      <c r="F18" s="10"/>
      <c r="G18" s="10"/>
      <c r="H18" s="29"/>
    </row>
    <row r="19" spans="3:13" ht="21" x14ac:dyDescent="0.65">
      <c r="C19" s="20" t="s">
        <v>23</v>
      </c>
      <c r="I19" s="3"/>
      <c r="J19" s="2"/>
    </row>
    <row r="21" spans="3:13" ht="14.65" thickBot="1" x14ac:dyDescent="0.5"/>
    <row r="22" spans="3:13" ht="28.5" x14ac:dyDescent="0.45">
      <c r="C22" s="6" t="s">
        <v>0</v>
      </c>
      <c r="D22" s="7" t="s">
        <v>14</v>
      </c>
      <c r="E22" s="4" t="s">
        <v>1</v>
      </c>
      <c r="F22" s="4" t="s">
        <v>2</v>
      </c>
      <c r="G22" s="4" t="s">
        <v>3</v>
      </c>
      <c r="H22" s="4" t="s">
        <v>4</v>
      </c>
      <c r="I22" s="4" t="s">
        <v>5</v>
      </c>
      <c r="J22" s="4" t="s">
        <v>7</v>
      </c>
      <c r="K22" s="7" t="s">
        <v>8</v>
      </c>
      <c r="L22" s="7" t="s">
        <v>9</v>
      </c>
      <c r="M22" s="24" t="s">
        <v>10</v>
      </c>
    </row>
    <row r="23" spans="3:13" x14ac:dyDescent="0.45">
      <c r="C23" s="8">
        <v>1</v>
      </c>
      <c r="D23">
        <f>0.1</f>
        <v>0.1</v>
      </c>
      <c r="E23" s="117">
        <f>$E$9</f>
        <v>300</v>
      </c>
      <c r="F23" s="117">
        <f>E12+E13</f>
        <v>205</v>
      </c>
      <c r="G23">
        <f>1+interest</f>
        <v>1.07</v>
      </c>
      <c r="H23" s="117">
        <f>$H$7</f>
        <v>2564.6266193537194</v>
      </c>
      <c r="I23">
        <f>0</f>
        <v>0</v>
      </c>
      <c r="J23" s="153">
        <f>(E23-F23)*G23-D23*H23</f>
        <v>-154.81266193537195</v>
      </c>
      <c r="K23" s="154">
        <f>1</f>
        <v>1</v>
      </c>
      <c r="L23">
        <f>$E$8^C23</f>
        <v>0.93457943925233644</v>
      </c>
      <c r="M23" s="16">
        <f>PRODUCT(J23:L23)</f>
        <v>-144.68473078072145</v>
      </c>
    </row>
    <row r="24" spans="3:13" x14ac:dyDescent="0.45">
      <c r="C24" s="8">
        <v>2</v>
      </c>
      <c r="D24">
        <f t="shared" ref="D24:D27" si="0">0.1</f>
        <v>0.1</v>
      </c>
      <c r="E24" s="117">
        <f t="shared" ref="E24:E27" si="1">$E$9</f>
        <v>300</v>
      </c>
      <c r="F24" s="117">
        <f>E13*(1+E14)</f>
        <v>5.25</v>
      </c>
      <c r="G24">
        <f>1+interest</f>
        <v>1.07</v>
      </c>
      <c r="H24" s="117">
        <f t="shared" ref="H24:H27" si="2">$H$7</f>
        <v>2564.6266193537194</v>
      </c>
      <c r="I24">
        <f>0</f>
        <v>0</v>
      </c>
      <c r="J24" s="153">
        <f t="shared" ref="J24:J27" si="3">(E24-F24)*G24-D24*H24</f>
        <v>58.919838064628038</v>
      </c>
      <c r="K24" s="154">
        <f>(1-D23)*K23</f>
        <v>0.9</v>
      </c>
      <c r="L24">
        <f t="shared" ref="L24:L27" si="4">$E$8^C24</f>
        <v>0.87343872827321167</v>
      </c>
      <c r="M24" s="16">
        <f t="shared" ref="M24:M27" si="5">PRODUCT(J24:L24)</f>
        <v>46.316581586309056</v>
      </c>
    </row>
    <row r="25" spans="3:13" x14ac:dyDescent="0.45">
      <c r="C25" s="8">
        <v>3</v>
      </c>
      <c r="D25">
        <f t="shared" si="0"/>
        <v>0.1</v>
      </c>
      <c r="E25" s="117">
        <f t="shared" si="1"/>
        <v>300</v>
      </c>
      <c r="F25" s="117">
        <f>F24*(1+$E$14)</f>
        <v>5.5125000000000002</v>
      </c>
      <c r="G25">
        <f>1+interest</f>
        <v>1.07</v>
      </c>
      <c r="H25" s="117">
        <f t="shared" si="2"/>
        <v>2564.6266193537194</v>
      </c>
      <c r="I25">
        <f>0</f>
        <v>0</v>
      </c>
      <c r="J25" s="153">
        <f t="shared" si="3"/>
        <v>58.638963064628058</v>
      </c>
      <c r="K25" s="154">
        <f t="shared" ref="K25:K27" si="6">(1-D24)*K24</f>
        <v>0.81</v>
      </c>
      <c r="L25">
        <f t="shared" si="4"/>
        <v>0.81629787689085198</v>
      </c>
      <c r="M25" s="16">
        <f t="shared" si="5"/>
        <v>38.772157452716947</v>
      </c>
    </row>
    <row r="26" spans="3:13" x14ac:dyDescent="0.45">
      <c r="C26" s="8">
        <v>4</v>
      </c>
      <c r="D26">
        <f t="shared" si="0"/>
        <v>0.1</v>
      </c>
      <c r="E26" s="117">
        <f t="shared" si="1"/>
        <v>300</v>
      </c>
      <c r="F26" s="117">
        <f t="shared" ref="F26:F27" si="7">F25*(1+$E$14)</f>
        <v>5.7881250000000009</v>
      </c>
      <c r="G26">
        <f>1+interest</f>
        <v>1.07</v>
      </c>
      <c r="H26" s="117">
        <f t="shared" si="2"/>
        <v>2564.6266193537194</v>
      </c>
      <c r="I26">
        <f>0</f>
        <v>0</v>
      </c>
      <c r="J26" s="153">
        <f t="shared" si="3"/>
        <v>58.344044314628093</v>
      </c>
      <c r="K26" s="154">
        <f t="shared" si="6"/>
        <v>0.72900000000000009</v>
      </c>
      <c r="L26">
        <f t="shared" si="4"/>
        <v>0.76289521204752531</v>
      </c>
      <c r="M26" s="16">
        <f t="shared" si="5"/>
        <v>32.448075811097326</v>
      </c>
    </row>
    <row r="27" spans="3:13" ht="14.65" thickBot="1" x14ac:dyDescent="0.5">
      <c r="C27" s="8">
        <v>5</v>
      </c>
      <c r="D27">
        <f t="shared" si="0"/>
        <v>0.1</v>
      </c>
      <c r="E27" s="117">
        <f t="shared" si="1"/>
        <v>300</v>
      </c>
      <c r="F27" s="117">
        <f t="shared" si="7"/>
        <v>6.0775312500000007</v>
      </c>
      <c r="G27">
        <f>1+interest</f>
        <v>1.07</v>
      </c>
      <c r="H27" s="117">
        <f t="shared" si="2"/>
        <v>2564.6266193537194</v>
      </c>
      <c r="I27">
        <f>0</f>
        <v>0</v>
      </c>
      <c r="J27" s="153">
        <f t="shared" si="3"/>
        <v>58.034379627128089</v>
      </c>
      <c r="K27" s="154">
        <f t="shared" si="6"/>
        <v>0.65610000000000013</v>
      </c>
      <c r="L27">
        <f t="shared" si="4"/>
        <v>0.71298617948366849</v>
      </c>
      <c r="M27" s="16">
        <f t="shared" si="5"/>
        <v>27.147915930598305</v>
      </c>
    </row>
    <row r="28" spans="3:13" ht="14.65" thickBot="1" x14ac:dyDescent="0.5">
      <c r="C28" s="122"/>
      <c r="D28" s="123"/>
      <c r="E28" s="123"/>
      <c r="F28" s="123"/>
      <c r="G28" s="123"/>
      <c r="H28" s="123"/>
      <c r="I28" s="123"/>
      <c r="J28" s="123"/>
      <c r="K28" s="123"/>
      <c r="L28" s="120" t="s">
        <v>13</v>
      </c>
      <c r="M28" s="121">
        <f>SUM(M23:M27)</f>
        <v>1.8118839761882555E-13</v>
      </c>
    </row>
  </sheetData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30"/>
  <sheetViews>
    <sheetView topLeftCell="A5" workbookViewId="0">
      <selection activeCell="F14" sqref="F14"/>
    </sheetView>
  </sheetViews>
  <sheetFormatPr defaultRowHeight="14.25" x14ac:dyDescent="0.45"/>
  <cols>
    <col min="2" max="2" width="11.265625" customWidth="1"/>
    <col min="3" max="3" width="14.59765625" bestFit="1" customWidth="1"/>
    <col min="4" max="4" width="12.3984375" bestFit="1" customWidth="1"/>
    <col min="5" max="5" width="15.3984375" customWidth="1"/>
    <col min="6" max="6" width="17.1328125" customWidth="1"/>
    <col min="7" max="7" width="13.3984375" customWidth="1"/>
    <col min="8" max="8" width="14.73046875" customWidth="1"/>
    <col min="9" max="9" width="13.3984375" customWidth="1"/>
    <col min="10" max="10" width="13.1328125" customWidth="1"/>
    <col min="11" max="11" width="13.3984375" customWidth="1"/>
    <col min="12" max="12" width="12.796875" customWidth="1"/>
    <col min="13" max="13" width="16.3984375" customWidth="1"/>
    <col min="14" max="14" width="19.59765625" customWidth="1"/>
    <col min="15" max="15" width="11.73046875" customWidth="1"/>
    <col min="16" max="16" width="13.19921875" customWidth="1"/>
    <col min="17" max="17" width="10" bestFit="1" customWidth="1"/>
  </cols>
  <sheetData>
    <row r="2" spans="1:11" ht="21" x14ac:dyDescent="0.65">
      <c r="B2" s="20" t="s">
        <v>114</v>
      </c>
    </row>
    <row r="3" spans="1:11" ht="14.65" thickBot="1" x14ac:dyDescent="0.5"/>
    <row r="4" spans="1:11" ht="21" x14ac:dyDescent="0.65">
      <c r="A4" s="10"/>
      <c r="B4" s="26" t="s">
        <v>18</v>
      </c>
      <c r="C4" s="13"/>
      <c r="D4" s="13"/>
      <c r="E4" s="38"/>
      <c r="F4" s="38"/>
      <c r="G4" s="39"/>
      <c r="I4" s="26" t="s">
        <v>31</v>
      </c>
      <c r="J4" s="13"/>
      <c r="K4" s="14"/>
    </row>
    <row r="5" spans="1:11" ht="14.65" thickBot="1" x14ac:dyDescent="0.5">
      <c r="B5" s="15"/>
      <c r="G5" s="16"/>
      <c r="I5" s="15"/>
      <c r="K5" s="16"/>
    </row>
    <row r="6" spans="1:11" ht="18.399999999999999" thickBot="1" x14ac:dyDescent="0.6">
      <c r="B6" s="15"/>
      <c r="D6" s="28" t="s">
        <v>12</v>
      </c>
      <c r="E6" s="124">
        <v>7.4999999999999997E-2</v>
      </c>
      <c r="G6" s="16"/>
      <c r="I6" s="41" t="s">
        <v>30</v>
      </c>
      <c r="J6" s="42">
        <f>M26</f>
        <v>1000.0000000000146</v>
      </c>
      <c r="K6" s="16"/>
    </row>
    <row r="7" spans="1:11" ht="18.399999999999999" thickBot="1" x14ac:dyDescent="0.6">
      <c r="B7" s="15"/>
      <c r="D7" s="28" t="s">
        <v>17</v>
      </c>
      <c r="E7">
        <f>1/(1+interest)</f>
        <v>0.93023255813953487</v>
      </c>
      <c r="G7" s="16"/>
      <c r="I7" s="17"/>
      <c r="J7" s="18"/>
      <c r="K7" s="19"/>
    </row>
    <row r="8" spans="1:11" ht="18.399999999999999" thickBot="1" x14ac:dyDescent="0.6">
      <c r="B8" s="15"/>
      <c r="D8" s="28" t="s">
        <v>20</v>
      </c>
      <c r="E8" s="21">
        <v>0.5</v>
      </c>
      <c r="G8" s="16"/>
    </row>
    <row r="9" spans="1:11" ht="18.399999999999999" thickBot="1" x14ac:dyDescent="0.6">
      <c r="B9" s="15"/>
      <c r="D9" s="28" t="s">
        <v>21</v>
      </c>
      <c r="E9" s="21">
        <v>0.05</v>
      </c>
      <c r="G9" s="16"/>
    </row>
    <row r="10" spans="1:11" ht="18.399999999999999" thickBot="1" x14ac:dyDescent="0.6">
      <c r="B10" s="15"/>
      <c r="D10" s="28" t="s">
        <v>27</v>
      </c>
      <c r="E10" s="23">
        <v>50000</v>
      </c>
      <c r="F10" t="s">
        <v>25</v>
      </c>
      <c r="G10" s="16"/>
    </row>
    <row r="11" spans="1:11" ht="18.399999999999999" thickBot="1" x14ac:dyDescent="0.6">
      <c r="B11" s="15"/>
      <c r="D11" s="28" t="s">
        <v>28</v>
      </c>
      <c r="E11" s="23">
        <v>10000</v>
      </c>
      <c r="F11" t="s">
        <v>26</v>
      </c>
      <c r="G11" s="16"/>
    </row>
    <row r="12" spans="1:11" ht="18.399999999999999" thickBot="1" x14ac:dyDescent="0.6">
      <c r="B12" s="15"/>
      <c r="D12" s="28" t="s">
        <v>29</v>
      </c>
      <c r="E12" s="37">
        <v>5</v>
      </c>
      <c r="G12" s="16"/>
    </row>
    <row r="13" spans="1:11" ht="18.399999999999999" thickBot="1" x14ac:dyDescent="0.6">
      <c r="B13" s="15"/>
      <c r="D13" s="28" t="s">
        <v>32</v>
      </c>
      <c r="E13" s="23">
        <v>50</v>
      </c>
      <c r="G13" s="16"/>
    </row>
    <row r="14" spans="1:11" ht="18.399999999999999" thickBot="1" x14ac:dyDescent="0.6">
      <c r="B14" s="15"/>
      <c r="D14" s="28" t="s">
        <v>161</v>
      </c>
      <c r="E14" s="23">
        <v>17670.67598607139</v>
      </c>
      <c r="G14" s="16"/>
    </row>
    <row r="15" spans="1:11" ht="14.65" thickBot="1" x14ac:dyDescent="0.5">
      <c r="B15" s="17"/>
      <c r="C15" s="18"/>
      <c r="D15" s="40"/>
      <c r="E15" s="18"/>
      <c r="F15" s="18"/>
      <c r="G15" s="19"/>
    </row>
    <row r="16" spans="1:11" x14ac:dyDescent="0.45">
      <c r="C16" s="11"/>
    </row>
    <row r="17" spans="2:16" x14ac:dyDescent="0.45">
      <c r="C17" s="11"/>
    </row>
    <row r="18" spans="2:16" ht="14.65" thickBot="1" x14ac:dyDescent="0.5">
      <c r="C18" s="11"/>
    </row>
    <row r="19" spans="2:16" ht="21.4" thickBot="1" x14ac:dyDescent="0.7">
      <c r="B19" s="26" t="s">
        <v>23</v>
      </c>
      <c r="C19" s="4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</row>
    <row r="20" spans="2:16" ht="14.65" thickBot="1" x14ac:dyDescent="0.5">
      <c r="B20" s="122" t="s">
        <v>0</v>
      </c>
      <c r="C20" s="123" t="s">
        <v>147</v>
      </c>
      <c r="D20" s="123" t="s">
        <v>1</v>
      </c>
      <c r="E20" s="123" t="s">
        <v>148</v>
      </c>
      <c r="F20" s="123" t="s">
        <v>149</v>
      </c>
      <c r="G20" s="123" t="s">
        <v>3</v>
      </c>
      <c r="H20" s="123" t="s">
        <v>150</v>
      </c>
      <c r="I20" s="123" t="s">
        <v>151</v>
      </c>
      <c r="J20" s="123" t="s">
        <v>7</v>
      </c>
      <c r="K20" s="123" t="s">
        <v>8</v>
      </c>
      <c r="L20" s="123" t="s">
        <v>152</v>
      </c>
      <c r="M20" s="126" t="s">
        <v>153</v>
      </c>
      <c r="P20" s="16"/>
    </row>
    <row r="21" spans="2:16" x14ac:dyDescent="0.45">
      <c r="B21" s="169">
        <v>1</v>
      </c>
      <c r="C21" s="170">
        <v>3.3579999999999999E-3</v>
      </c>
      <c r="D21" s="171">
        <f>$E$14</f>
        <v>17670.67598607139</v>
      </c>
      <c r="E21" s="172">
        <f>E14*(E8+E9)</f>
        <v>9718.8717923392651</v>
      </c>
      <c r="F21" s="13">
        <f>50</f>
        <v>50</v>
      </c>
      <c r="G21" s="13">
        <f>1+INT_Q3</f>
        <v>1.075</v>
      </c>
      <c r="H21" s="171">
        <f>E10</f>
        <v>50000</v>
      </c>
      <c r="I21" s="13">
        <f>0</f>
        <v>0</v>
      </c>
      <c r="J21" s="172">
        <f>(D21-E21)*G21-(H21+F21)*C21-I21*(1-C21)</f>
        <v>8380.121608262034</v>
      </c>
      <c r="K21" s="170">
        <f>1</f>
        <v>1</v>
      </c>
      <c r="L21" s="173">
        <f>$E$7^B21</f>
        <v>0.93023255813953487</v>
      </c>
      <c r="M21" s="157">
        <f>PRODUCT(J21:L21)</f>
        <v>7795.4619611739854</v>
      </c>
      <c r="P21" s="16"/>
    </row>
    <row r="22" spans="2:16" x14ac:dyDescent="0.45">
      <c r="B22" s="15">
        <v>2</v>
      </c>
      <c r="C22" s="154">
        <v>4.9030000000000002E-3</v>
      </c>
      <c r="D22" s="117">
        <f t="shared" ref="D22:D25" si="0">$E$14</f>
        <v>17670.67598607139</v>
      </c>
      <c r="E22" s="153">
        <f>$E$14*$E$9</f>
        <v>883.53379930356959</v>
      </c>
      <c r="F22">
        <f>50</f>
        <v>50</v>
      </c>
      <c r="G22">
        <f>1+INT_Q3</f>
        <v>1.075</v>
      </c>
      <c r="H22" s="174">
        <f>H21+$E$11</f>
        <v>60000</v>
      </c>
      <c r="I22">
        <f>0</f>
        <v>0</v>
      </c>
      <c r="J22" s="153">
        <f t="shared" ref="J22:J24" si="1">(D22-E22)*G22-(H22+F22)*C22-I22*(1-C22)</f>
        <v>17751.752700775407</v>
      </c>
      <c r="K22" s="154">
        <f>(1-C21)*K21</f>
        <v>0.99664200000000003</v>
      </c>
      <c r="L22" s="175">
        <f t="shared" ref="L22:L25" si="2">$E$7^B22</f>
        <v>0.86533261222282309</v>
      </c>
      <c r="M22" s="157">
        <f t="shared" ref="M22:M25" si="3">PRODUCT(J22:L22)</f>
        <v>15309.587725435331</v>
      </c>
      <c r="P22" s="16"/>
    </row>
    <row r="23" spans="2:16" x14ac:dyDescent="0.45">
      <c r="B23" s="15">
        <v>3</v>
      </c>
      <c r="C23" s="154">
        <v>5.6499999999999996E-3</v>
      </c>
      <c r="D23" s="117">
        <f t="shared" si="0"/>
        <v>17670.67598607139</v>
      </c>
      <c r="E23" s="153">
        <f t="shared" ref="E23:E25" si="4">$E$14*$E$9</f>
        <v>883.53379930356959</v>
      </c>
      <c r="F23">
        <f>50</f>
        <v>50</v>
      </c>
      <c r="G23">
        <f>1+INT_Q3</f>
        <v>1.075</v>
      </c>
      <c r="H23" s="174">
        <f t="shared" ref="H23:H25" si="5">H22+$E$11</f>
        <v>70000</v>
      </c>
      <c r="I23">
        <f>0</f>
        <v>0</v>
      </c>
      <c r="J23" s="153">
        <f t="shared" si="1"/>
        <v>17650.395350775405</v>
      </c>
      <c r="K23" s="154">
        <f t="shared" ref="K23:K25" si="6">(1-C22)*K22</f>
        <v>0.99175546427400008</v>
      </c>
      <c r="L23" s="175">
        <f t="shared" si="2"/>
        <v>0.80496056950960282</v>
      </c>
      <c r="M23" s="157">
        <f t="shared" si="3"/>
        <v>14090.734982914541</v>
      </c>
      <c r="P23" s="16"/>
    </row>
    <row r="24" spans="2:16" x14ac:dyDescent="0.45">
      <c r="B24" s="15">
        <v>4</v>
      </c>
      <c r="C24" s="154">
        <v>6.352E-3</v>
      </c>
      <c r="D24" s="117">
        <f t="shared" si="0"/>
        <v>17670.67598607139</v>
      </c>
      <c r="E24" s="153">
        <f t="shared" si="4"/>
        <v>883.53379930356959</v>
      </c>
      <c r="F24">
        <f>50</f>
        <v>50</v>
      </c>
      <c r="G24">
        <f>1+INT_Q3</f>
        <v>1.075</v>
      </c>
      <c r="H24" s="174">
        <f t="shared" si="5"/>
        <v>80000</v>
      </c>
      <c r="I24">
        <f>0</f>
        <v>0</v>
      </c>
      <c r="J24" s="153">
        <f t="shared" si="1"/>
        <v>17537.700250775408</v>
      </c>
      <c r="K24" s="154">
        <f t="shared" si="6"/>
        <v>0.98615204590085193</v>
      </c>
      <c r="L24" s="175">
        <f t="shared" si="2"/>
        <v>0.74880052977637468</v>
      </c>
      <c r="M24" s="157">
        <f t="shared" si="3"/>
        <v>12950.3845926414</v>
      </c>
      <c r="P24" s="16"/>
    </row>
    <row r="25" spans="2:16" ht="14.65" thickBot="1" x14ac:dyDescent="0.5">
      <c r="B25" s="17">
        <v>5</v>
      </c>
      <c r="C25" s="156">
        <v>7.1399999999999996E-3</v>
      </c>
      <c r="D25" s="118">
        <f t="shared" si="0"/>
        <v>17670.67598607139</v>
      </c>
      <c r="E25" s="155">
        <f t="shared" si="4"/>
        <v>883.53379930356959</v>
      </c>
      <c r="F25" s="18">
        <f>50</f>
        <v>50</v>
      </c>
      <c r="G25" s="18">
        <f>1+INT_Q3</f>
        <v>1.075</v>
      </c>
      <c r="H25" s="125">
        <f t="shared" si="5"/>
        <v>90000</v>
      </c>
      <c r="I25" s="125">
        <f>H25</f>
        <v>90000</v>
      </c>
      <c r="J25" s="155">
        <f>(D25-E25)*G25-(H25+F25)*C25-(I25+F25)*(1-C25)</f>
        <v>-72003.822149224579</v>
      </c>
      <c r="K25" s="156">
        <f t="shared" si="6"/>
        <v>0.97988800810528964</v>
      </c>
      <c r="L25" s="176">
        <f t="shared" si="2"/>
        <v>0.69655863235011595</v>
      </c>
      <c r="M25" s="158">
        <f t="shared" si="3"/>
        <v>-49146.16926216524</v>
      </c>
      <c r="P25" s="16"/>
    </row>
    <row r="26" spans="2:16" ht="14.65" thickBot="1" x14ac:dyDescent="0.5">
      <c r="B26" s="15"/>
      <c r="L26" s="168" t="s">
        <v>146</v>
      </c>
      <c r="M26" s="159">
        <f>SUM(M21:M25)</f>
        <v>1000.0000000000146</v>
      </c>
      <c r="P26" s="16"/>
    </row>
    <row r="27" spans="2:16" x14ac:dyDescent="0.45">
      <c r="B27" s="15"/>
      <c r="P27" s="16"/>
    </row>
    <row r="28" spans="2:16" x14ac:dyDescent="0.45">
      <c r="B28" s="15"/>
      <c r="P28" s="16"/>
    </row>
    <row r="29" spans="2:16" x14ac:dyDescent="0.45">
      <c r="B29" s="15"/>
      <c r="P29" s="44"/>
    </row>
    <row r="30" spans="2:16" ht="14.65" thickBot="1" x14ac:dyDescent="0.5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</row>
  </sheetData>
  <phoneticPr fontId="8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K22"/>
  <sheetViews>
    <sheetView workbookViewId="0">
      <selection activeCell="K17" sqref="K17"/>
    </sheetView>
  </sheetViews>
  <sheetFormatPr defaultRowHeight="14.25" x14ac:dyDescent="0.45"/>
  <cols>
    <col min="2" max="2" width="11.1328125" bestFit="1" customWidth="1"/>
    <col min="3" max="5" width="13" bestFit="1" customWidth="1"/>
    <col min="6" max="6" width="20.53125" customWidth="1"/>
    <col min="7" max="7" width="7.6640625" customWidth="1"/>
    <col min="9" max="9" width="11.33203125" bestFit="1" customWidth="1"/>
  </cols>
  <sheetData>
    <row r="2" spans="2:11" ht="21" x14ac:dyDescent="0.65">
      <c r="B2" s="20" t="s">
        <v>126</v>
      </c>
    </row>
    <row r="4" spans="2:11" ht="14.65" thickBot="1" x14ac:dyDescent="0.5"/>
    <row r="5" spans="2:11" ht="14.65" thickBot="1" x14ac:dyDescent="0.5">
      <c r="B5" s="52" t="s">
        <v>18</v>
      </c>
      <c r="C5" s="14"/>
    </row>
    <row r="6" spans="2:11" ht="14.65" thickBot="1" x14ac:dyDescent="0.5">
      <c r="B6" s="17" t="s">
        <v>11</v>
      </c>
      <c r="C6" s="21">
        <v>0.15</v>
      </c>
    </row>
    <row r="7" spans="2:11" ht="14.65" thickBot="1" x14ac:dyDescent="0.5">
      <c r="C7">
        <f>1/(1+C6)</f>
        <v>0.86956521739130443</v>
      </c>
    </row>
    <row r="8" spans="2:11" x14ac:dyDescent="0.45">
      <c r="B8" s="52" t="s">
        <v>35</v>
      </c>
      <c r="C8" s="14"/>
    </row>
    <row r="9" spans="2:11" ht="14.65" thickBot="1" x14ac:dyDescent="0.5">
      <c r="B9" s="17" t="s">
        <v>34</v>
      </c>
      <c r="C9" s="53">
        <f>K18/I18</f>
        <v>1.4981341011411234E-2</v>
      </c>
    </row>
    <row r="11" spans="2:11" ht="14.65" thickBot="1" x14ac:dyDescent="0.5"/>
    <row r="12" spans="2:11" x14ac:dyDescent="0.45">
      <c r="B12" s="52" t="s">
        <v>23</v>
      </c>
      <c r="C12" s="13"/>
      <c r="D12" s="13"/>
      <c r="E12" s="13"/>
      <c r="F12" s="13"/>
      <c r="G12" s="13"/>
      <c r="H12" s="13"/>
      <c r="I12" s="13"/>
      <c r="J12" s="13"/>
      <c r="K12" s="14"/>
    </row>
    <row r="13" spans="2:11" ht="14.65" thickBot="1" x14ac:dyDescent="0.5">
      <c r="B13" s="15"/>
      <c r="K13" s="16"/>
    </row>
    <row r="14" spans="2:11" ht="14.65" thickBot="1" x14ac:dyDescent="0.5">
      <c r="B14" s="132" t="s">
        <v>0</v>
      </c>
      <c r="C14" s="130" t="s">
        <v>147</v>
      </c>
      <c r="D14" s="130" t="s">
        <v>1</v>
      </c>
      <c r="E14" s="130" t="s">
        <v>158</v>
      </c>
      <c r="F14" s="130" t="s">
        <v>157</v>
      </c>
      <c r="G14" s="130" t="s">
        <v>156</v>
      </c>
      <c r="H14" s="130" t="s">
        <v>159</v>
      </c>
      <c r="I14" s="130" t="s">
        <v>154</v>
      </c>
      <c r="J14" s="130" t="s">
        <v>160</v>
      </c>
      <c r="K14" s="131" t="s">
        <v>155</v>
      </c>
    </row>
    <row r="15" spans="2:11" x14ac:dyDescent="0.45">
      <c r="B15" s="127">
        <v>1</v>
      </c>
      <c r="C15" s="165">
        <v>8.0219999999999996E-3</v>
      </c>
      <c r="D15" s="13">
        <v>200</v>
      </c>
      <c r="E15" s="163">
        <f>1+$C$6</f>
        <v>1.1499999999999999</v>
      </c>
      <c r="F15" s="13">
        <f>D15*E15</f>
        <v>229.99999999999997</v>
      </c>
      <c r="G15" s="13">
        <f>1</f>
        <v>1</v>
      </c>
      <c r="H15" s="13">
        <f>$C$7^B15</f>
        <v>0.86956521739130443</v>
      </c>
      <c r="I15" s="13">
        <f>PRODUCT(F15:H15)</f>
        <v>200</v>
      </c>
      <c r="J15" s="13">
        <v>-250</v>
      </c>
      <c r="K15" s="14">
        <f>J15*H15</f>
        <v>-217.39130434782612</v>
      </c>
    </row>
    <row r="16" spans="2:11" x14ac:dyDescent="0.45">
      <c r="B16" s="127">
        <v>2</v>
      </c>
      <c r="C16" s="166">
        <v>9.0089999999999996E-3</v>
      </c>
      <c r="D16">
        <f>D15</f>
        <v>200</v>
      </c>
      <c r="E16" s="164">
        <f t="shared" ref="E16:E17" si="0">1+$C$6</f>
        <v>1.1499999999999999</v>
      </c>
      <c r="F16">
        <f t="shared" ref="F16:F17" si="1">D16*E16</f>
        <v>229.99999999999997</v>
      </c>
      <c r="G16">
        <f>(1-C15)*G15</f>
        <v>0.99197800000000003</v>
      </c>
      <c r="H16">
        <f t="shared" ref="H16:H17" si="2">$C$7^B16</f>
        <v>0.7561436672967865</v>
      </c>
      <c r="I16">
        <f t="shared" ref="I16:I17" si="3">PRODUCT(F16:H16)</f>
        <v>172.51791304347827</v>
      </c>
      <c r="J16">
        <v>150</v>
      </c>
      <c r="K16" s="16">
        <f t="shared" ref="K16:K17" si="4">J16*H16</f>
        <v>113.42155009451798</v>
      </c>
    </row>
    <row r="17" spans="2:11" ht="14.65" thickBot="1" x14ac:dyDescent="0.5">
      <c r="B17" s="128">
        <v>3</v>
      </c>
      <c r="C17" s="167">
        <v>1.0111999999999999E-2</v>
      </c>
      <c r="D17" s="18">
        <f>D16</f>
        <v>200</v>
      </c>
      <c r="E17" s="129">
        <f t="shared" si="0"/>
        <v>1.1499999999999999</v>
      </c>
      <c r="F17" s="18">
        <f t="shared" si="1"/>
        <v>229.99999999999997</v>
      </c>
      <c r="G17" s="18">
        <f>(1-C16)*G16</f>
        <v>0.98304127019800003</v>
      </c>
      <c r="H17" s="18">
        <f t="shared" si="2"/>
        <v>0.65751623243198831</v>
      </c>
      <c r="I17" s="18">
        <f t="shared" si="3"/>
        <v>148.66408623032137</v>
      </c>
      <c r="J17" s="18">
        <v>170</v>
      </c>
      <c r="K17" s="19">
        <f t="shared" si="4"/>
        <v>111.77775951343801</v>
      </c>
    </row>
    <row r="18" spans="2:11" ht="14.65" thickBot="1" x14ac:dyDescent="0.5">
      <c r="B18" s="15"/>
      <c r="H18" s="160" t="s">
        <v>146</v>
      </c>
      <c r="I18" s="161">
        <f>SUM(I15:I17)</f>
        <v>521.18199927379965</v>
      </c>
      <c r="J18" s="161"/>
      <c r="K18" s="162">
        <f>SUM(K15:K17)</f>
        <v>7.8080052601298746</v>
      </c>
    </row>
    <row r="19" spans="2:11" x14ac:dyDescent="0.45">
      <c r="B19" s="15"/>
      <c r="K19" s="16"/>
    </row>
    <row r="20" spans="2:11" x14ac:dyDescent="0.45">
      <c r="B20" s="15"/>
      <c r="K20" s="16"/>
    </row>
    <row r="21" spans="2:11" x14ac:dyDescent="0.45">
      <c r="B21" s="15"/>
      <c r="K21" s="16"/>
    </row>
    <row r="22" spans="2:11" ht="14.65" thickBot="1" x14ac:dyDescent="0.5">
      <c r="B22" s="17"/>
      <c r="C22" s="18"/>
      <c r="D22" s="18"/>
      <c r="E22" s="18"/>
      <c r="F22" s="18"/>
      <c r="G22" s="18"/>
      <c r="H22" s="18"/>
      <c r="I22" s="18"/>
      <c r="J22" s="18"/>
      <c r="K22" s="19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CE28-9D40-4F61-A485-02D9722EBC21}">
  <sheetPr codeName="Sheet7"/>
  <dimension ref="A1:U51"/>
  <sheetViews>
    <sheetView tabSelected="1" topLeftCell="H14" zoomScale="97" workbookViewId="0">
      <selection activeCell="S26" sqref="S26"/>
    </sheetView>
  </sheetViews>
  <sheetFormatPr defaultRowHeight="12.75" x14ac:dyDescent="0.35"/>
  <cols>
    <col min="1" max="1" width="11.796875" style="54" customWidth="1"/>
    <col min="2" max="2" width="13" style="54" customWidth="1"/>
    <col min="3" max="4" width="9.796875" style="54" bestFit="1" customWidth="1"/>
    <col min="5" max="6" width="13" style="54" customWidth="1"/>
    <col min="7" max="9" width="9.06640625" style="54"/>
    <col min="10" max="10" width="9.9296875" style="54" bestFit="1" customWidth="1"/>
    <col min="11" max="13" width="9.06640625" style="54"/>
    <col min="14" max="14" width="13.265625" style="54" customWidth="1"/>
    <col min="15" max="15" width="15.73046875" style="54" bestFit="1" customWidth="1"/>
    <col min="16" max="16" width="7.86328125" style="54" bestFit="1" customWidth="1"/>
    <col min="17" max="17" width="10.1328125" style="54" bestFit="1" customWidth="1"/>
    <col min="18" max="18" width="8.265625" style="54" bestFit="1" customWidth="1"/>
    <col min="19" max="19" width="9.19921875" style="54" bestFit="1" customWidth="1"/>
    <col min="20" max="20" width="12.33203125" style="54" bestFit="1" customWidth="1"/>
    <col min="21" max="21" width="17.33203125" style="54" bestFit="1" customWidth="1"/>
    <col min="22" max="16384" width="9.06640625" style="54"/>
  </cols>
  <sheetData>
    <row r="1" spans="1:15" ht="13.15" x14ac:dyDescent="0.4">
      <c r="A1" s="58"/>
      <c r="O1" s="57"/>
    </row>
    <row r="2" spans="1:15" ht="21" x14ac:dyDescent="0.65">
      <c r="B2" s="20" t="s">
        <v>131</v>
      </c>
    </row>
    <row r="4" spans="1:15" ht="13.15" thickBot="1" x14ac:dyDescent="0.4"/>
    <row r="5" spans="1:15" ht="14.65" thickBot="1" x14ac:dyDescent="0.5">
      <c r="B5" s="52" t="s">
        <v>18</v>
      </c>
      <c r="C5" s="59"/>
      <c r="D5" s="59"/>
      <c r="E5" s="59"/>
      <c r="F5" s="60"/>
      <c r="H5" s="52" t="s">
        <v>35</v>
      </c>
      <c r="I5" s="59"/>
      <c r="J5" s="59"/>
      <c r="K5" s="60"/>
      <c r="M5" s="92" t="s">
        <v>71</v>
      </c>
    </row>
    <row r="6" spans="1:15" ht="14.65" thickBot="1" x14ac:dyDescent="0.45">
      <c r="B6" s="61" t="s">
        <v>1</v>
      </c>
      <c r="C6" s="56"/>
      <c r="D6" s="56"/>
      <c r="E6" s="23">
        <v>910</v>
      </c>
      <c r="F6" s="63"/>
      <c r="H6" s="69"/>
      <c r="K6" s="63"/>
    </row>
    <row r="7" spans="1:15" ht="14.65" thickBot="1" x14ac:dyDescent="0.45">
      <c r="B7" s="61" t="s">
        <v>62</v>
      </c>
      <c r="C7" s="56"/>
      <c r="D7" s="56"/>
      <c r="E7" s="21">
        <v>0.8</v>
      </c>
      <c r="F7" s="63"/>
      <c r="H7" s="69"/>
      <c r="K7" s="63"/>
      <c r="M7" s="93" t="s">
        <v>73</v>
      </c>
    </row>
    <row r="8" spans="1:15" ht="14.65" thickBot="1" x14ac:dyDescent="0.45">
      <c r="B8" s="61" t="s">
        <v>61</v>
      </c>
      <c r="C8" s="56"/>
      <c r="D8" s="56"/>
      <c r="E8" s="23">
        <v>200</v>
      </c>
      <c r="F8" s="63"/>
      <c r="H8" s="91" t="s">
        <v>70</v>
      </c>
      <c r="K8" s="63"/>
    </row>
    <row r="9" spans="1:15" ht="14.65" thickBot="1" x14ac:dyDescent="0.45">
      <c r="B9" s="61" t="s">
        <v>60</v>
      </c>
      <c r="C9" s="56"/>
      <c r="D9" s="56"/>
      <c r="E9" s="21">
        <v>2.5000000000000001E-2</v>
      </c>
      <c r="F9" s="63"/>
      <c r="H9" s="69" t="s">
        <v>74</v>
      </c>
      <c r="J9" s="88"/>
      <c r="K9" s="63"/>
    </row>
    <row r="10" spans="1:15" ht="14.65" thickBot="1" x14ac:dyDescent="0.45">
      <c r="B10" s="61" t="s">
        <v>59</v>
      </c>
      <c r="C10" s="56"/>
      <c r="D10" s="56"/>
      <c r="E10" s="23">
        <v>10</v>
      </c>
      <c r="F10" s="63"/>
      <c r="H10" s="69" t="s">
        <v>75</v>
      </c>
      <c r="J10" s="88"/>
      <c r="K10" s="63"/>
    </row>
    <row r="11" spans="1:15" ht="14.65" thickBot="1" x14ac:dyDescent="0.45">
      <c r="B11" s="61" t="s">
        <v>58</v>
      </c>
      <c r="C11" s="56"/>
      <c r="D11" s="56"/>
      <c r="E11" s="23">
        <v>25000</v>
      </c>
      <c r="F11" s="63"/>
      <c r="H11" s="69"/>
      <c r="K11" s="63"/>
    </row>
    <row r="12" spans="1:15" ht="14.65" thickBot="1" x14ac:dyDescent="0.45">
      <c r="B12" s="61" t="s">
        <v>57</v>
      </c>
      <c r="C12" s="56"/>
      <c r="D12" s="56"/>
      <c r="E12" s="21">
        <v>0.05</v>
      </c>
      <c r="F12" s="63"/>
      <c r="H12" s="69" t="s">
        <v>76</v>
      </c>
      <c r="K12" s="63"/>
      <c r="M12" s="93" t="s">
        <v>77</v>
      </c>
      <c r="N12" s="56"/>
    </row>
    <row r="13" spans="1:15" ht="14.65" thickBot="1" x14ac:dyDescent="0.45">
      <c r="B13" s="61" t="s">
        <v>11</v>
      </c>
      <c r="C13" s="56"/>
      <c r="D13" s="56"/>
      <c r="E13" s="21">
        <v>0.1</v>
      </c>
      <c r="F13" s="63">
        <f>1/(1+E13)</f>
        <v>0.90909090909090906</v>
      </c>
      <c r="H13" s="69"/>
      <c r="K13" s="63"/>
      <c r="N13" s="56"/>
    </row>
    <row r="14" spans="1:15" ht="14.65" thickBot="1" x14ac:dyDescent="0.45">
      <c r="B14" s="61" t="s">
        <v>29</v>
      </c>
      <c r="C14" s="56"/>
      <c r="D14" s="56"/>
      <c r="E14" s="37">
        <v>20</v>
      </c>
      <c r="F14" s="63"/>
      <c r="H14" s="69"/>
      <c r="K14" s="63"/>
      <c r="N14" s="56"/>
    </row>
    <row r="15" spans="1:15" ht="14.65" thickBot="1" x14ac:dyDescent="0.45">
      <c r="B15" s="61" t="s">
        <v>56</v>
      </c>
      <c r="C15" s="56"/>
      <c r="D15" s="56"/>
      <c r="E15" s="80">
        <v>1.4E-3</v>
      </c>
      <c r="F15" s="63"/>
      <c r="H15" s="69"/>
      <c r="K15" s="63"/>
    </row>
    <row r="16" spans="1:15" ht="14.65" thickBot="1" x14ac:dyDescent="0.45">
      <c r="B16" s="64" t="s">
        <v>55</v>
      </c>
      <c r="C16" s="65"/>
      <c r="D16" s="65"/>
      <c r="E16" s="80">
        <v>2.0000000000000001E-4</v>
      </c>
      <c r="F16" s="66"/>
      <c r="H16" s="70"/>
      <c r="I16" s="81"/>
      <c r="J16" s="81"/>
      <c r="K16" s="66"/>
    </row>
    <row r="19" spans="1:21" x14ac:dyDescent="0.35">
      <c r="S19" s="55"/>
    </row>
    <row r="20" spans="1:21" ht="13.15" x14ac:dyDescent="0.4">
      <c r="Q20" s="56"/>
    </row>
    <row r="21" spans="1:21" ht="13.15" thickBot="1" x14ac:dyDescent="0.4"/>
    <row r="22" spans="1:21" ht="14.65" customHeight="1" thickBot="1" x14ac:dyDescent="0.4">
      <c r="N22" s="184" t="s">
        <v>68</v>
      </c>
      <c r="O22" s="185"/>
      <c r="P22" s="184" t="s">
        <v>69</v>
      </c>
      <c r="Q22" s="188"/>
      <c r="R22" s="188"/>
      <c r="S22" s="188"/>
      <c r="T22" s="188"/>
      <c r="U22" s="185"/>
    </row>
    <row r="23" spans="1:21" ht="14.25" customHeight="1" thickBot="1" x14ac:dyDescent="0.45">
      <c r="A23" s="67" t="s">
        <v>63</v>
      </c>
      <c r="B23" s="68" t="s">
        <v>63</v>
      </c>
      <c r="C23" s="72" t="s">
        <v>54</v>
      </c>
      <c r="D23" s="73"/>
      <c r="N23" s="186"/>
      <c r="O23" s="187"/>
      <c r="P23" s="186"/>
      <c r="Q23" s="189"/>
      <c r="R23" s="189"/>
      <c r="S23" s="189"/>
      <c r="T23" s="189"/>
      <c r="U23" s="187"/>
    </row>
    <row r="24" spans="1:21" ht="13.15" x14ac:dyDescent="0.4">
      <c r="A24" s="61" t="s">
        <v>64</v>
      </c>
      <c r="B24" s="62" t="s">
        <v>65</v>
      </c>
      <c r="C24" s="74" t="s">
        <v>50</v>
      </c>
      <c r="D24" s="75" t="s">
        <v>49</v>
      </c>
      <c r="E24" s="83" t="s">
        <v>1</v>
      </c>
      <c r="F24" s="84" t="s">
        <v>2</v>
      </c>
      <c r="G24" s="84" t="s">
        <v>3</v>
      </c>
      <c r="H24" s="85" t="s">
        <v>66</v>
      </c>
      <c r="I24" s="84" t="s">
        <v>53</v>
      </c>
      <c r="J24" s="84" t="s">
        <v>52</v>
      </c>
      <c r="K24" s="85" t="s">
        <v>51</v>
      </c>
      <c r="L24" s="84" t="s">
        <v>48</v>
      </c>
      <c r="M24" s="85" t="s">
        <v>44</v>
      </c>
      <c r="N24" s="83" t="s">
        <v>33</v>
      </c>
      <c r="O24" s="86" t="s">
        <v>43</v>
      </c>
      <c r="P24" s="87" t="s">
        <v>47</v>
      </c>
      <c r="Q24" s="85" t="s">
        <v>46</v>
      </c>
      <c r="R24" s="85" t="s">
        <v>45</v>
      </c>
      <c r="S24" s="85" t="s">
        <v>37</v>
      </c>
      <c r="T24" s="84" t="s">
        <v>43</v>
      </c>
      <c r="U24" s="68" t="s">
        <v>42</v>
      </c>
    </row>
    <row r="25" spans="1:21" ht="14.65" thickBot="1" x14ac:dyDescent="0.5">
      <c r="A25" s="70"/>
      <c r="B25" s="71"/>
      <c r="C25" s="76" t="s">
        <v>40</v>
      </c>
      <c r="D25" s="77" t="s">
        <v>40</v>
      </c>
      <c r="E25" s="61"/>
      <c r="F25" s="56"/>
      <c r="H25" s="136"/>
      <c r="I25" s="137" t="s">
        <v>41</v>
      </c>
      <c r="J25" s="137" t="s">
        <v>41</v>
      </c>
      <c r="K25" s="138" t="s">
        <v>15</v>
      </c>
      <c r="L25" s="56"/>
      <c r="M25" s="137"/>
      <c r="N25" s="139" t="s">
        <v>67</v>
      </c>
      <c r="O25" s="140" t="s">
        <v>15</v>
      </c>
      <c r="P25" s="150" t="s">
        <v>40</v>
      </c>
      <c r="Q25" s="138" t="s">
        <v>40</v>
      </c>
      <c r="R25" s="138" t="s">
        <v>39</v>
      </c>
      <c r="S25" s="138" t="s">
        <v>38</v>
      </c>
      <c r="T25" s="151" t="s">
        <v>37</v>
      </c>
      <c r="U25" s="62" t="s">
        <v>36</v>
      </c>
    </row>
    <row r="26" spans="1:21" x14ac:dyDescent="0.35">
      <c r="A26" s="69">
        <v>0</v>
      </c>
      <c r="B26" s="63">
        <v>1</v>
      </c>
      <c r="C26" s="78">
        <v>0</v>
      </c>
      <c r="D26" s="134">
        <v>843.82841073831617</v>
      </c>
      <c r="E26" s="112">
        <f>$E$6</f>
        <v>910</v>
      </c>
      <c r="F26" s="113">
        <f>$E$8+$E$7*$E$6</f>
        <v>928</v>
      </c>
      <c r="G26" s="113">
        <f>1+$E$12</f>
        <v>1.05</v>
      </c>
      <c r="H26" s="114">
        <f>$E$15</f>
        <v>1.4E-3</v>
      </c>
      <c r="I26" s="115">
        <f>$E$11</f>
        <v>25000</v>
      </c>
      <c r="J26" s="59">
        <f>0</f>
        <v>0</v>
      </c>
      <c r="K26" s="115">
        <f>(E26-F26)*G26-H26*I26-L26*J26</f>
        <v>-53.900000000000006</v>
      </c>
      <c r="L26" s="133">
        <f>1-H26</f>
        <v>0.99860000000000004</v>
      </c>
      <c r="M26" s="60">
        <f>1</f>
        <v>1</v>
      </c>
      <c r="N26" s="114">
        <f>$F$13^B26</f>
        <v>0.90909090909090906</v>
      </c>
      <c r="O26" s="115">
        <f>N26*M26*K26</f>
        <v>-49</v>
      </c>
      <c r="P26" s="112">
        <f>L26*D26-C26</f>
        <v>842.6470509632826</v>
      </c>
      <c r="Q26" s="115">
        <f>C26*$E$12</f>
        <v>0</v>
      </c>
      <c r="R26" s="115">
        <f>K26+Q26-P26</f>
        <v>-896.54705096328257</v>
      </c>
      <c r="S26" s="115">
        <f>R26*M26</f>
        <v>-896.54705096328257</v>
      </c>
      <c r="T26" s="59">
        <f>N26*S26</f>
        <v>-815.04277360298408</v>
      </c>
      <c r="U26" s="116">
        <f>SUMIF($A$26:$A$45,"&lt;=" &amp; A26,$T$26:$T$45)</f>
        <v>-815.04277360298408</v>
      </c>
    </row>
    <row r="27" spans="1:21" x14ac:dyDescent="0.35">
      <c r="A27" s="69">
        <f>A26+1</f>
        <v>1</v>
      </c>
      <c r="B27" s="63">
        <v>2</v>
      </c>
      <c r="C27" s="78">
        <v>843.82841073831617</v>
      </c>
      <c r="D27" s="134">
        <v>1717.9863252883101</v>
      </c>
      <c r="E27" s="143">
        <f t="shared" ref="E27:E45" si="0">$E$6</f>
        <v>910</v>
      </c>
      <c r="F27" s="88">
        <f>$E$10+$E$9*$E$6</f>
        <v>32.75</v>
      </c>
      <c r="G27" s="88">
        <f t="shared" ref="G27:G45" si="1">1+$E$12</f>
        <v>1.05</v>
      </c>
      <c r="H27" s="141">
        <f>H26+$E$16</f>
        <v>1.6000000000000001E-3</v>
      </c>
      <c r="I27" s="55">
        <f t="shared" ref="I27:I45" si="2">$E$11</f>
        <v>25000</v>
      </c>
      <c r="J27" s="54">
        <f>0</f>
        <v>0</v>
      </c>
      <c r="K27" s="55">
        <f t="shared" ref="K27:K45" si="3">(E27-F27)*G27-H27*I27-L27*J27</f>
        <v>881.11250000000007</v>
      </c>
      <c r="L27" s="142">
        <f t="shared" ref="L27:L45" si="4">1-H27</f>
        <v>0.99839999999999995</v>
      </c>
      <c r="M27" s="148" cm="1">
        <f t="array" ref="M27">PRODUCT(_xlfn._xlws.FILTER($L$26:$L$45,$B$26:$B$45&lt;=B26))</f>
        <v>0.99860000000000004</v>
      </c>
      <c r="N27" s="141">
        <f t="shared" ref="N27:N45" si="5">$F$13^B27</f>
        <v>0.82644628099173545</v>
      </c>
      <c r="O27" s="55">
        <f t="shared" ref="O27:O45" si="6">N27*M27*K27</f>
        <v>727.17267975206607</v>
      </c>
      <c r="P27" s="143">
        <f t="shared" ref="P27:P45" si="7">L27*D27-C27</f>
        <v>871.40913642953262</v>
      </c>
      <c r="Q27" s="55">
        <f t="shared" ref="Q27:Q45" si="8">C27*$E$12</f>
        <v>42.191420536915814</v>
      </c>
      <c r="R27" s="55">
        <f t="shared" ref="R27:R45" si="9">K27+Q27-P27</f>
        <v>51.894784107383316</v>
      </c>
      <c r="S27" s="55">
        <f t="shared" ref="S27:S45" si="10">R27*M27</f>
        <v>51.822131409632981</v>
      </c>
      <c r="T27" s="54">
        <f t="shared" ref="T27:T45" si="11">N27*S27</f>
        <v>42.828207776556177</v>
      </c>
      <c r="U27" s="89">
        <f t="shared" ref="U27:U45" si="12">SUMIF($A$26:$A$45,"&lt;=" &amp; A27,$T$26:$T$45)</f>
        <v>-772.21456582642793</v>
      </c>
    </row>
    <row r="28" spans="1:21" x14ac:dyDescent="0.35">
      <c r="A28" s="69">
        <f t="shared" ref="A28:A45" si="13">A27+1</f>
        <v>2</v>
      </c>
      <c r="B28" s="63">
        <v>3</v>
      </c>
      <c r="C28" s="78">
        <v>1717.9863252883101</v>
      </c>
      <c r="D28" s="134">
        <v>2624.0851315366085</v>
      </c>
      <c r="E28" s="143">
        <f t="shared" si="0"/>
        <v>910</v>
      </c>
      <c r="F28" s="88">
        <f>F27</f>
        <v>32.75</v>
      </c>
      <c r="G28" s="88">
        <f t="shared" si="1"/>
        <v>1.05</v>
      </c>
      <c r="H28" s="141">
        <f t="shared" ref="H28:H45" si="14">H27+$E$16</f>
        <v>1.8000000000000002E-3</v>
      </c>
      <c r="I28" s="55">
        <f t="shared" si="2"/>
        <v>25000</v>
      </c>
      <c r="J28" s="54">
        <f>0</f>
        <v>0</v>
      </c>
      <c r="K28" s="55">
        <f t="shared" si="3"/>
        <v>876.11250000000007</v>
      </c>
      <c r="L28" s="142">
        <f t="shared" si="4"/>
        <v>0.99819999999999998</v>
      </c>
      <c r="M28" s="148" cm="1">
        <f t="array" ref="M28">PRODUCT(_xlfn._xlws.FILTER($L$26:$L$45,$B$26:$B$45&lt;=B27))</f>
        <v>0.99700224000000004</v>
      </c>
      <c r="N28" s="141">
        <f t="shared" si="5"/>
        <v>0.75131480090157765</v>
      </c>
      <c r="O28" s="55">
        <f t="shared" si="6"/>
        <v>656.26305408865517</v>
      </c>
      <c r="P28" s="143">
        <f t="shared" si="7"/>
        <v>901.3754530115325</v>
      </c>
      <c r="Q28" s="55">
        <f t="shared" si="8"/>
        <v>85.899316264415518</v>
      </c>
      <c r="R28" s="55">
        <f t="shared" si="9"/>
        <v>60.636363252883029</v>
      </c>
      <c r="S28" s="55">
        <f t="shared" si="10"/>
        <v>60.454589988578071</v>
      </c>
      <c r="T28" s="54">
        <f t="shared" si="11"/>
        <v>45.420428240855045</v>
      </c>
      <c r="U28" s="89">
        <f t="shared" si="12"/>
        <v>-726.79413758557291</v>
      </c>
    </row>
    <row r="29" spans="1:21" x14ac:dyDescent="0.35">
      <c r="A29" s="69">
        <f t="shared" si="13"/>
        <v>3</v>
      </c>
      <c r="B29" s="63">
        <v>4</v>
      </c>
      <c r="C29" s="78">
        <v>2624.0851315366085</v>
      </c>
      <c r="D29" s="134">
        <v>3563.8322012004742</v>
      </c>
      <c r="E29" s="143">
        <f t="shared" si="0"/>
        <v>910</v>
      </c>
      <c r="F29" s="88">
        <f t="shared" ref="F29:F45" si="15">F28</f>
        <v>32.75</v>
      </c>
      <c r="G29" s="88">
        <f t="shared" si="1"/>
        <v>1.05</v>
      </c>
      <c r="H29" s="141">
        <f t="shared" si="14"/>
        <v>2E-3</v>
      </c>
      <c r="I29" s="55">
        <f t="shared" si="2"/>
        <v>25000</v>
      </c>
      <c r="J29" s="54">
        <f>0</f>
        <v>0</v>
      </c>
      <c r="K29" s="55">
        <f t="shared" si="3"/>
        <v>871.11250000000007</v>
      </c>
      <c r="L29" s="142">
        <f t="shared" si="4"/>
        <v>0.998</v>
      </c>
      <c r="M29" s="148" cm="1">
        <f t="array" ref="M29">PRODUCT(_xlfn._xlws.FILTER($L$26:$L$45,$B$26:$B$45&lt;=B28))</f>
        <v>0.99520763596799999</v>
      </c>
      <c r="N29" s="141">
        <f t="shared" si="5"/>
        <v>0.68301345536507052</v>
      </c>
      <c r="O29" s="55">
        <f t="shared" si="6"/>
        <v>592.13019041539121</v>
      </c>
      <c r="P29" s="143">
        <f t="shared" si="7"/>
        <v>932.61940526146464</v>
      </c>
      <c r="Q29" s="55">
        <f t="shared" si="8"/>
        <v>131.20425657683043</v>
      </c>
      <c r="R29" s="55">
        <f t="shared" si="9"/>
        <v>69.697351315365836</v>
      </c>
      <c r="S29" s="55">
        <f t="shared" si="10"/>
        <v>69.36333623579641</v>
      </c>
      <c r="T29" s="54">
        <f t="shared" si="11"/>
        <v>47.376091958060513</v>
      </c>
      <c r="U29" s="89">
        <f t="shared" si="12"/>
        <v>-679.41804562751236</v>
      </c>
    </row>
    <row r="30" spans="1:21" x14ac:dyDescent="0.35">
      <c r="A30" s="69">
        <f t="shared" si="13"/>
        <v>4</v>
      </c>
      <c r="B30" s="63">
        <v>5</v>
      </c>
      <c r="C30" s="78">
        <v>3563.8322012004742</v>
      </c>
      <c r="D30" s="134">
        <v>4539.0273494172106</v>
      </c>
      <c r="E30" s="143">
        <f t="shared" si="0"/>
        <v>910</v>
      </c>
      <c r="F30" s="88">
        <f t="shared" si="15"/>
        <v>32.75</v>
      </c>
      <c r="G30" s="88">
        <f t="shared" si="1"/>
        <v>1.05</v>
      </c>
      <c r="H30" s="141">
        <f t="shared" si="14"/>
        <v>2.2000000000000001E-3</v>
      </c>
      <c r="I30" s="55">
        <f t="shared" si="2"/>
        <v>25000</v>
      </c>
      <c r="J30" s="54">
        <f>0</f>
        <v>0</v>
      </c>
      <c r="K30" s="55">
        <f t="shared" si="3"/>
        <v>866.11250000000007</v>
      </c>
      <c r="L30" s="142">
        <f t="shared" si="4"/>
        <v>0.99780000000000002</v>
      </c>
      <c r="M30" s="148" cm="1">
        <f t="array" ref="M30">PRODUCT(_xlfn._xlws.FILTER($L$26:$L$45,$B$26:$B$45&lt;=B29))</f>
        <v>0.993217220696064</v>
      </c>
      <c r="N30" s="141">
        <f t="shared" si="5"/>
        <v>0.62092132305915504</v>
      </c>
      <c r="O30" s="55">
        <f t="shared" si="6"/>
        <v>534.14002400489267</v>
      </c>
      <c r="P30" s="143">
        <f t="shared" si="7"/>
        <v>965.20928804801906</v>
      </c>
      <c r="Q30" s="55">
        <f t="shared" si="8"/>
        <v>178.19161006002372</v>
      </c>
      <c r="R30" s="55">
        <f t="shared" si="9"/>
        <v>79.09482201200467</v>
      </c>
      <c r="S30" s="55">
        <f t="shared" si="10"/>
        <v>78.558339290213141</v>
      </c>
      <c r="T30" s="54">
        <f t="shared" si="11"/>
        <v>48.778547969409146</v>
      </c>
      <c r="U30" s="89">
        <f t="shared" si="12"/>
        <v>-630.63949765810321</v>
      </c>
    </row>
    <row r="31" spans="1:21" x14ac:dyDescent="0.35">
      <c r="A31" s="69">
        <f t="shared" si="13"/>
        <v>5</v>
      </c>
      <c r="B31" s="63">
        <v>6</v>
      </c>
      <c r="C31" s="78">
        <v>4539.0273494172106</v>
      </c>
      <c r="D31" s="134">
        <v>5551.568207090917</v>
      </c>
      <c r="E31" s="143">
        <f t="shared" si="0"/>
        <v>910</v>
      </c>
      <c r="F31" s="88">
        <f t="shared" si="15"/>
        <v>32.75</v>
      </c>
      <c r="G31" s="88">
        <f t="shared" si="1"/>
        <v>1.05</v>
      </c>
      <c r="H31" s="141">
        <f t="shared" si="14"/>
        <v>2.4000000000000002E-3</v>
      </c>
      <c r="I31" s="55">
        <f t="shared" si="2"/>
        <v>25000</v>
      </c>
      <c r="J31" s="54">
        <f>0</f>
        <v>0</v>
      </c>
      <c r="K31" s="55">
        <f t="shared" si="3"/>
        <v>861.11250000000007</v>
      </c>
      <c r="L31" s="142">
        <f t="shared" si="4"/>
        <v>0.99760000000000004</v>
      </c>
      <c r="M31" s="148" cm="1">
        <f t="array" ref="M31">PRODUCT(_xlfn._xlws.FILTER($L$26:$L$45,$B$26:$B$45&lt;=B30))</f>
        <v>0.99103214281053265</v>
      </c>
      <c r="N31" s="141">
        <f t="shared" si="5"/>
        <v>0.56447393005377722</v>
      </c>
      <c r="O31" s="55">
        <f t="shared" si="6"/>
        <v>481.71650091412857</v>
      </c>
      <c r="P31" s="143">
        <f t="shared" si="7"/>
        <v>999.21709397668837</v>
      </c>
      <c r="Q31" s="55">
        <f t="shared" si="8"/>
        <v>226.95136747086053</v>
      </c>
      <c r="R31" s="55">
        <f t="shared" si="9"/>
        <v>88.846773494172339</v>
      </c>
      <c r="S31" s="55">
        <f t="shared" si="10"/>
        <v>88.050008317731653</v>
      </c>
      <c r="T31" s="54">
        <f t="shared" si="11"/>
        <v>49.70193423637776</v>
      </c>
      <c r="U31" s="89">
        <f t="shared" si="12"/>
        <v>-580.93756342172549</v>
      </c>
    </row>
    <row r="32" spans="1:21" x14ac:dyDescent="0.35">
      <c r="A32" s="69">
        <f t="shared" si="13"/>
        <v>6</v>
      </c>
      <c r="B32" s="63">
        <v>7</v>
      </c>
      <c r="C32" s="78">
        <v>5551.568207090917</v>
      </c>
      <c r="D32" s="134">
        <v>6603.4559207685525</v>
      </c>
      <c r="E32" s="143">
        <f t="shared" si="0"/>
        <v>910</v>
      </c>
      <c r="F32" s="88">
        <f t="shared" si="15"/>
        <v>32.75</v>
      </c>
      <c r="G32" s="88">
        <f t="shared" si="1"/>
        <v>1.05</v>
      </c>
      <c r="H32" s="141">
        <f t="shared" si="14"/>
        <v>2.6000000000000003E-3</v>
      </c>
      <c r="I32" s="55">
        <f t="shared" si="2"/>
        <v>25000</v>
      </c>
      <c r="J32" s="54">
        <f>0</f>
        <v>0</v>
      </c>
      <c r="K32" s="55">
        <f t="shared" si="3"/>
        <v>856.11250000000007</v>
      </c>
      <c r="L32" s="142">
        <f t="shared" si="4"/>
        <v>0.99739999999999995</v>
      </c>
      <c r="M32" s="148" cm="1">
        <f t="array" ref="M32">PRODUCT(_xlfn._xlws.FILTER($L$26:$L$45,$B$26:$B$45&lt;=B31))</f>
        <v>0.98865366566778745</v>
      </c>
      <c r="N32" s="141">
        <f t="shared" si="5"/>
        <v>0.51315811823070656</v>
      </c>
      <c r="O32" s="55">
        <f t="shared" si="6"/>
        <v>434.33639564666072</v>
      </c>
      <c r="P32" s="143">
        <f t="shared" si="7"/>
        <v>1034.7187282836367</v>
      </c>
      <c r="Q32" s="55">
        <f t="shared" si="8"/>
        <v>277.57841035454584</v>
      </c>
      <c r="R32" s="55">
        <f t="shared" si="9"/>
        <v>98.972182070909184</v>
      </c>
      <c r="S32" s="55">
        <f t="shared" si="10"/>
        <v>97.849210603544037</v>
      </c>
      <c r="T32" s="54">
        <f t="shared" si="11"/>
        <v>50.212116783674759</v>
      </c>
      <c r="U32" s="89">
        <f t="shared" si="12"/>
        <v>-530.7254466380507</v>
      </c>
    </row>
    <row r="33" spans="1:21" x14ac:dyDescent="0.35">
      <c r="A33" s="69">
        <f t="shared" si="13"/>
        <v>7</v>
      </c>
      <c r="B33" s="63">
        <v>8</v>
      </c>
      <c r="C33" s="78">
        <v>6603.4559207685525</v>
      </c>
      <c r="D33" s="134">
        <v>7696.8012009619888</v>
      </c>
      <c r="E33" s="143">
        <f t="shared" si="0"/>
        <v>910</v>
      </c>
      <c r="F33" s="88">
        <f t="shared" si="15"/>
        <v>32.75</v>
      </c>
      <c r="G33" s="88">
        <f t="shared" si="1"/>
        <v>1.05</v>
      </c>
      <c r="H33" s="141">
        <f t="shared" si="14"/>
        <v>2.8000000000000004E-3</v>
      </c>
      <c r="I33" s="55">
        <f t="shared" si="2"/>
        <v>25000</v>
      </c>
      <c r="J33" s="54">
        <f>0</f>
        <v>0</v>
      </c>
      <c r="K33" s="55">
        <f t="shared" si="3"/>
        <v>851.11250000000007</v>
      </c>
      <c r="L33" s="142">
        <f t="shared" si="4"/>
        <v>0.99719999999999998</v>
      </c>
      <c r="M33" s="148" cm="1">
        <f t="array" ref="M33">PRODUCT(_xlfn._xlws.FILTER($L$26:$L$45,$B$26:$B$45&lt;=B32))</f>
        <v>0.98608316613705116</v>
      </c>
      <c r="N33" s="141">
        <f t="shared" si="5"/>
        <v>0.4665073802097332</v>
      </c>
      <c r="O33" s="55">
        <f t="shared" si="6"/>
        <v>391.52458009837284</v>
      </c>
      <c r="P33" s="143">
        <f t="shared" si="7"/>
        <v>1071.7942368307422</v>
      </c>
      <c r="Q33" s="55">
        <f t="shared" si="8"/>
        <v>330.17279603842763</v>
      </c>
      <c r="R33" s="55">
        <f t="shared" si="9"/>
        <v>109.49105920768557</v>
      </c>
      <c r="S33" s="55">
        <f t="shared" si="10"/>
        <v>107.96729032721392</v>
      </c>
      <c r="T33" s="54">
        <f t="shared" si="11"/>
        <v>50.367537758892233</v>
      </c>
      <c r="U33" s="89">
        <f t="shared" si="12"/>
        <v>-480.35790887915846</v>
      </c>
    </row>
    <row r="34" spans="1:21" x14ac:dyDescent="0.35">
      <c r="A34" s="69">
        <f t="shared" si="13"/>
        <v>8</v>
      </c>
      <c r="B34" s="63">
        <v>9</v>
      </c>
      <c r="C34" s="78">
        <v>7696.8012009619888</v>
      </c>
      <c r="D34" s="134">
        <v>8833.8307412241411</v>
      </c>
      <c r="E34" s="143">
        <f t="shared" si="0"/>
        <v>910</v>
      </c>
      <c r="F34" s="88">
        <f t="shared" si="15"/>
        <v>32.75</v>
      </c>
      <c r="G34" s="88">
        <f t="shared" si="1"/>
        <v>1.05</v>
      </c>
      <c r="H34" s="141">
        <f t="shared" si="14"/>
        <v>3.0000000000000005E-3</v>
      </c>
      <c r="I34" s="55">
        <f t="shared" si="2"/>
        <v>25000</v>
      </c>
      <c r="J34" s="54">
        <f>0</f>
        <v>0</v>
      </c>
      <c r="K34" s="55">
        <f t="shared" si="3"/>
        <v>846.11250000000007</v>
      </c>
      <c r="L34" s="142">
        <f t="shared" si="4"/>
        <v>0.997</v>
      </c>
      <c r="M34" s="148" cm="1">
        <f t="array" ref="M34">PRODUCT(_xlfn._xlws.FILTER($L$26:$L$45,$B$26:$B$45&lt;=B33))</f>
        <v>0.98332213327186735</v>
      </c>
      <c r="N34" s="141">
        <f t="shared" si="5"/>
        <v>0.42409761837248472</v>
      </c>
      <c r="O34" s="55">
        <f t="shared" si="6"/>
        <v>352.84970555692979</v>
      </c>
      <c r="P34" s="143">
        <f t="shared" si="7"/>
        <v>1110.528048038479</v>
      </c>
      <c r="Q34" s="55">
        <f t="shared" si="8"/>
        <v>384.84006004809947</v>
      </c>
      <c r="R34" s="55">
        <f t="shared" si="9"/>
        <v>120.42451200962046</v>
      </c>
      <c r="S34" s="55">
        <f t="shared" si="10"/>
        <v>118.4160880475236</v>
      </c>
      <c r="T34" s="54">
        <f t="shared" si="11"/>
        <v>50.219980917941214</v>
      </c>
      <c r="U34" s="89">
        <f t="shared" si="12"/>
        <v>-430.13792796121726</v>
      </c>
    </row>
    <row r="35" spans="1:21" x14ac:dyDescent="0.35">
      <c r="A35" s="69">
        <f t="shared" si="13"/>
        <v>9</v>
      </c>
      <c r="B35" s="63">
        <v>10</v>
      </c>
      <c r="C35" s="78">
        <v>8833.8307412241411</v>
      </c>
      <c r="D35" s="134">
        <v>10016.894031774786</v>
      </c>
      <c r="E35" s="143">
        <f t="shared" si="0"/>
        <v>910</v>
      </c>
      <c r="F35" s="88">
        <f t="shared" si="15"/>
        <v>32.75</v>
      </c>
      <c r="G35" s="88">
        <f t="shared" si="1"/>
        <v>1.05</v>
      </c>
      <c r="H35" s="141">
        <f t="shared" si="14"/>
        <v>3.2000000000000006E-3</v>
      </c>
      <c r="I35" s="55">
        <f t="shared" si="2"/>
        <v>25000</v>
      </c>
      <c r="J35" s="54">
        <f>0</f>
        <v>0</v>
      </c>
      <c r="K35" s="55">
        <f t="shared" si="3"/>
        <v>841.11250000000007</v>
      </c>
      <c r="L35" s="142">
        <f t="shared" si="4"/>
        <v>0.99680000000000002</v>
      </c>
      <c r="M35" s="148" cm="1">
        <f t="array" ref="M35">PRODUCT(_xlfn._xlws.FILTER($L$26:$L$45,$B$26:$B$45&lt;=B34))</f>
        <v>0.98037216687205175</v>
      </c>
      <c r="N35" s="141">
        <f t="shared" si="5"/>
        <v>0.38554328942953153</v>
      </c>
      <c r="O35" s="55">
        <f t="shared" si="6"/>
        <v>317.92026266801224</v>
      </c>
      <c r="P35" s="143">
        <f t="shared" si="7"/>
        <v>1151.0092296489656</v>
      </c>
      <c r="Q35" s="55">
        <f t="shared" si="8"/>
        <v>441.6915370612071</v>
      </c>
      <c r="R35" s="55">
        <f t="shared" si="9"/>
        <v>131.79480741224143</v>
      </c>
      <c r="S35" s="55">
        <f t="shared" si="10"/>
        <v>129.20796092522389</v>
      </c>
      <c r="T35" s="54">
        <f t="shared" si="11"/>
        <v>49.815262275593192</v>
      </c>
      <c r="U35" s="89">
        <f t="shared" si="12"/>
        <v>-380.32266568562409</v>
      </c>
    </row>
    <row r="36" spans="1:21" x14ac:dyDescent="0.35">
      <c r="A36" s="69">
        <f t="shared" si="13"/>
        <v>10</v>
      </c>
      <c r="B36" s="63">
        <v>11</v>
      </c>
      <c r="C36" s="78">
        <v>10016.894031774786</v>
      </c>
      <c r="D36" s="134">
        <v>11248.470593062188</v>
      </c>
      <c r="E36" s="143">
        <f t="shared" si="0"/>
        <v>910</v>
      </c>
      <c r="F36" s="88">
        <f t="shared" si="15"/>
        <v>32.75</v>
      </c>
      <c r="G36" s="88">
        <f t="shared" si="1"/>
        <v>1.05</v>
      </c>
      <c r="H36" s="141">
        <f t="shared" si="14"/>
        <v>3.4000000000000007E-3</v>
      </c>
      <c r="I36" s="55">
        <f t="shared" si="2"/>
        <v>25000</v>
      </c>
      <c r="J36" s="54">
        <f>0</f>
        <v>0</v>
      </c>
      <c r="K36" s="55">
        <f t="shared" si="3"/>
        <v>836.11250000000007</v>
      </c>
      <c r="L36" s="142">
        <f t="shared" si="4"/>
        <v>0.99660000000000004</v>
      </c>
      <c r="M36" s="148" cm="1">
        <f t="array" ref="M36">PRODUCT(_xlfn._xlws.FILTER($L$26:$L$45,$B$26:$B$45&lt;=B35))</f>
        <v>0.97723497593806119</v>
      </c>
      <c r="N36" s="141">
        <f t="shared" si="5"/>
        <v>0.35049389948139231</v>
      </c>
      <c r="O36" s="55">
        <f t="shared" si="6"/>
        <v>286.38098717420991</v>
      </c>
      <c r="P36" s="143">
        <f t="shared" si="7"/>
        <v>1193.3317612709907</v>
      </c>
      <c r="Q36" s="55">
        <f t="shared" si="8"/>
        <v>500.84470158873933</v>
      </c>
      <c r="R36" s="55">
        <f t="shared" si="9"/>
        <v>143.6254403177486</v>
      </c>
      <c r="S36" s="55">
        <f t="shared" si="10"/>
        <v>140.3558037130085</v>
      </c>
      <c r="T36" s="54">
        <f t="shared" si="11"/>
        <v>49.193852958217228</v>
      </c>
      <c r="U36" s="89">
        <f t="shared" si="12"/>
        <v>-331.12881272740685</v>
      </c>
    </row>
    <row r="37" spans="1:21" x14ac:dyDescent="0.35">
      <c r="A37" s="69">
        <f t="shared" si="13"/>
        <v>11</v>
      </c>
      <c r="B37" s="63">
        <v>12</v>
      </c>
      <c r="C37" s="78">
        <v>11248.470593062188</v>
      </c>
      <c r="D37" s="134">
        <v>12531.177656347527</v>
      </c>
      <c r="E37" s="143">
        <f t="shared" si="0"/>
        <v>910</v>
      </c>
      <c r="F37" s="88">
        <f t="shared" si="15"/>
        <v>32.75</v>
      </c>
      <c r="G37" s="88">
        <f t="shared" si="1"/>
        <v>1.05</v>
      </c>
      <c r="H37" s="141">
        <f t="shared" si="14"/>
        <v>3.6000000000000008E-3</v>
      </c>
      <c r="I37" s="55">
        <f t="shared" si="2"/>
        <v>25000</v>
      </c>
      <c r="J37" s="54">
        <f>0</f>
        <v>0</v>
      </c>
      <c r="K37" s="55">
        <f t="shared" si="3"/>
        <v>831.11250000000007</v>
      </c>
      <c r="L37" s="142">
        <f t="shared" si="4"/>
        <v>0.99639999999999995</v>
      </c>
      <c r="M37" s="148" cm="1">
        <f t="array" ref="M37">PRODUCT(_xlfn._xlws.FILTER($L$26:$L$45,$B$26:$B$45&lt;=B36))</f>
        <v>0.97391237701987188</v>
      </c>
      <c r="N37" s="141">
        <f t="shared" si="5"/>
        <v>0.31863081771035662</v>
      </c>
      <c r="O37" s="55">
        <f t="shared" si="6"/>
        <v>257.90958189449373</v>
      </c>
      <c r="P37" s="143">
        <f t="shared" si="7"/>
        <v>1237.5948237224875</v>
      </c>
      <c r="Q37" s="55">
        <f t="shared" si="8"/>
        <v>562.42352965310943</v>
      </c>
      <c r="R37" s="55">
        <f t="shared" si="9"/>
        <v>155.94120593062189</v>
      </c>
      <c r="S37" s="55">
        <f t="shared" si="10"/>
        <v>151.8730705432373</v>
      </c>
      <c r="T37" s="54">
        <f t="shared" si="11"/>
        <v>48.391440655374375</v>
      </c>
      <c r="U37" s="89">
        <f t="shared" si="12"/>
        <v>-282.73737207203249</v>
      </c>
    </row>
    <row r="38" spans="1:21" x14ac:dyDescent="0.35">
      <c r="A38" s="69">
        <f t="shared" si="13"/>
        <v>12</v>
      </c>
      <c r="B38" s="63">
        <v>13</v>
      </c>
      <c r="C38" s="78">
        <v>12531.177656347527</v>
      </c>
      <c r="D38" s="134">
        <v>13867.778320218258</v>
      </c>
      <c r="E38" s="143">
        <f t="shared" si="0"/>
        <v>910</v>
      </c>
      <c r="F38" s="88">
        <f t="shared" si="15"/>
        <v>32.75</v>
      </c>
      <c r="G38" s="88">
        <f t="shared" si="1"/>
        <v>1.05</v>
      </c>
      <c r="H38" s="141">
        <f t="shared" si="14"/>
        <v>3.8000000000000009E-3</v>
      </c>
      <c r="I38" s="55">
        <f t="shared" si="2"/>
        <v>25000</v>
      </c>
      <c r="J38" s="54">
        <f>0</f>
        <v>0</v>
      </c>
      <c r="K38" s="55">
        <f t="shared" si="3"/>
        <v>826.11250000000007</v>
      </c>
      <c r="L38" s="142">
        <f t="shared" si="4"/>
        <v>0.99619999999999997</v>
      </c>
      <c r="M38" s="148" cm="1">
        <f t="array" ref="M38">PRODUCT(_xlfn._xlws.FILTER($L$26:$L$45,$B$26:$B$45&lt;=B37))</f>
        <v>0.97040629246260024</v>
      </c>
      <c r="N38" s="141">
        <f t="shared" si="5"/>
        <v>0.28966437973668779</v>
      </c>
      <c r="O38" s="55">
        <f t="shared" si="6"/>
        <v>232.21372786116393</v>
      </c>
      <c r="P38" s="143">
        <f t="shared" si="7"/>
        <v>1283.9031062539016</v>
      </c>
      <c r="Q38" s="55">
        <f t="shared" si="8"/>
        <v>626.55888281737634</v>
      </c>
      <c r="R38" s="55">
        <f t="shared" si="9"/>
        <v>168.76827656347496</v>
      </c>
      <c r="S38" s="55">
        <f t="shared" si="10"/>
        <v>163.77379754526447</v>
      </c>
      <c r="T38" s="54">
        <f t="shared" si="11"/>
        <v>47.439435483070916</v>
      </c>
      <c r="U38" s="89">
        <f t="shared" si="12"/>
        <v>-235.29793658896156</v>
      </c>
    </row>
    <row r="39" spans="1:21" x14ac:dyDescent="0.35">
      <c r="A39" s="69">
        <f t="shared" si="13"/>
        <v>13</v>
      </c>
      <c r="B39" s="63">
        <v>14</v>
      </c>
      <c r="C39" s="78">
        <v>13867.778320218258</v>
      </c>
      <c r="D39" s="134">
        <v>15261.190213882519</v>
      </c>
      <c r="E39" s="143">
        <f t="shared" si="0"/>
        <v>910</v>
      </c>
      <c r="F39" s="88">
        <f t="shared" si="15"/>
        <v>32.75</v>
      </c>
      <c r="G39" s="88">
        <f t="shared" si="1"/>
        <v>1.05</v>
      </c>
      <c r="H39" s="141">
        <f t="shared" si="14"/>
        <v>4.000000000000001E-3</v>
      </c>
      <c r="I39" s="55">
        <f t="shared" si="2"/>
        <v>25000</v>
      </c>
      <c r="J39" s="54">
        <f>0</f>
        <v>0</v>
      </c>
      <c r="K39" s="55">
        <f t="shared" si="3"/>
        <v>821.11250000000007</v>
      </c>
      <c r="L39" s="142">
        <f t="shared" si="4"/>
        <v>0.996</v>
      </c>
      <c r="M39" s="148" cm="1">
        <f t="array" ref="M39">PRODUCT(_xlfn._xlws.FILTER($L$26:$L$45,$B$26:$B$45&lt;=B38))</f>
        <v>0.96671874855124229</v>
      </c>
      <c r="N39" s="141">
        <f t="shared" si="5"/>
        <v>0.26333125430607979</v>
      </c>
      <c r="O39" s="55">
        <f t="shared" si="6"/>
        <v>209.02835978354258</v>
      </c>
      <c r="P39" s="143">
        <f t="shared" si="7"/>
        <v>1332.3671328087312</v>
      </c>
      <c r="Q39" s="55">
        <f t="shared" si="8"/>
        <v>693.38891601091291</v>
      </c>
      <c r="R39" s="55">
        <f t="shared" si="9"/>
        <v>182.1342832021819</v>
      </c>
      <c r="S39" s="55">
        <f t="shared" si="10"/>
        <v>176.07262632549083</v>
      </c>
      <c r="T39" s="54">
        <f t="shared" si="11"/>
        <v>46.365425539257181</v>
      </c>
      <c r="U39" s="89">
        <f t="shared" si="12"/>
        <v>-188.93251104970437</v>
      </c>
    </row>
    <row r="40" spans="1:21" x14ac:dyDescent="0.35">
      <c r="A40" s="69">
        <f t="shared" si="13"/>
        <v>14</v>
      </c>
      <c r="B40" s="63">
        <v>15</v>
      </c>
      <c r="C40" s="78">
        <v>15261.190213882519</v>
      </c>
      <c r="D40" s="134">
        <v>16714.494700178569</v>
      </c>
      <c r="E40" s="143">
        <f t="shared" si="0"/>
        <v>910</v>
      </c>
      <c r="F40" s="88">
        <f t="shared" si="15"/>
        <v>32.75</v>
      </c>
      <c r="G40" s="88">
        <f t="shared" si="1"/>
        <v>1.05</v>
      </c>
      <c r="H40" s="141">
        <f t="shared" si="14"/>
        <v>4.2000000000000006E-3</v>
      </c>
      <c r="I40" s="55">
        <f t="shared" si="2"/>
        <v>25000</v>
      </c>
      <c r="J40" s="54">
        <f>0</f>
        <v>0</v>
      </c>
      <c r="K40" s="55">
        <f t="shared" si="3"/>
        <v>816.11250000000007</v>
      </c>
      <c r="L40" s="142">
        <f t="shared" si="4"/>
        <v>0.99580000000000002</v>
      </c>
      <c r="M40" s="148" cm="1">
        <f t="array" ref="M40">PRODUCT(_xlfn._xlws.FILTER($L$26:$L$45,$B$26:$B$45&lt;=B39))</f>
        <v>0.96285187355703727</v>
      </c>
      <c r="N40" s="141">
        <f t="shared" si="5"/>
        <v>0.23939204936916345</v>
      </c>
      <c r="O40" s="55">
        <f t="shared" si="6"/>
        <v>188.11318307866796</v>
      </c>
      <c r="P40" s="143">
        <f t="shared" si="7"/>
        <v>1383.1036085553005</v>
      </c>
      <c r="Q40" s="55">
        <f t="shared" si="8"/>
        <v>763.05951069412595</v>
      </c>
      <c r="R40" s="55">
        <f t="shared" si="9"/>
        <v>196.0684021388256</v>
      </c>
      <c r="S40" s="55">
        <f t="shared" si="10"/>
        <v>188.78482834470285</v>
      </c>
      <c r="T40" s="54">
        <f t="shared" si="11"/>
        <v>45.19358694724415</v>
      </c>
      <c r="U40" s="89">
        <f t="shared" si="12"/>
        <v>-143.73892410246023</v>
      </c>
    </row>
    <row r="41" spans="1:21" x14ac:dyDescent="0.35">
      <c r="A41" s="69">
        <f t="shared" si="13"/>
        <v>15</v>
      </c>
      <c r="B41" s="63">
        <v>16</v>
      </c>
      <c r="C41" s="78">
        <v>16714.494700178569</v>
      </c>
      <c r="D41" s="134">
        <v>18230.946653460938</v>
      </c>
      <c r="E41" s="143">
        <f t="shared" si="0"/>
        <v>910</v>
      </c>
      <c r="F41" s="88">
        <f t="shared" si="15"/>
        <v>32.75</v>
      </c>
      <c r="G41" s="88">
        <f t="shared" si="1"/>
        <v>1.05</v>
      </c>
      <c r="H41" s="141">
        <f t="shared" si="14"/>
        <v>4.4000000000000003E-3</v>
      </c>
      <c r="I41" s="55">
        <f t="shared" si="2"/>
        <v>25000</v>
      </c>
      <c r="J41" s="54">
        <f>0</f>
        <v>0</v>
      </c>
      <c r="K41" s="55">
        <f t="shared" si="3"/>
        <v>811.11250000000007</v>
      </c>
      <c r="L41" s="142">
        <f t="shared" si="4"/>
        <v>0.99560000000000004</v>
      </c>
      <c r="M41" s="148" cm="1">
        <f t="array" ref="M41">PRODUCT(_xlfn._xlws.FILTER($L$26:$L$45,$B$26:$B$45&lt;=B40))</f>
        <v>0.95880789568809777</v>
      </c>
      <c r="N41" s="141">
        <f t="shared" si="5"/>
        <v>0.21762913579014859</v>
      </c>
      <c r="O41" s="55">
        <f t="shared" si="6"/>
        <v>169.25041161294274</v>
      </c>
      <c r="P41" s="143">
        <f t="shared" si="7"/>
        <v>1436.2357880071431</v>
      </c>
      <c r="Q41" s="55">
        <f t="shared" si="8"/>
        <v>835.72473500892852</v>
      </c>
      <c r="R41" s="55">
        <f t="shared" si="9"/>
        <v>210.60144700178535</v>
      </c>
      <c r="S41" s="55">
        <f t="shared" si="10"/>
        <v>201.92633022865024</v>
      </c>
      <c r="T41" s="54">
        <f t="shared" si="11"/>
        <v>43.945052740937307</v>
      </c>
      <c r="U41" s="89">
        <f t="shared" si="12"/>
        <v>-99.793871361522918</v>
      </c>
    </row>
    <row r="42" spans="1:21" x14ac:dyDescent="0.35">
      <c r="A42" s="69">
        <f t="shared" si="13"/>
        <v>16</v>
      </c>
      <c r="B42" s="63">
        <v>17</v>
      </c>
      <c r="C42" s="78">
        <v>18230.946653460938</v>
      </c>
      <c r="D42" s="134">
        <v>19813.98484990896</v>
      </c>
      <c r="E42" s="143">
        <f t="shared" si="0"/>
        <v>910</v>
      </c>
      <c r="F42" s="88">
        <f t="shared" si="15"/>
        <v>32.75</v>
      </c>
      <c r="G42" s="88">
        <f t="shared" si="1"/>
        <v>1.05</v>
      </c>
      <c r="H42" s="141">
        <f t="shared" si="14"/>
        <v>4.5999999999999999E-3</v>
      </c>
      <c r="I42" s="55">
        <f t="shared" si="2"/>
        <v>25000</v>
      </c>
      <c r="J42" s="54">
        <f>0</f>
        <v>0</v>
      </c>
      <c r="K42" s="55">
        <f t="shared" si="3"/>
        <v>806.11250000000007</v>
      </c>
      <c r="L42" s="142">
        <f t="shared" si="4"/>
        <v>0.99539999999999995</v>
      </c>
      <c r="M42" s="148" cm="1">
        <f t="array" ref="M42">PRODUCT(_xlfn._xlws.FILTER($L$26:$L$45,$B$26:$B$45&lt;=B41))</f>
        <v>0.95458914094707015</v>
      </c>
      <c r="N42" s="141">
        <f t="shared" si="5"/>
        <v>0.19784466890013508</v>
      </c>
      <c r="O42" s="55">
        <f t="shared" si="6"/>
        <v>152.24270704813722</v>
      </c>
      <c r="P42" s="143">
        <f t="shared" si="7"/>
        <v>1491.8938661384382</v>
      </c>
      <c r="Q42" s="55">
        <f t="shared" si="8"/>
        <v>911.54733267304698</v>
      </c>
      <c r="R42" s="55">
        <f t="shared" si="9"/>
        <v>225.76596653460888</v>
      </c>
      <c r="S42" s="55">
        <f t="shared" si="10"/>
        <v>215.51374004935727</v>
      </c>
      <c r="T42" s="54">
        <f t="shared" si="11"/>
        <v>42.638244543494871</v>
      </c>
      <c r="U42" s="89">
        <f t="shared" si="12"/>
        <v>-57.155626818028047</v>
      </c>
    </row>
    <row r="43" spans="1:21" x14ac:dyDescent="0.35">
      <c r="A43" s="69">
        <f t="shared" si="13"/>
        <v>17</v>
      </c>
      <c r="B43" s="63">
        <v>18</v>
      </c>
      <c r="C43" s="78">
        <v>19813.98484990896</v>
      </c>
      <c r="D43" s="134">
        <v>21467.243010355025</v>
      </c>
      <c r="E43" s="143">
        <f t="shared" si="0"/>
        <v>910</v>
      </c>
      <c r="F43" s="88">
        <f t="shared" si="15"/>
        <v>32.75</v>
      </c>
      <c r="G43" s="88">
        <f t="shared" si="1"/>
        <v>1.05</v>
      </c>
      <c r="H43" s="141">
        <f t="shared" si="14"/>
        <v>4.7999999999999996E-3</v>
      </c>
      <c r="I43" s="55">
        <f t="shared" si="2"/>
        <v>25000</v>
      </c>
      <c r="J43" s="54">
        <f>0</f>
        <v>0</v>
      </c>
      <c r="K43" s="55">
        <f t="shared" si="3"/>
        <v>801.11250000000007</v>
      </c>
      <c r="L43" s="142">
        <f t="shared" si="4"/>
        <v>0.99519999999999997</v>
      </c>
      <c r="M43" s="148" cm="1">
        <f t="array" ref="M43">PRODUCT(_xlfn._xlws.FILTER($L$26:$L$45,$B$26:$B$45&lt;=B42))</f>
        <v>0.95019803089871357</v>
      </c>
      <c r="N43" s="141">
        <f t="shared" si="5"/>
        <v>0.1798587899092137</v>
      </c>
      <c r="O43" s="55">
        <f t="shared" si="6"/>
        <v>136.91130229241111</v>
      </c>
      <c r="P43" s="143">
        <f t="shared" si="7"/>
        <v>1550.2153939963609</v>
      </c>
      <c r="Q43" s="55">
        <f t="shared" si="8"/>
        <v>990.69924249544806</v>
      </c>
      <c r="R43" s="55">
        <f t="shared" si="9"/>
        <v>241.59634849908707</v>
      </c>
      <c r="S43" s="55">
        <f t="shared" si="10"/>
        <v>229.56437461615192</v>
      </c>
      <c r="T43" s="54">
        <f t="shared" si="11"/>
        <v>41.289170624726495</v>
      </c>
      <c r="U43" s="89">
        <f t="shared" si="12"/>
        <v>-15.866456193301552</v>
      </c>
    </row>
    <row r="44" spans="1:21" x14ac:dyDescent="0.35">
      <c r="A44" s="69">
        <f t="shared" si="13"/>
        <v>18</v>
      </c>
      <c r="B44" s="63">
        <v>19</v>
      </c>
      <c r="C44" s="78">
        <v>21467.243010355025</v>
      </c>
      <c r="D44" s="134">
        <v>23194.561538461538</v>
      </c>
      <c r="E44" s="143">
        <f t="shared" si="0"/>
        <v>910</v>
      </c>
      <c r="F44" s="88">
        <f t="shared" si="15"/>
        <v>32.75</v>
      </c>
      <c r="G44" s="88">
        <f t="shared" si="1"/>
        <v>1.05</v>
      </c>
      <c r="H44" s="141">
        <f t="shared" si="14"/>
        <v>4.9999999999999992E-3</v>
      </c>
      <c r="I44" s="55">
        <f t="shared" si="2"/>
        <v>25000</v>
      </c>
      <c r="J44" s="54">
        <f>0</f>
        <v>0</v>
      </c>
      <c r="K44" s="55">
        <f t="shared" si="3"/>
        <v>796.11250000000007</v>
      </c>
      <c r="L44" s="142">
        <f t="shared" si="4"/>
        <v>0.995</v>
      </c>
      <c r="M44" s="148" cm="1">
        <f t="array" ref="M44">PRODUCT(_xlfn._xlws.FILTER($L$26:$L$45,$B$26:$B$45&lt;=B43))</f>
        <v>0.94563708035039973</v>
      </c>
      <c r="N44" s="141">
        <f t="shared" si="5"/>
        <v>0.1635079908265579</v>
      </c>
      <c r="O44" s="55">
        <f t="shared" si="6"/>
        <v>123.09429303325635</v>
      </c>
      <c r="P44" s="143">
        <f t="shared" si="7"/>
        <v>1611.3457204142032</v>
      </c>
      <c r="Q44" s="55">
        <f t="shared" si="8"/>
        <v>1073.3621505177514</v>
      </c>
      <c r="R44" s="55">
        <f t="shared" si="9"/>
        <v>258.1289301035481</v>
      </c>
      <c r="S44" s="55">
        <f t="shared" si="10"/>
        <v>244.09628781709162</v>
      </c>
      <c r="T44" s="54">
        <f t="shared" si="11"/>
        <v>39.911693589193852</v>
      </c>
      <c r="U44" s="89">
        <f t="shared" si="12"/>
        <v>24.0452373958923</v>
      </c>
    </row>
    <row r="45" spans="1:21" ht="13.15" thickBot="1" x14ac:dyDescent="0.4">
      <c r="A45" s="70">
        <f t="shared" si="13"/>
        <v>19</v>
      </c>
      <c r="B45" s="66">
        <v>20</v>
      </c>
      <c r="C45" s="79">
        <v>23194.561538461538</v>
      </c>
      <c r="D45" s="135">
        <v>0</v>
      </c>
      <c r="E45" s="144">
        <f t="shared" si="0"/>
        <v>910</v>
      </c>
      <c r="F45" s="145">
        <f t="shared" si="15"/>
        <v>32.75</v>
      </c>
      <c r="G45" s="145">
        <f t="shared" si="1"/>
        <v>1.05</v>
      </c>
      <c r="H45" s="146">
        <f t="shared" si="14"/>
        <v>5.1999999999999989E-3</v>
      </c>
      <c r="I45" s="82">
        <f t="shared" si="2"/>
        <v>25000</v>
      </c>
      <c r="J45" s="145">
        <f>$E$11</f>
        <v>25000</v>
      </c>
      <c r="K45" s="82">
        <f t="shared" si="3"/>
        <v>-24078.887500000001</v>
      </c>
      <c r="L45" s="147">
        <f t="shared" si="4"/>
        <v>0.99480000000000002</v>
      </c>
      <c r="M45" s="148" cm="1">
        <f t="array" ref="M45">PRODUCT(_xlfn._xlws.FILTER($L$26:$L$45,$B$26:$B$45&lt;=B44))</f>
        <v>0.94090889494864771</v>
      </c>
      <c r="N45" s="146">
        <f t="shared" si="5"/>
        <v>0.14864362802414352</v>
      </c>
      <c r="O45" s="82">
        <f t="shared" si="6"/>
        <v>-3367.6758974169811</v>
      </c>
      <c r="P45" s="144">
        <f t="shared" si="7"/>
        <v>-23194.561538461538</v>
      </c>
      <c r="Q45" s="82">
        <f t="shared" si="8"/>
        <v>1159.728076923077</v>
      </c>
      <c r="R45" s="82">
        <f t="shared" si="9"/>
        <v>275.40211538461517</v>
      </c>
      <c r="S45" s="82">
        <f t="shared" si="10"/>
        <v>259.12830005305824</v>
      </c>
      <c r="T45" s="81">
        <f t="shared" si="11"/>
        <v>38.517770643615435</v>
      </c>
      <c r="U45" s="90">
        <f t="shared" si="12"/>
        <v>62.563008039507736</v>
      </c>
    </row>
    <row r="46" spans="1:21" ht="13.5" thickBot="1" x14ac:dyDescent="0.45">
      <c r="J46" s="152" t="s">
        <v>146</v>
      </c>
      <c r="K46" s="149">
        <f>SUM(K26:K45)</f>
        <v>-9037.7625000000062</v>
      </c>
      <c r="N46" s="152" t="s">
        <v>146</v>
      </c>
      <c r="O46" s="149">
        <f>SUM(O26:O45)</f>
        <v>2826.522049506953</v>
      </c>
      <c r="S46" s="55"/>
    </row>
    <row r="47" spans="1:21" x14ac:dyDescent="0.35">
      <c r="S47" s="55"/>
    </row>
    <row r="48" spans="1:21" x14ac:dyDescent="0.35">
      <c r="S48" s="55"/>
    </row>
    <row r="49" spans="19:19" x14ac:dyDescent="0.35">
      <c r="S49" s="55"/>
    </row>
    <row r="50" spans="19:19" x14ac:dyDescent="0.35">
      <c r="S50" s="55"/>
    </row>
    <row r="51" spans="19:19" x14ac:dyDescent="0.35">
      <c r="S51" s="55"/>
    </row>
  </sheetData>
  <mergeCells count="2">
    <mergeCell ref="N22:O23"/>
    <mergeCell ref="P22:U23"/>
  </mergeCells>
  <pageMargins left="0.75" right="0.75" top="1" bottom="1" header="0.5" footer="0.5"/>
  <pageSetup paperSize="9" orientation="landscape" verticalDpi="300" r:id="rId1"/>
  <headerFooter alignWithMargins="0">
    <oddFooter>&amp;A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bcb35-9aa9-4dbf-a1c9-a4059b9936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327CF3CEC9145AC6F5B07EBB94F60" ma:contentTypeVersion="18" ma:contentTypeDescription="Create a new document." ma:contentTypeScope="" ma:versionID="a9dcb6b4534a9103a83e0bfde106f38f">
  <xsd:schema xmlns:xsd="http://www.w3.org/2001/XMLSchema" xmlns:xs="http://www.w3.org/2001/XMLSchema" xmlns:p="http://schemas.microsoft.com/office/2006/metadata/properties" xmlns:ns3="ac3bcb35-9aa9-4dbf-a1c9-a4059b99366b" xmlns:ns4="3c0e9b9a-dc5c-494c-bbac-09f077bb5a57" targetNamespace="http://schemas.microsoft.com/office/2006/metadata/properties" ma:root="true" ma:fieldsID="47a5799ec9c8dff36114ba72e22d6d9b" ns3:_="" ns4:_="">
    <xsd:import namespace="ac3bcb35-9aa9-4dbf-a1c9-a4059b99366b"/>
    <xsd:import namespace="3c0e9b9a-dc5c-494c-bbac-09f077bb5a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cb35-9aa9-4dbf-a1c9-a4059b9936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e9b9a-dc5c-494c-bbac-09f077bb5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06019-B732-4E3B-A687-22B43B270C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1CB1D-D9C2-4B3A-A15C-1C8DF6D501B1}">
  <ds:schemaRefs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3c0e9b9a-dc5c-494c-bbac-09f077bb5a57"/>
    <ds:schemaRef ds:uri="ac3bcb35-9aa9-4dbf-a1c9-a4059b99366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656B2A4-A240-4891-8E8B-EEC6A9352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bcb35-9aa9-4dbf-a1c9-a4059b99366b"/>
    <ds:schemaRef ds:uri="3c0e9b9a-dc5c-494c-bbac-09f077bb5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Instructions</vt:lpstr>
      <vt:lpstr>Colour key</vt:lpstr>
      <vt:lpstr>Q1</vt:lpstr>
      <vt:lpstr>Q2</vt:lpstr>
      <vt:lpstr>Q3</vt:lpstr>
      <vt:lpstr>Q4</vt:lpstr>
      <vt:lpstr>Q5</vt:lpstr>
      <vt:lpstr>constant_q</vt:lpstr>
      <vt:lpstr>Expenses</vt:lpstr>
      <vt:lpstr>INT_Q3</vt:lpstr>
      <vt:lpstr>'Q2'!interest</vt:lpstr>
      <vt:lpstr>'Q3'!interest</vt:lpstr>
      <vt:lpstr>interest</vt:lpstr>
      <vt:lpstr>'Q2'!res_int</vt:lpstr>
      <vt:lpstr>res_int</vt:lpstr>
      <vt:lpstr>term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Finn, Jonathan</dc:creator>
  <cp:lastModifiedBy>Marcus Gwee Wen Hong</cp:lastModifiedBy>
  <dcterms:created xsi:type="dcterms:W3CDTF">2018-02-21T02:46:13Z</dcterms:created>
  <dcterms:modified xsi:type="dcterms:W3CDTF">2026-02-10T06:10:22Z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0x0101001D7327CF3CEC9145AC6F5B07EBB94F60</vt:lpwstr>
  </property>
</Properties>
</file>