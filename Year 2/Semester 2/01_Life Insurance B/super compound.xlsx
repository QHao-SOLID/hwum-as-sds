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"/>
    </mc:Choice>
  </mc:AlternateContent>
  <xr:revisionPtr revIDLastSave="114" documentId="8_{712ECC39-74C8-4BB5-A0E8-E65F0C3F6A3C}" xr6:coauthVersionLast="47" xr6:coauthVersionMax="47" xr10:uidLastSave="{D91DC891-03DC-4A04-B133-62EBC843971D}"/>
  <bookViews>
    <workbookView xWindow="-98" yWindow="-98" windowWidth="21795" windowHeight="12975" xr2:uid="{D0AA93BB-9BDD-4248-88DA-E720DFD803FE}"/>
  </bookViews>
  <sheets>
    <sheet name="Super Compound Calc" sheetId="1" r:id="rId1"/>
    <sheet name="Variable Int" sheetId="2" r:id="rId2"/>
  </sheets>
  <definedNames>
    <definedName name="End_Date">'Super Compound Calc'!$B$2</definedName>
    <definedName name="Int">'Super Compound Calc'!$B$4</definedName>
    <definedName name="SA">'Super Compound Calc'!$B$3</definedName>
    <definedName name="Start_Date">'Super Compound Calc'!$B$1</definedName>
    <definedName name="Var_Int">'Variable Int'!$B$5:$C$1048576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F8" i="1"/>
  <c r="B6" i="1"/>
  <c r="A8" i="1"/>
  <c r="B7" i="1"/>
  <c r="C6" i="1" l="1"/>
  <c r="D6" i="1" l="1"/>
  <c r="C7" i="1"/>
  <c r="D7" i="1" l="1"/>
  <c r="F7" i="1" s="1"/>
  <c r="B9" i="1" l="1"/>
  <c r="B10" i="1" l="1"/>
  <c r="C9" i="1"/>
  <c r="D9" i="1" l="1"/>
  <c r="B11" i="1"/>
  <c r="C10" i="1"/>
  <c r="D10" i="1" s="1"/>
  <c r="F10" i="1"/>
  <c r="F9" i="1" l="1"/>
  <c r="C11" i="1"/>
  <c r="B12" i="1"/>
  <c r="D11" i="1" l="1"/>
  <c r="C12" i="1"/>
  <c r="D12" i="1" s="1"/>
  <c r="B13" i="1"/>
  <c r="F12" i="1" l="1"/>
  <c r="B14" i="1"/>
  <c r="F11" i="1"/>
  <c r="C13" i="1"/>
  <c r="D13" i="1" s="1"/>
  <c r="F13" i="1"/>
  <c r="C14" i="1" l="1"/>
  <c r="D14" i="1" s="1"/>
  <c r="B15" i="1"/>
  <c r="F14" i="1" l="1"/>
  <c r="B16" i="1"/>
  <c r="C15" i="1"/>
  <c r="D15" i="1" l="1"/>
  <c r="F15" i="1" s="1"/>
  <c r="C16" i="1"/>
  <c r="D16" i="1" s="1"/>
  <c r="B17" i="1"/>
  <c r="B18" i="1" l="1"/>
  <c r="C18" i="1" s="1"/>
  <c r="D18" i="1" s="1"/>
  <c r="C17" i="1"/>
  <c r="D17" i="1" s="1"/>
  <c r="F16" i="1"/>
  <c r="B19" i="1" l="1"/>
  <c r="C19" i="1" s="1"/>
  <c r="D19" i="1" s="1"/>
  <c r="F18" i="1"/>
  <c r="F17" i="1"/>
  <c r="B20" i="1" l="1"/>
  <c r="C20" i="1" s="1"/>
  <c r="D20" i="1" s="1"/>
  <c r="F19" i="1"/>
  <c r="F20" i="1" l="1"/>
  <c r="B21" i="1"/>
  <c r="B22" i="1" l="1"/>
  <c r="C21" i="1"/>
  <c r="D21" i="1" l="1"/>
  <c r="C22" i="1"/>
  <c r="D22" i="1" s="1"/>
  <c r="B23" i="1"/>
  <c r="F22" i="1" l="1"/>
  <c r="C23" i="1"/>
  <c r="B24" i="1"/>
  <c r="B25" i="1" s="1"/>
  <c r="F21" i="1"/>
  <c r="C24" i="1" l="1"/>
  <c r="D24" i="1" s="1"/>
  <c r="B26" i="1"/>
  <c r="D23" i="1"/>
  <c r="F23" i="1"/>
  <c r="F24" i="1" l="1"/>
  <c r="B27" i="1"/>
  <c r="C25" i="1"/>
  <c r="C26" i="1" s="1"/>
  <c r="D26" i="1" s="1"/>
  <c r="C27" i="1" l="1"/>
  <c r="D27" i="1" s="1"/>
  <c r="F26" i="1"/>
  <c r="B28" i="1"/>
  <c r="D25" i="1"/>
  <c r="F25" i="1"/>
  <c r="C28" i="1" l="1"/>
  <c r="F27" i="1"/>
  <c r="D28" i="1" l="1"/>
  <c r="F28" i="1" s="1"/>
  <c r="B29" i="1"/>
  <c r="C29" i="1"/>
  <c r="D29" i="1"/>
  <c r="F29" i="1"/>
  <c r="B30" i="1"/>
  <c r="C30" i="1" l="1"/>
  <c r="B31" i="1"/>
  <c r="B32" i="1" l="1"/>
  <c r="B33" i="1" s="1"/>
  <c r="D30" i="1"/>
  <c r="C31" i="1"/>
  <c r="D31" i="1" s="1"/>
  <c r="B34" i="1" l="1"/>
  <c r="F31" i="1"/>
  <c r="F30" i="1"/>
  <c r="C32" i="1"/>
  <c r="D32" i="1" s="1"/>
  <c r="B36" i="1" l="1"/>
  <c r="B37" i="1" s="1"/>
  <c r="B35" i="1"/>
  <c r="C33" i="1"/>
  <c r="F32" i="1"/>
  <c r="D33" i="1" l="1"/>
  <c r="F33" i="1" s="1"/>
  <c r="C34" i="1"/>
  <c r="D34" i="1" l="1"/>
  <c r="F34" i="1" s="1"/>
  <c r="C35" i="1"/>
  <c r="D35" i="1" l="1"/>
  <c r="F35" i="1" s="1"/>
  <c r="C36" i="1"/>
  <c r="D36" i="1" l="1"/>
  <c r="D37" i="1" s="1"/>
  <c r="C37" i="1"/>
  <c r="E37" i="1" l="1"/>
  <c r="F36" i="1"/>
  <c r="F37" i="1" s="1"/>
  <c r="I37" i="1" l="1"/>
</calcChain>
</file>

<file path=xl/sharedStrings.xml><?xml version="1.0" encoding="utf-8"?>
<sst xmlns="http://schemas.openxmlformats.org/spreadsheetml/2006/main" count="11" uniqueCount="9">
  <si>
    <t xml:space="preserve">Start date: </t>
  </si>
  <si>
    <t xml:space="preserve">SA: </t>
  </si>
  <si>
    <t xml:space="preserve">simple int: </t>
  </si>
  <si>
    <t>Date</t>
  </si>
  <si>
    <t xml:space="preserve">End date: </t>
  </si>
  <si>
    <t>Int_Rate</t>
  </si>
  <si>
    <t>Interest</t>
  </si>
  <si>
    <t>Total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</si>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</sst>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9" fontId="0" fillId="2" borderId="0" xfId="0" applyNumberFormat="1" applyFill="1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NumberFormat="1"/>
    <xf numFmtId="0" fontId="0" fillId="0" borderId="1" xfId="0" applyNumberFormat="1" applyBorder="1"/>
    <xf numFmtId="0" fontId="0" fillId="0" borderId="3" xfId="0" applyNumberFormat="1" applyBorder="1"/>
    <xf numFmtId="14" fontId="0" fillId="0" borderId="2" xfId="0" applyNumberFormat="1" applyBorder="1"/>
    <xf numFmtId="0" fontId="0" fillId="0" borderId="2" xfId="0" applyNumberFormat="1" applyBorder="1"/>
  </cellXfs>
  <cellStyles count="1">
    <cellStyle name="Normal" xfId="0" builtinId="0"/>
  </cellStyles>
  <dxfs count="14"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>
          <bgColor theme="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5BD5-E5F2-45D6-9285-052502447C84}">
  <sheetPr>
    <tabColor rgb="FF92D050"/>
  </sheetPr>
  <dimension ref="A1:Z127"/>
  <sheetViews>
    <sheetView tabSelected="1" workbookViewId="0">
      <pane ySplit="5" topLeftCell="A6" activePane="bottomLeft" state="frozen"/>
      <selection pane="bottomLeft" activeCell="J10" sqref="J10"/>
    </sheetView>
  </sheetViews>
  <sheetFormatPr defaultRowHeight="14.25" x14ac:dyDescent="0.45"/>
  <cols>
    <col min="1" max="1" width="12.59765625" style="2" customWidth="1"/>
    <col min="2" max="2" width="9.19921875" bestFit="1" customWidth="1"/>
  </cols>
  <sheetData>
    <row r="1" spans="1:26" x14ac:dyDescent="0.45">
      <c r="A1" t="s">
        <v>0</v>
      </c>
      <c r="B1" s="3">
        <v>46043</v>
      </c>
    </row>
    <row r="2" spans="1:26" x14ac:dyDescent="0.45">
      <c r="A2" t="s">
        <v>4</v>
      </c>
      <c r="B2" s="3">
        <v>46873</v>
      </c>
    </row>
    <row r="3" spans="1:26" x14ac:dyDescent="0.45">
      <c r="A3" t="s">
        <v>1</v>
      </c>
      <c r="B3" s="4">
        <v>40000</v>
      </c>
    </row>
    <row r="4" spans="1:26" x14ac:dyDescent="0.45">
      <c r="A4" t="s">
        <v>2</v>
      </c>
      <c r="B4" s="5">
        <v>0.05</v>
      </c>
    </row>
    <row r="5" spans="1:26" x14ac:dyDescent="0.45">
      <c r="A5"/>
      <c r="B5" s="1"/>
    </row>
    <row r="6" spans="1:26" x14ac:dyDescent="0.45">
      <c r="A6" t="s">
        <v>3</v>
      </c>
      <c r="B6">
        <f>YEAR(Start_Date)</f>
        <v>2026</v>
      </c>
      <c r="C6">
        <f>IF(ISERROR(B6),"",IF(B6="","",IF(B6=YEAR(End_Date),"",B6+1)))</f>
        <v>2027</v>
      </c>
      <c r="D6">
        <f>IF(ISERROR(C6),"",IF(C6="","",IF(C6=YEAR(End_Date),"",C6+1)))</f>
        <v>2028</v>
      </c>
      <c r="F6" t="s">
        <v>7</v>
      </c>
    </row>
    <row r="7" spans="1:26" x14ac:dyDescent="0.45">
      <c r="A7" s="9">
        <v>0</v>
      </c>
      <c r="B7">
        <f>SA*Int</f>
        <v>2000</v>
      </c>
      <c r="C7">
        <f>IF(C6="","",SA*Int)</f>
        <v>2000</v>
      </c>
      <c r="D7">
        <f>IF(D6="","",SA*Int)</f>
        <v>2000</v>
      </c>
      <c r="F7">
        <f>SUM(B7:D7)</f>
        <v>6000</v>
      </c>
    </row>
    <row r="8" spans="1:26" x14ac:dyDescent="0.45">
      <c r="A8" s="2">
        <f>Start_Date</f>
        <v>46043</v>
      </c>
      <c r="B8" s="9">
        <v>0</v>
      </c>
      <c r="C8" s="9">
        <v>0</v>
      </c>
      <c r="D8" s="9">
        <v>0</v>
      </c>
      <c r="F8">
        <f>SUM(B8:D8)</f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45">
      <c r="A9" s="2">
        <f>IF(ISERROR(A8),"",IF(A8="","",IF(A8=Start_Date,EOMONTH(A8,0),IF(A8=End_Date,"",IF(EOMONTH(A8,1)&gt;End_Date,End_Date,EOMONTH(A8,1))))))</f>
        <v>46053</v>
      </c>
      <c r="B9" s="9">
        <f>IF(A9="","",IF(YEAR($A9)&lt;B$6,0,ROUND(SUMIF($A$7:$A$120,"&lt;"&amp;$A9,B$7:B$127)*((1+VLOOKUP($A8,Var_Int,2))^(($A9-$A8)/365)-1),2)))</f>
        <v>2.2799999999999998</v>
      </c>
      <c r="C9" s="9">
        <f>IF(B9="","",IF(YEAR($A9)&lt;C$6,0,ROUND(SUMIF($A$7:$A$120,"&lt;"&amp;$A9,C$7:C$127)*((1+VLOOKUP($A8,Var_Int,2))^(($A9-$A8)/365)-1),2)))</f>
        <v>0</v>
      </c>
      <c r="D9" s="9">
        <f>IF(C9="","",IF(YEAR($A9)&lt;D$6,0,ROUND(SUMIF($A$7:$A$120,"&lt;"&amp;$A9,D$7:D$127)*((1+VLOOKUP($A8,Var_Int,2))^(($A9-$A8)/365)-1),2)))</f>
        <v>0</v>
      </c>
      <c r="F9">
        <f>SUM(B9:D9)</f>
        <v>2.2799999999999998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45">
      <c r="A10" s="2">
        <f>IF(ISERROR(A9),"",IF(A9="","",IF(A9=Start_Date,EOMONTH(A9,0),IF(A9=End_Date,"",IF(EOMONTH(A9,1)&gt;End_Date,End_Date,EOMONTH(A9,1))))))</f>
        <v>46081</v>
      </c>
      <c r="B10" s="9">
        <f>IF(A10="","",IF(YEAR($A10)&lt;B$6,0,ROUND(SUMIF($A$7:$A$120,"&lt;"&amp;$A10,B$7:B$127)*((1+VLOOKUP($A9,Var_Int,2))^(($A10-$A9)/365)-1),2)))</f>
        <v>6.4</v>
      </c>
      <c r="C10" s="9">
        <f>IF(B10="","",IF(YEAR($A10)&lt;C$6,0,ROUND(SUMIF($A$7:$A$120,"&lt;"&amp;$A10,C$7:C$127)*((1+VLOOKUP($A9,Var_Int,2))^(($A10-$A9)/365)-1),2)))</f>
        <v>0</v>
      </c>
      <c r="D10" s="9">
        <f>IF(C10="","",IF(YEAR($A10)&lt;D$6,0,ROUND(SUMIF($A$7:$A$120,"&lt;"&amp;$A10,D$7:D$127)*((1+VLOOKUP($A9,Var_Int,2))^(($A10-$A9)/365)-1),2)))</f>
        <v>0</v>
      </c>
      <c r="F10">
        <f>SUM(B10:D10)</f>
        <v>6.4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45">
      <c r="A11" s="2">
        <f>IF(ISERROR(A10),"",IF(A10="","",IF(A10=Start_Date,EOMONTH(A10,0),IF(A10=End_Date,"",IF(EOMONTH(A10,1)&gt;End_Date,End_Date,EOMONTH(A10,1))))))</f>
        <v>46112</v>
      </c>
      <c r="B11" s="9">
        <f>IF(A11="","",IF(YEAR($A11)&lt;B$6,0,ROUND(SUMIF($A$7:$A$120,"&lt;"&amp;$A11,B$7:B$127)*((1+VLOOKUP($A10,Var_Int,2))^(($A11-$A10)/365)-1),2)))</f>
        <v>7.11</v>
      </c>
      <c r="C11" s="9">
        <f>IF(B11="","",IF(YEAR($A11)&lt;C$6,0,ROUND(SUMIF($A$7:$A$120,"&lt;"&amp;$A11,C$7:C$127)*((1+VLOOKUP($A10,Var_Int,2))^(($A11-$A10)/365)-1),2)))</f>
        <v>0</v>
      </c>
      <c r="D11" s="9">
        <f>IF(C11="","",IF(YEAR($A11)&lt;D$6,0,ROUND(SUMIF($A$7:$A$120,"&lt;"&amp;$A11,D$7:D$127)*((1+VLOOKUP($A10,Var_Int,2))^(($A11-$A10)/365)-1),2)))</f>
        <v>0</v>
      </c>
      <c r="F11">
        <f>SUM(B11:D11)</f>
        <v>7.11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45">
      <c r="A12" s="2">
        <f>IF(ISERROR(A11),"",IF(A11="","",IF(A11=Start_Date,EOMONTH(A11,0),IF(A11=End_Date,"",IF(EOMONTH(A11,1)&gt;End_Date,End_Date,EOMONTH(A11,1))))))</f>
        <v>46142</v>
      </c>
      <c r="B12" s="9">
        <f>IF(A12="","",IF(YEAR($A12)&lt;B$6,0,ROUND(SUMIF($A$7:$A$120,"&lt;"&amp;$A12,B$7:B$127)*((1+VLOOKUP($A11,Var_Int,2))^(($A12-$A11)/365)-1),2)))</f>
        <v>6.91</v>
      </c>
      <c r="C12" s="9">
        <f>IF(B12="","",IF(YEAR($A12)&lt;C$6,0,ROUND(SUMIF($A$7:$A$120,"&lt;"&amp;$A12,C$7:C$127)*((1+VLOOKUP($A11,Var_Int,2))^(($A12-$A11)/365)-1),2)))</f>
        <v>0</v>
      </c>
      <c r="D12" s="9">
        <f>IF(C12="","",IF(YEAR($A12)&lt;D$6,0,ROUND(SUMIF($A$7:$A$120,"&lt;"&amp;$A12,D$7:D$127)*((1+VLOOKUP($A11,Var_Int,2))^(($A12-$A11)/365)-1),2)))</f>
        <v>0</v>
      </c>
      <c r="F12">
        <f>SUM(B12:D12)</f>
        <v>6.91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5">
      <c r="A13" s="2">
        <f>IF(ISERROR(A12),"",IF(A12="","",IF(A12=Start_Date,EOMONTH(A12,0),IF(A12=End_Date,"",IF(EOMONTH(A12,1)&gt;End_Date,End_Date,EOMONTH(A12,1))))))</f>
        <v>46173</v>
      </c>
      <c r="B13" s="9">
        <f>IF(A13="","",IF(YEAR($A13)&lt;B$6,0,ROUND(SUMIF($A$7:$A$120,"&lt;"&amp;$A13,B$7:B$127)*((1+VLOOKUP($A12,Var_Int,2))^(($A13-$A12)/365)-1),2)))</f>
        <v>7.16</v>
      </c>
      <c r="C13" s="9">
        <f>IF(B13="","",IF(YEAR($A13)&lt;C$6,0,ROUND(SUMIF($A$7:$A$120,"&lt;"&amp;$A13,C$7:C$127)*((1+VLOOKUP($A12,Var_Int,2))^(($A13-$A12)/365)-1),2)))</f>
        <v>0</v>
      </c>
      <c r="D13" s="9">
        <f>IF(C13="","",IF(YEAR($A13)&lt;D$6,0,ROUND(SUMIF($A$7:$A$120,"&lt;"&amp;$A13,D$7:D$127)*((1+VLOOKUP($A12,Var_Int,2))^(($A13-$A12)/365)-1),2)))</f>
        <v>0</v>
      </c>
      <c r="F13">
        <f>SUM(B13:D13)</f>
        <v>7.16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5">
      <c r="A14" s="2">
        <f>IF(ISERROR(A13),"",IF(A13="","",IF(A13=Start_Date,EOMONTH(A13,0),IF(A13=End_Date,"",IF(EOMONTH(A13,1)&gt;End_Date,End_Date,EOMONTH(A13,1))))))</f>
        <v>46203</v>
      </c>
      <c r="B14" s="9">
        <f>IF(A14="","",IF(YEAR($A14)&lt;B$6,0,ROUND(SUMIF($A$7:$A$120,"&lt;"&amp;$A14,B$7:B$127)*((1+VLOOKUP($A13,Var_Int,2))^(($A14-$A13)/365)-1),2)))</f>
        <v>6.96</v>
      </c>
      <c r="C14" s="9">
        <f>IF(B14="","",IF(YEAR($A14)&lt;C$6,0,ROUND(SUMIF($A$7:$A$120,"&lt;"&amp;$A14,C$7:C$127)*((1+VLOOKUP($A13,Var_Int,2))^(($A14-$A13)/365)-1),2)))</f>
        <v>0</v>
      </c>
      <c r="D14" s="9">
        <f>IF(C14="","",IF(YEAR($A14)&lt;D$6,0,ROUND(SUMIF($A$7:$A$120,"&lt;"&amp;$A14,D$7:D$127)*((1+VLOOKUP($A13,Var_Int,2))^(($A14-$A13)/365)-1),2)))</f>
        <v>0</v>
      </c>
      <c r="F14">
        <f>SUM(B14:D14)</f>
        <v>6.96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5">
      <c r="A15" s="2">
        <f>IF(ISERROR(A14),"",IF(A14="","",IF(A14=Start_Date,EOMONTH(A14,0),IF(A14=End_Date,"",IF(EOMONTH(A14,1)&gt;End_Date,End_Date,EOMONTH(A14,1))))))</f>
        <v>46234</v>
      </c>
      <c r="B15" s="9">
        <f>IF(A15="","",IF(YEAR($A15)&lt;B$6,0,ROUND(SUMIF($A$7:$A$120,"&lt;"&amp;$A15,B$7:B$127)*((1+VLOOKUP($A14,Var_Int,2))^(($A15-$A14)/365)-1),2)))</f>
        <v>5.79</v>
      </c>
      <c r="C15" s="9">
        <f>IF(B15="","",IF(YEAR($A15)&lt;C$6,0,ROUND(SUMIF($A$7:$A$120,"&lt;"&amp;$A15,C$7:C$127)*((1+VLOOKUP($A14,Var_Int,2))^(($A15-$A14)/365)-1),2)))</f>
        <v>0</v>
      </c>
      <c r="D15" s="9">
        <f>IF(C15="","",IF(YEAR($A15)&lt;D$6,0,ROUND(SUMIF($A$7:$A$120,"&lt;"&amp;$A15,D$7:D$127)*((1+VLOOKUP($A14,Var_Int,2))^(($A15-$A14)/365)-1),2)))</f>
        <v>0</v>
      </c>
      <c r="F15">
        <f>SUM(B15:D15)</f>
        <v>5.79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45">
      <c r="A16" s="2">
        <f>IF(ISERROR(A15),"",IF(A15="","",IF(A15=Start_Date,EOMONTH(A15,0),IF(A15=End_Date,"",IF(EOMONTH(A15,1)&gt;End_Date,End_Date,EOMONTH(A15,1))))))</f>
        <v>46265</v>
      </c>
      <c r="B16" s="9">
        <f>IF(A16="","",IF(YEAR($A16)&lt;B$6,0,ROUND(SUMIF($A$7:$A$120,"&lt;"&amp;$A16,B$7:B$127)*((1+VLOOKUP($A15,Var_Int,2))^(($A16-$A15)/365)-1),2)))</f>
        <v>5.81</v>
      </c>
      <c r="C16" s="9">
        <f>IF(B16="","",IF(YEAR($A16)&lt;C$6,0,ROUND(SUMIF($A$7:$A$120,"&lt;"&amp;$A16,C$7:C$127)*((1+VLOOKUP($A15,Var_Int,2))^(($A16-$A15)/365)-1),2)))</f>
        <v>0</v>
      </c>
      <c r="D16" s="9">
        <f>IF(C16="","",IF(YEAR($A16)&lt;D$6,0,ROUND(SUMIF($A$7:$A$120,"&lt;"&amp;$A16,D$7:D$127)*((1+VLOOKUP($A15,Var_Int,2))^(($A16-$A15)/365)-1),2)))</f>
        <v>0</v>
      </c>
      <c r="F16">
        <f>SUM(B16:D16)</f>
        <v>5.81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45">
      <c r="A17" s="2">
        <f>IF(ISERROR(A16),"",IF(A16="","",IF(A16=Start_Date,EOMONTH(A16,0),IF(A16=End_Date,"",IF(EOMONTH(A16,1)&gt;End_Date,End_Date,EOMONTH(A16,1))))))</f>
        <v>46295</v>
      </c>
      <c r="B17" s="9">
        <f>IF(A17="","",IF(YEAR($A17)&lt;B$6,0,ROUND(SUMIF($A$7:$A$120,"&lt;"&amp;$A17,B$7:B$127)*((1+VLOOKUP($A16,Var_Int,2))^(($A17-$A16)/365)-1),2)))</f>
        <v>5.64</v>
      </c>
      <c r="C17" s="9">
        <f>IF(B17="","",IF(YEAR($A17)&lt;C$6,0,ROUND(SUMIF($A$7:$A$120,"&lt;"&amp;$A17,C$7:C$127)*((1+VLOOKUP($A16,Var_Int,2))^(($A17-$A16)/365)-1),2)))</f>
        <v>0</v>
      </c>
      <c r="D17" s="9">
        <f>IF(C17="","",IF(YEAR($A17)&lt;D$6,0,ROUND(SUMIF($A$7:$A$120,"&lt;"&amp;$A17,D$7:D$127)*((1+VLOOKUP($A16,Var_Int,2))^(($A17-$A16)/365)-1),2)))</f>
        <v>0</v>
      </c>
      <c r="F17">
        <f>SUM(B17:D17)</f>
        <v>5.64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5">
      <c r="A18" s="2">
        <f>IF(ISERROR(A17),"",IF(A17="","",IF(A17=Start_Date,EOMONTH(A17,0),IF(A17=End_Date,"",IF(EOMONTH(A17,1)&gt;End_Date,End_Date,EOMONTH(A17,1))))))</f>
        <v>46326</v>
      </c>
      <c r="B18" s="9">
        <f>IF(A18="","",IF(YEAR($A18)&lt;B$6,0,ROUND(SUMIF($A$7:$A$120,"&lt;"&amp;$A18,B$7:B$127)*((1+VLOOKUP($A17,Var_Int,2))^(($A18-$A17)/365)-1),2)))</f>
        <v>5.84</v>
      </c>
      <c r="C18" s="9">
        <f>IF(B18="","",IF(YEAR($A18)&lt;C$6,0,ROUND(SUMIF($A$7:$A$120,"&lt;"&amp;$A18,C$7:C$127)*((1+VLOOKUP($A17,Var_Int,2))^(($A18-$A17)/365)-1),2)))</f>
        <v>0</v>
      </c>
      <c r="D18" s="9">
        <f>IF(C18="","",IF(YEAR($A18)&lt;D$6,0,ROUND(SUMIF($A$7:$A$120,"&lt;"&amp;$A18,D$7:D$127)*((1+VLOOKUP($A17,Var_Int,2))^(($A18-$A17)/365)-1),2)))</f>
        <v>0</v>
      </c>
      <c r="F18">
        <f>SUM(B18:D18)</f>
        <v>5.84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45">
      <c r="A19" s="2">
        <f>IF(ISERROR(A18),"",IF(A18="","",IF(A18=Start_Date,EOMONTH(A18,0),IF(A18=End_Date,"",IF(EOMONTH(A18,1)&gt;End_Date,End_Date,EOMONTH(A18,1))))))</f>
        <v>46356</v>
      </c>
      <c r="B19" s="9">
        <f>IF(A19="","",IF(YEAR($A19)&lt;B$6,0,ROUND(SUMIF($A$7:$A$120,"&lt;"&amp;$A19,B$7:B$127)*((1+VLOOKUP($A18,Var_Int,2))^(($A19-$A18)/365)-1),2)))</f>
        <v>5.67</v>
      </c>
      <c r="C19" s="9">
        <f>IF(B19="","",IF(YEAR($A19)&lt;C$6,0,ROUND(SUMIF($A$7:$A$120,"&lt;"&amp;$A19,C$7:C$127)*((1+VLOOKUP($A18,Var_Int,2))^(($A19-$A18)/365)-1),2)))</f>
        <v>0</v>
      </c>
      <c r="D19" s="9">
        <f>IF(C19="","",IF(YEAR($A19)&lt;D$6,0,ROUND(SUMIF($A$7:$A$120,"&lt;"&amp;$A19,D$7:D$127)*((1+VLOOKUP($A18,Var_Int,2))^(($A19-$A18)/365)-1),2)))</f>
        <v>0</v>
      </c>
      <c r="F19">
        <f>SUM(B19:D19)</f>
        <v>5.67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45">
      <c r="A20" s="2">
        <f>IF(ISERROR(A19),"",IF(A19="","",IF(A19=Start_Date,EOMONTH(A19,0),IF(A19=End_Date,"",IF(EOMONTH(A19,1)&gt;End_Date,End_Date,EOMONTH(A19,1))))))</f>
        <v>46387</v>
      </c>
      <c r="B20" s="9">
        <f>IF(A20="","",IF(YEAR($A20)&lt;B$6,0,ROUND(SUMIF($A$7:$A$120,"&lt;"&amp;$A20,B$7:B$127)*((1+VLOOKUP($A19,Var_Int,2))^(($A20-$A19)/365)-1),2)))</f>
        <v>5.87</v>
      </c>
      <c r="C20" s="9">
        <f>IF(B20="","",IF(YEAR($A20)&lt;C$6,0,ROUND(SUMIF($A$7:$A$120,"&lt;"&amp;$A20,C$7:C$127)*((1+VLOOKUP($A19,Var_Int,2))^(($A20-$A19)/365)-1),2)))</f>
        <v>0</v>
      </c>
      <c r="D20" s="9">
        <f>IF(C20="","",IF(YEAR($A20)&lt;D$6,0,ROUND(SUMIF($A$7:$A$120,"&lt;"&amp;$A20,D$7:D$127)*((1+VLOOKUP($A19,Var_Int,2))^(($A20-$A19)/365)-1),2)))</f>
        <v>0</v>
      </c>
      <c r="F20">
        <f>SUM(B20:D20)</f>
        <v>5.87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45">
      <c r="A21" s="2">
        <f>IF(ISERROR(A20),"",IF(A20="","",IF(A20=Start_Date,EOMONTH(A20,0),IF(A20=End_Date,"",IF(EOMONTH(A20,1)&gt;End_Date,End_Date,EOMONTH(A20,1))))))</f>
        <v>46418</v>
      </c>
      <c r="B21" s="9">
        <f>IF(A21="","",IF(YEAR($A21)&lt;B$6,0,ROUND(SUMIF($A$7:$A$120,"&lt;"&amp;$A21,B$7:B$127)*((1+VLOOKUP($A20,Var_Int,2))^(($A21-$A20)/365)-1),2)))</f>
        <v>5.89</v>
      </c>
      <c r="C21" s="9">
        <f>IF(B21="","",IF(YEAR($A21)&lt;C$6,0,ROUND(SUMIF($A$7:$A$120,"&lt;"&amp;$A21,C$7:C$127)*((1+VLOOKUP($A20,Var_Int,2))^(($A21-$A20)/365)-1),2)))</f>
        <v>5.69</v>
      </c>
      <c r="D21" s="9">
        <f>IF(C21="","",IF(YEAR($A21)&lt;D$6,0,ROUND(SUMIF($A$7:$A$120,"&lt;"&amp;$A21,D$7:D$127)*((1+VLOOKUP($A20,Var_Int,2))^(($A21-$A20)/365)-1),2)))</f>
        <v>0</v>
      </c>
      <c r="F21">
        <f>SUM(B21:D21)</f>
        <v>11.58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45">
      <c r="A22" s="2">
        <f>IF(ISERROR(A21),"",IF(A21="","",IF(A21=Start_Date,EOMONTH(A21,0),IF(A21=End_Date,"",IF(EOMONTH(A21,1)&gt;End_Date,End_Date,EOMONTH(A21,1))))))</f>
        <v>46446</v>
      </c>
      <c r="B22" s="9">
        <f>IF(A22="","",IF(YEAR($A22)&lt;B$6,0,ROUND(SUMIF($A$7:$A$120,"&lt;"&amp;$A22,B$7:B$127)*((1+VLOOKUP($A21,Var_Int,2))^(($A22-$A21)/365)-1),2)))</f>
        <v>3.63</v>
      </c>
      <c r="C22" s="9">
        <f>IF(B22="","",IF(YEAR($A22)&lt;C$6,0,ROUND(SUMIF($A$7:$A$120,"&lt;"&amp;$A22,C$7:C$127)*((1+VLOOKUP($A21,Var_Int,2))^(($A22-$A21)/365)-1),2)))</f>
        <v>3.5</v>
      </c>
      <c r="D22" s="9">
        <f>IF(C22="","",IF(YEAR($A22)&lt;D$6,0,ROUND(SUMIF($A$7:$A$120,"&lt;"&amp;$A22,D$7:D$127)*((1+VLOOKUP($A21,Var_Int,2))^(($A22-$A21)/365)-1),2)))</f>
        <v>0</v>
      </c>
      <c r="F22">
        <f>SUM(B22:D22)</f>
        <v>7.13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5">
      <c r="A23" s="2">
        <f>IF(ISERROR(A22),"",IF(A22="","",IF(A22=Start_Date,EOMONTH(A22,0),IF(A22=End_Date,"",IF(EOMONTH(A22,1)&gt;End_Date,End_Date,EOMONTH(A22,1))))))</f>
        <v>46477</v>
      </c>
      <c r="B23" s="9">
        <f>IF(A23="","",IF(YEAR($A23)&lt;B$6,0,ROUND(SUMIF($A$7:$A$120,"&lt;"&amp;$A23,B$7:B$127)*((1+VLOOKUP($A22,Var_Int,2))^(($A23-$A22)/365)-1),2)))</f>
        <v>4.0199999999999996</v>
      </c>
      <c r="C23" s="9">
        <f>IF(B23="","",IF(YEAR($A23)&lt;C$6,0,ROUND(SUMIF($A$7:$A$120,"&lt;"&amp;$A23,C$7:C$127)*((1+VLOOKUP($A22,Var_Int,2))^(($A23-$A22)/365)-1),2)))</f>
        <v>3.88</v>
      </c>
      <c r="D23" s="9">
        <f>IF(C23="","",IF(YEAR($A23)&lt;D$6,0,ROUND(SUMIF($A$7:$A$120,"&lt;"&amp;$A23,D$7:D$127)*((1+VLOOKUP($A22,Var_Int,2))^(($A23-$A22)/365)-1),2)))</f>
        <v>0</v>
      </c>
      <c r="F23">
        <f>SUM(B23:D23)</f>
        <v>7.8999999999999995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45">
      <c r="A24" s="2">
        <f>IF(ISERROR(A23),"",IF(A23="","",IF(A23=Start_Date,EOMONTH(A23,0),IF(A23=End_Date,"",IF(EOMONTH(A23,1)&gt;End_Date,End_Date,EOMONTH(A23,1))))))</f>
        <v>46507</v>
      </c>
      <c r="B24" s="9">
        <f>IF(A24="","",IF(YEAR($A24)&lt;B$6,0,ROUND(SUMIF($A$7:$A$120,"&lt;"&amp;$A24,B$7:B$127)*((1+VLOOKUP($A23,Var_Int,2))^(($A24-$A23)/365)-1),2)))</f>
        <v>3.9</v>
      </c>
      <c r="C24" s="9">
        <f>IF(B24="","",IF(YEAR($A24)&lt;C$6,0,ROUND(SUMIF($A$7:$A$120,"&lt;"&amp;$A24,C$7:C$127)*((1+VLOOKUP($A23,Var_Int,2))^(($A24-$A23)/365)-1),2)))</f>
        <v>3.77</v>
      </c>
      <c r="D24" s="9">
        <f>IF(C24="","",IF(YEAR($A24)&lt;D$6,0,ROUND(SUMIF($A$7:$A$120,"&lt;"&amp;$A24,D$7:D$127)*((1+VLOOKUP($A23,Var_Int,2))^(($A24-$A23)/365)-1),2)))</f>
        <v>0</v>
      </c>
      <c r="F24">
        <f>SUM(B24:D24)</f>
        <v>7.67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45">
      <c r="A25" s="2">
        <f>IF(ISERROR(A24),"",IF(A24="","",IF(A24=Start_Date,EOMONTH(A24,0),IF(A24=End_Date,"",IF(EOMONTH(A24,1)&gt;End_Date,End_Date,EOMONTH(A24,1))))))</f>
        <v>46538</v>
      </c>
      <c r="B25" s="9">
        <f>IF(A25="","",IF(YEAR($A25)&lt;B$6,0,ROUND(SUMIF($A$7:$A$120,"&lt;"&amp;$A25,B$7:B$127)*((1+VLOOKUP($A24,Var_Int,2))^(($A25-$A24)/365)-1),2)))</f>
        <v>4.04</v>
      </c>
      <c r="C25" s="9">
        <f>IF(B25="","",IF(YEAR($A25)&lt;C$6,0,ROUND(SUMIF($A$7:$A$120,"&lt;"&amp;$A25,C$7:C$127)*((1+VLOOKUP($A24,Var_Int,2))^(($A25-$A24)/365)-1),2)))</f>
        <v>3.9</v>
      </c>
      <c r="D25" s="9">
        <f>IF(C25="","",IF(YEAR($A25)&lt;D$6,0,ROUND(SUMIF($A$7:$A$120,"&lt;"&amp;$A25,D$7:D$127)*((1+VLOOKUP($A24,Var_Int,2))^(($A25-$A24)/365)-1),2)))</f>
        <v>0</v>
      </c>
      <c r="F25">
        <f>SUM(B25:D25)</f>
        <v>7.9399999999999995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45">
      <c r="A26" s="2">
        <f>IF(ISERROR(A25),"",IF(A25="","",IF(A25=Start_Date,EOMONTH(A25,0),IF(A25=End_Date,"",IF(EOMONTH(A25,1)&gt;End_Date,End_Date,EOMONTH(A25,1))))))</f>
        <v>46568</v>
      </c>
      <c r="B26" s="9">
        <f>IF(A26="","",IF(YEAR($A26)&lt;B$6,0,ROUND(SUMIF($A$7:$A$120,"&lt;"&amp;$A26,B$7:B$127)*((1+VLOOKUP($A25,Var_Int,2))^(($A26-$A25)/365)-1),2)))</f>
        <v>3.92</v>
      </c>
      <c r="C26" s="9">
        <f>IF(B26="","",IF(YEAR($A26)&lt;C$6,0,ROUND(SUMIF($A$7:$A$120,"&lt;"&amp;$A26,C$7:C$127)*((1+VLOOKUP($A25,Var_Int,2))^(($A26-$A25)/365)-1),2)))</f>
        <v>3.78</v>
      </c>
      <c r="D26" s="9">
        <f>IF(C26="","",IF(YEAR($A26)&lt;D$6,0,ROUND(SUMIF($A$7:$A$120,"&lt;"&amp;$A26,D$7:D$127)*((1+VLOOKUP($A25,Var_Int,2))^(($A26-$A25)/365)-1),2)))</f>
        <v>0</v>
      </c>
      <c r="F26">
        <f>SUM(B26:D26)</f>
        <v>7.6999999999999993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45">
      <c r="A27" s="2">
        <f>IF(ISERROR(A26),"",IF(A26="","",IF(A26=Start_Date,EOMONTH(A26,0),IF(A26=End_Date,"",IF(EOMONTH(A26,1)&gt;End_Date,End_Date,EOMONTH(A26,1))))))</f>
        <v>46599</v>
      </c>
      <c r="B27" s="9">
        <f>IF(A27="","",IF(YEAR($A27)&lt;B$6,0,ROUND(SUMIF($A$7:$A$120,"&lt;"&amp;$A27,B$7:B$127)*((1+VLOOKUP($A26,Var_Int,2))^(($A27-$A26)/365)-1),2)))</f>
        <v>6.31</v>
      </c>
      <c r="C27" s="9">
        <f>IF(B27="","",IF(YEAR($A27)&lt;C$6,0,ROUND(SUMIF($A$7:$A$120,"&lt;"&amp;$A27,C$7:C$127)*((1+VLOOKUP($A26,Var_Int,2))^(($A27-$A26)/365)-1),2)))</f>
        <v>6.09</v>
      </c>
      <c r="D27" s="9">
        <f>IF(C27="","",IF(YEAR($A27)&lt;D$6,0,ROUND(SUMIF($A$7:$A$120,"&lt;"&amp;$A27,D$7:D$127)*((1+VLOOKUP($A26,Var_Int,2))^(($A27-$A26)/365)-1),2)))</f>
        <v>0</v>
      </c>
      <c r="F27">
        <f>SUM(B27:D27)</f>
        <v>12.399999999999999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5">
      <c r="A28" s="2">
        <f>IF(ISERROR(A27),"",IF(A27="","",IF(A27=Start_Date,EOMONTH(A27,0),IF(A27=End_Date,"",IF(EOMONTH(A27,1)&gt;End_Date,End_Date,EOMONTH(A27,1))))))</f>
        <v>46630</v>
      </c>
      <c r="B28" s="9">
        <f>IF(A28="","",IF(YEAR($A28)&lt;B$6,0,ROUND(SUMIF($A$7:$A$120,"&lt;"&amp;$A28,B$7:B$127)*((1+VLOOKUP($A27,Var_Int,2))^(($A28-$A27)/365)-1),2)))</f>
        <v>6.33</v>
      </c>
      <c r="C28" s="9">
        <f>IF(B28="","",IF(YEAR($A28)&lt;C$6,0,ROUND(SUMIF($A$7:$A$120,"&lt;"&amp;$A28,C$7:C$127)*((1+VLOOKUP($A27,Var_Int,2))^(($A28-$A27)/365)-1),2)))</f>
        <v>6.11</v>
      </c>
      <c r="D28" s="9">
        <f>IF(C28="","",IF(YEAR($A28)&lt;D$6,0,ROUND(SUMIF($A$7:$A$120,"&lt;"&amp;$A28,D$7:D$127)*((1+VLOOKUP($A27,Var_Int,2))^(($A28-$A27)/365)-1),2)))</f>
        <v>0</v>
      </c>
      <c r="F28">
        <f>SUM(B28:D28)</f>
        <v>12.440000000000001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45">
      <c r="A29" s="2">
        <f>IF(ISERROR(A28),"",IF(A28="","",IF(A28=Start_Date,EOMONTH(A28,0),IF(A28=End_Date,"",IF(EOMONTH(A28,1)&gt;End_Date,End_Date,EOMONTH(A28,1))))))</f>
        <v>46660</v>
      </c>
      <c r="B29" s="9">
        <f>IF(A29="","",IF(YEAR($A29)&lt;B$6,0,ROUND(SUMIF($A$7:$A$120,"&lt;"&amp;$A29,B$7:B$127)*((1+VLOOKUP($A28,Var_Int,2))^(($A29-$A28)/365)-1),2)))</f>
        <v>6.14</v>
      </c>
      <c r="C29" s="9">
        <f>IF(B29="","",IF(YEAR($A29)&lt;C$6,0,ROUND(SUMIF($A$7:$A$120,"&lt;"&amp;$A29,C$7:C$127)*((1+VLOOKUP($A28,Var_Int,2))^(($A29-$A28)/365)-1),2)))</f>
        <v>5.93</v>
      </c>
      <c r="D29" s="9">
        <f>IF(C29="","",IF(YEAR($A29)&lt;D$6,0,ROUND(SUMIF($A$7:$A$120,"&lt;"&amp;$A29,D$7:D$127)*((1+VLOOKUP($A28,Var_Int,2))^(($A29-$A28)/365)-1),2)))</f>
        <v>0</v>
      </c>
      <c r="F29">
        <f>SUM(B29:D29)</f>
        <v>12.07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45">
      <c r="A30" s="2">
        <f>IF(ISERROR(A29),"",IF(A29="","",IF(A29=Start_Date,EOMONTH(A29,0),IF(A29=End_Date,"",IF(EOMONTH(A29,1)&gt;End_Date,End_Date,EOMONTH(A29,1))))))</f>
        <v>46691</v>
      </c>
      <c r="B30" s="9">
        <f>IF(A30="","",IF(YEAR($A30)&lt;B$6,0,ROUND(SUMIF($A$7:$A$120,"&lt;"&amp;$A30,B$7:B$127)*((1+VLOOKUP($A29,Var_Int,2))^(($A30-$A29)/365)-1),2)))</f>
        <v>6.36</v>
      </c>
      <c r="C30" s="9">
        <f>IF(B30="","",IF(YEAR($A30)&lt;C$6,0,ROUND(SUMIF($A$7:$A$120,"&lt;"&amp;$A30,C$7:C$127)*((1+VLOOKUP($A29,Var_Int,2))^(($A30-$A29)/365)-1),2)))</f>
        <v>6.14</v>
      </c>
      <c r="D30" s="9">
        <f>IF(C30="","",IF(YEAR($A30)&lt;D$6,0,ROUND(SUMIF($A$7:$A$120,"&lt;"&amp;$A30,D$7:D$127)*((1+VLOOKUP($A29,Var_Int,2))^(($A30-$A29)/365)-1),2)))</f>
        <v>0</v>
      </c>
      <c r="F30">
        <f>SUM(B30:D30)</f>
        <v>12.5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45">
      <c r="A31" s="2">
        <f>IF(ISERROR(A30),"",IF(A30="","",IF(A30=Start_Date,EOMONTH(A30,0),IF(A30=End_Date,"",IF(EOMONTH(A30,1)&gt;End_Date,End_Date,EOMONTH(A30,1))))))</f>
        <v>46721</v>
      </c>
      <c r="B31" s="9">
        <f>IF(A31="","",IF(YEAR($A31)&lt;B$6,0,ROUND(SUMIF($A$7:$A$120,"&lt;"&amp;$A31,B$7:B$127)*((1+VLOOKUP($A30,Var_Int,2))^(($A31-$A30)/365)-1),2)))</f>
        <v>6.18</v>
      </c>
      <c r="C31" s="9">
        <f>IF(B31="","",IF(YEAR($A31)&lt;C$6,0,ROUND(SUMIF($A$7:$A$120,"&lt;"&amp;$A31,C$7:C$127)*((1+VLOOKUP($A30,Var_Int,2))^(($A31-$A30)/365)-1),2)))</f>
        <v>5.96</v>
      </c>
      <c r="D31" s="9">
        <f>IF(C31="","",IF(YEAR($A31)&lt;D$6,0,ROUND(SUMIF($A$7:$A$120,"&lt;"&amp;$A31,D$7:D$127)*((1+VLOOKUP($A30,Var_Int,2))^(($A31-$A30)/365)-1),2)))</f>
        <v>0</v>
      </c>
      <c r="F31">
        <f>SUM(B31:D31)</f>
        <v>12.14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45">
      <c r="A32" s="2">
        <f>IF(ISERROR(A31),"",IF(A31="","",IF(A31=Start_Date,EOMONTH(A31,0),IF(A31=End_Date,"",IF(EOMONTH(A31,1)&gt;End_Date,End_Date,EOMONTH(A31,1))))))</f>
        <v>46752</v>
      </c>
      <c r="B32" s="9">
        <f>IF(A32="","",IF(YEAR($A32)&lt;B$6,0,ROUND(SUMIF($A$7:$A$120,"&lt;"&amp;$A32,B$7:B$127)*((1+VLOOKUP($A31,Var_Int,2))^(($A32-$A31)/365)-1),2)))</f>
        <v>6.4</v>
      </c>
      <c r="C32" s="9">
        <f>IF(B32="","",IF(YEAR($A32)&lt;C$6,0,ROUND(SUMIF($A$7:$A$120,"&lt;"&amp;$A32,C$7:C$127)*((1+VLOOKUP($A31,Var_Int,2))^(($A32-$A31)/365)-1),2)))</f>
        <v>6.18</v>
      </c>
      <c r="D32" s="9">
        <f>IF(C32="","",IF(YEAR($A32)&lt;D$6,0,ROUND(SUMIF($A$7:$A$120,"&lt;"&amp;$A32,D$7:D$127)*((1+VLOOKUP($A31,Var_Int,2))^(($A32-$A31)/365)-1),2)))</f>
        <v>0</v>
      </c>
      <c r="F32">
        <f>SUM(B32:D32)</f>
        <v>12.58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5">
      <c r="A33" s="2">
        <f>IF(ISERROR(A32),"",IF(A32="","",IF(A32=Start_Date,EOMONTH(A32,0),IF(A32=End_Date,"",IF(EOMONTH(A32,1)&gt;End_Date,End_Date,EOMONTH(A32,1))))))</f>
        <v>46783</v>
      </c>
      <c r="B33" s="9">
        <f>IF(A33="","",IF(YEAR($A33)&lt;B$6,0,ROUND(SUMIF($A$7:$A$120,"&lt;"&amp;$A33,B$7:B$127)*((1+VLOOKUP($A32,Var_Int,2))^(($A33-$A32)/365)-1),2)))</f>
        <v>6.42</v>
      </c>
      <c r="C33" s="9">
        <f>IF(B33="","",IF(YEAR($A33)&lt;C$6,0,ROUND(SUMIF($A$7:$A$120,"&lt;"&amp;$A33,C$7:C$127)*((1+VLOOKUP($A32,Var_Int,2))^(($A33-$A32)/365)-1),2)))</f>
        <v>6.2</v>
      </c>
      <c r="D33" s="9">
        <f>IF(C33="","",IF(YEAR($A33)&lt;D$6,0,ROUND(SUMIF($A$7:$A$120,"&lt;"&amp;$A33,D$7:D$127)*((1+VLOOKUP($A32,Var_Int,2))^(($A33-$A32)/365)-1),2)))</f>
        <v>6.02</v>
      </c>
      <c r="F33">
        <f>SUM(B33:D33)</f>
        <v>18.64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45">
      <c r="A34" s="2">
        <f>IF(ISERROR(A33),"",IF(A33="","",IF(A33=Start_Date,EOMONTH(A33,0),IF(A33=End_Date,"",IF(EOMONTH(A33,1)&gt;End_Date,End_Date,EOMONTH(A33,1))))))</f>
        <v>46812</v>
      </c>
      <c r="B34" s="9">
        <f>IF(A34="","",IF(YEAR($A34)&lt;B$6,0,ROUND(SUMIF($A$7:$A$120,"&lt;"&amp;$A34,B$7:B$127)*((1+VLOOKUP($A33,Var_Int,2))^(($A34-$A33)/365)-1),2)))</f>
        <v>2.2000000000000002</v>
      </c>
      <c r="C34" s="9">
        <f>IF(B34="","",IF(YEAR($A34)&lt;C$6,0,ROUND(SUMIF($A$7:$A$120,"&lt;"&amp;$A34,C$7:C$127)*((1+VLOOKUP($A33,Var_Int,2))^(($A34-$A33)/365)-1),2)))</f>
        <v>2.12</v>
      </c>
      <c r="D34" s="9">
        <f>IF(C34="","",IF(YEAR($A34)&lt;D$6,0,ROUND(SUMIF($A$7:$A$120,"&lt;"&amp;$A34,D$7:D$127)*((1+VLOOKUP($A33,Var_Int,2))^(($A34-$A33)/365)-1),2)))</f>
        <v>2.06</v>
      </c>
      <c r="F34">
        <f>SUM(B34:D34)</f>
        <v>6.3800000000000008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45">
      <c r="A35" s="2">
        <f>IF(ISERROR(A34),"",IF(A34="","",IF(A34=Start_Date,EOMONTH(A34,0),IF(A34=End_Date,"",IF(EOMONTH(A34,1)&gt;End_Date,End_Date,EOMONTH(A34,1))))))</f>
        <v>46843</v>
      </c>
      <c r="B35" s="9">
        <f>IF(A35="","",IF(YEAR($A35)&lt;B$6,0,ROUND(SUMIF($A$7:$A$120,"&lt;"&amp;$A35,B$7:B$127)*((1+VLOOKUP($A34,Var_Int,2))^(($A35-$A34)/365)-1),2)))</f>
        <v>2.35</v>
      </c>
      <c r="C35" s="9">
        <f>IF(B35="","",IF(YEAR($A35)&lt;C$6,0,ROUND(SUMIF($A$7:$A$120,"&lt;"&amp;$A35,C$7:C$127)*((1+VLOOKUP($A34,Var_Int,2))^(($A35-$A34)/365)-1),2)))</f>
        <v>2.27</v>
      </c>
      <c r="D35" s="9">
        <f>IF(C35="","",IF(YEAR($A35)&lt;D$6,0,ROUND(SUMIF($A$7:$A$120,"&lt;"&amp;$A35,D$7:D$127)*((1+VLOOKUP($A34,Var_Int,2))^(($A35-$A34)/365)-1),2)))</f>
        <v>2.2000000000000002</v>
      </c>
      <c r="F35">
        <f>SUM(B35:D35)</f>
        <v>6.82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65" thickBot="1" x14ac:dyDescent="0.5">
      <c r="A36" s="2">
        <f>IF(ISERROR(A35),"",IF(A35="","",IF(A35=Start_Date,EOMONTH(A35,0),IF(A35=End_Date,"",IF(EOMONTH(A35,1)&gt;End_Date,End_Date,EOMONTH(A35,1))))))</f>
        <v>46873</v>
      </c>
      <c r="B36" s="9">
        <f>IF(A36="","",IF(YEAR($A36)&lt;B$6,0,ROUND(SUMIF($A$7:$A$120,"&lt;"&amp;$A36,B$7:B$127)*((1+VLOOKUP($A35,Var_Int,2))^(($A36-$A35)/365)-1),2)))</f>
        <v>2.2799999999999998</v>
      </c>
      <c r="C36" s="9">
        <f>IF(B36="","",IF(YEAR($A36)&lt;C$6,0,ROUND(SUMIF($A$7:$A$120,"&lt;"&amp;$A36,C$7:C$127)*((1+VLOOKUP($A35,Var_Int,2))^(($A36-$A35)/365)-1),2)))</f>
        <v>2.2000000000000002</v>
      </c>
      <c r="D36" s="9">
        <f>IF(C36="","",IF(YEAR($A36)&lt;D$6,0,ROUND(SUMIF($A$7:$A$120,"&lt;"&amp;$A36,D$7:D$127)*((1+VLOOKUP($A35,Var_Int,2))^(($A36-$A35)/365)-1),2)))</f>
        <v>2.14</v>
      </c>
      <c r="F36">
        <f>SUM(B36:D36)</f>
        <v>6.620000000000001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65" thickBot="1" x14ac:dyDescent="0.5">
      <c r="A37" s="12" t="s">
        <v>7</v>
      </c>
      <c r="B37" s="13">
        <f>SUM(B7:B36)</f>
        <v>2147.81</v>
      </c>
      <c r="C37" s="13">
        <f t="shared" ref="C37:D37" si="0">SUM(C7:C36)</f>
        <v>2073.7199999999993</v>
      </c>
      <c r="D37" s="13">
        <f t="shared" si="0"/>
        <v>2012.42</v>
      </c>
      <c r="E37" s="11">
        <f>SUM(B37:D37)</f>
        <v>6233.9499999999989</v>
      </c>
      <c r="F37" s="10">
        <f>SUM(F7:F36)</f>
        <v>6233.949999999998</v>
      </c>
      <c r="G37" s="9"/>
      <c r="H37" s="9" t="s">
        <v>8</v>
      </c>
      <c r="I37" s="9" t="b">
        <f>E37=F37</f>
        <v>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4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4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4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4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4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4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4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4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4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4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2:26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2:26" x14ac:dyDescent="0.4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2:26" x14ac:dyDescent="0.4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2:26" x14ac:dyDescent="0.4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2:26" x14ac:dyDescent="0.4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2:26" x14ac:dyDescent="0.4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2:26" x14ac:dyDescent="0.4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2:26" x14ac:dyDescent="0.4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2:26" x14ac:dyDescent="0.4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2:26" x14ac:dyDescent="0.4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2:26" x14ac:dyDescent="0.4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2:26" x14ac:dyDescent="0.45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2:26" x14ac:dyDescent="0.4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2:26" x14ac:dyDescent="0.4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2:26" x14ac:dyDescent="0.4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2:26" x14ac:dyDescent="0.4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2:26" x14ac:dyDescent="0.4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2:26" x14ac:dyDescent="0.4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2:26" x14ac:dyDescent="0.4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2:26" x14ac:dyDescent="0.45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2:26" x14ac:dyDescent="0.45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2:26" x14ac:dyDescent="0.45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2:26" x14ac:dyDescent="0.45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2:26" x14ac:dyDescent="0.45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2:26" x14ac:dyDescent="0.4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2:26" x14ac:dyDescent="0.45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2:26" x14ac:dyDescent="0.4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2:26" x14ac:dyDescent="0.45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2:26" x14ac:dyDescent="0.45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2:26" x14ac:dyDescent="0.45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2:26" x14ac:dyDescent="0.45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2:26" x14ac:dyDescent="0.45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2:26" x14ac:dyDescent="0.45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2:26" x14ac:dyDescent="0.45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2:26" x14ac:dyDescent="0.45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2:26" x14ac:dyDescent="0.45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2:26" x14ac:dyDescent="0.45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2:26" x14ac:dyDescent="0.4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2:26" x14ac:dyDescent="0.45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2:26" x14ac:dyDescent="0.45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2:26" x14ac:dyDescent="0.45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2:26" x14ac:dyDescent="0.45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2:26" x14ac:dyDescent="0.45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2:26" x14ac:dyDescent="0.45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2:26" x14ac:dyDescent="0.45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2:26" x14ac:dyDescent="0.45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2:26" x14ac:dyDescent="0.4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2:26" x14ac:dyDescent="0.45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2:26" x14ac:dyDescent="0.4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2:26" x14ac:dyDescent="0.4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2:26" x14ac:dyDescent="0.45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2:26" x14ac:dyDescent="0.45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2:26" x14ac:dyDescent="0.4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2:26" x14ac:dyDescent="0.4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2:26" x14ac:dyDescent="0.45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2:26" x14ac:dyDescent="0.45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2:26" x14ac:dyDescent="0.4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2:26" x14ac:dyDescent="0.4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2:26" x14ac:dyDescent="0.4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2:26" x14ac:dyDescent="0.45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2:26" x14ac:dyDescent="0.45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2:26" x14ac:dyDescent="0.4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2:26" x14ac:dyDescent="0.4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2:26" x14ac:dyDescent="0.4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2:26" x14ac:dyDescent="0.4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2:26" x14ac:dyDescent="0.4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2:26" x14ac:dyDescent="0.4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2:26" x14ac:dyDescent="0.4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2:26" x14ac:dyDescent="0.4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2:26" x14ac:dyDescent="0.4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2:26" x14ac:dyDescent="0.4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2:26" x14ac:dyDescent="0.4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2:26" x14ac:dyDescent="0.4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2:26" x14ac:dyDescent="0.4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2:26" x14ac:dyDescent="0.4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2:26" x14ac:dyDescent="0.4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2:26" x14ac:dyDescent="0.4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2:26" x14ac:dyDescent="0.4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2:26" x14ac:dyDescent="0.4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</sheetData>
  <conditionalFormatting sqref="I37">
    <cfRule type="cellIs" dxfId="10" priority="3" operator="equal">
      <formula>TRUE</formula>
    </cfRule>
    <cfRule type="cellIs" dxfId="9" priority="2" operator="notEqual">
      <formula>TRUE</formula>
    </cfRule>
  </conditionalFormatting>
  <conditionalFormatting sqref="A7:D36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C496-7265-40DF-B4A0-2D192420976F}">
  <sheetPr>
    <tabColor theme="1"/>
  </sheetPr>
  <dimension ref="B1:C11"/>
  <sheetViews>
    <sheetView workbookViewId="0">
      <selection activeCell="E9" sqref="E9"/>
    </sheetView>
  </sheetViews>
  <sheetFormatPr defaultRowHeight="14.25" x14ac:dyDescent="0.45"/>
  <cols>
    <col min="2" max="2" width="9.19921875" bestFit="1" customWidth="1"/>
  </cols>
  <sheetData>
    <row r="1" spans="2:3" x14ac:dyDescent="0.45">
      <c r="B1" t="s">
        <v>5</v>
      </c>
    </row>
    <row r="3" spans="2:3" x14ac:dyDescent="0.45">
      <c r="B3" s="7">
        <v>1</v>
      </c>
      <c r="C3" s="7">
        <v>2</v>
      </c>
    </row>
    <row r="4" spans="2:3" x14ac:dyDescent="0.45">
      <c r="B4" s="8" t="s">
        <v>3</v>
      </c>
      <c r="C4" s="8" t="s">
        <v>6</v>
      </c>
    </row>
    <row r="5" spans="2:3" x14ac:dyDescent="0.45">
      <c r="B5" s="2">
        <v>46023</v>
      </c>
      <c r="C5" s="6">
        <v>4.2500000000000003E-2</v>
      </c>
    </row>
    <row r="6" spans="2:3" x14ac:dyDescent="0.45">
      <c r="B6" s="2">
        <v>46174</v>
      </c>
      <c r="C6" s="6">
        <v>3.4000000000000002E-2</v>
      </c>
    </row>
    <row r="7" spans="2:3" x14ac:dyDescent="0.45">
      <c r="B7" s="2">
        <v>46388</v>
      </c>
      <c r="C7" s="6">
        <v>2.3E-2</v>
      </c>
    </row>
    <row r="8" spans="2:3" x14ac:dyDescent="0.45">
      <c r="B8" s="2">
        <v>46539</v>
      </c>
      <c r="C8" s="6">
        <v>3.5999999999999997E-2</v>
      </c>
    </row>
    <row r="9" spans="2:3" x14ac:dyDescent="0.45">
      <c r="B9" s="2">
        <v>46774</v>
      </c>
      <c r="C9" s="6">
        <v>1.2999999999999999E-2</v>
      </c>
    </row>
    <row r="10" spans="2:3" x14ac:dyDescent="0.45">
      <c r="B10" s="2">
        <v>46966</v>
      </c>
      <c r="C10" s="6">
        <v>3.4500000000000003E-2</v>
      </c>
    </row>
    <row r="11" spans="2:3" x14ac:dyDescent="0.45">
      <c r="B11" s="2">
        <v>47141</v>
      </c>
      <c r="C11" s="6">
        <v>5.67E-2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Super Compound Calc</vt:lpstr>
      <vt:lpstr>Variable Int</vt:lpstr>
      <vt:lpstr>End_Date</vt:lpstr>
      <vt:lpstr>Int</vt:lpstr>
      <vt:lpstr>SA</vt:lpstr>
      <vt:lpstr>Start_Date</vt:lpstr>
      <vt:lpstr>Var_Int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Gwee Wen Hong</dc:creator>
  <cp:lastModifiedBy>Marcus Gwee Wen Hong</cp:lastModifiedBy>
  <dcterms:created xsi:type="dcterms:W3CDTF">2026-01-21T08:22:30Z</dcterms:created>
  <dcterms:modified xsi:type="dcterms:W3CDTF">2026-01-21T09:41:51Z</dcterms:modified>
</cp:coreProperties>
</file>